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284" documentId="13_ncr:1_{A44F1A29-01AA-4A94-B057-6F360C093958}" xr6:coauthVersionLast="47" xr6:coauthVersionMax="47" xr10:uidLastSave="{BD859B33-1288-4561-9770-6A1CB084DF9D}"/>
  <bookViews>
    <workbookView xWindow="-110" yWindow="-110" windowWidth="19420" windowHeight="10420" tabRatio="643" firstSheet="2" activeTab="4" xr2:uid="{7ED227F8-E8D7-4F0B-9DDD-FC991517E453}"/>
  </bookViews>
  <sheets>
    <sheet name="References" sheetId="5" r:id="rId1"/>
    <sheet name="Tables" sheetId="8" r:id="rId2"/>
    <sheet name="Baseline" sheetId="6" r:id="rId3"/>
    <sheet name="Budget" sheetId="10" r:id="rId4"/>
    <sheet name="Projects" sheetId="2" r:id="rId5"/>
    <sheet name="Costs" sheetId="3" r:id="rId6"/>
    <sheet name="Assumptions" sheetId="1" r:id="rId7"/>
    <sheet name="UI_Tables" sheetId="12" r:id="rId8"/>
    <sheet name="Funding_Summary" sheetId="1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6" hidden="1">Assumptions!$A$1:$O$107</definedName>
    <definedName name="ExternalData_8" localSheetId="3" hidden="1">Budget!$A$1:$O$77</definedName>
    <definedName name="ExternalData_8" localSheetId="4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<sst xmlns="http://schemas.openxmlformats.org/spreadsheetml/2006/main" count="4965" uniqueCount="536">
  <si>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</si>
  <si>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</si>
  <si>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</si>
  <si>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</si>
  <si>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</si>
  <si>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</si>
  <si>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</si>
  <si>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</si>
  <si>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</si>
  <si>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</si>
  <si>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</si>
  <si>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</si>
  <si>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</si>
  <si>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</si>
  <si>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</si>
  <si>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</si>
  <si>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</si>
  <si>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</si>
  <si>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</si>
  <si>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</si>
  <si>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</si>
  <si>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</si>
  <si>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</si>
  <si>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</si>
  <si>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</si>
  <si>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</si>
  <si>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</si>
  <si>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</si>
  <si>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</si>
  <si>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</si>
  <si>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</si>
  <si>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</si>
  <si>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</si>
  <si>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</si>
  <si>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</si>
  <si>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</si>
  <si>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</si>
  <si>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</si>
  <si>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</si>
  <si>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</si>
  <si>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</si>
  <si>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</si>
  <si>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</si>
  <si>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</si>
  <si>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</si>
  <si>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</si>
  <si>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</si>
  <si>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</si>
  <si>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</si>
  <si>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</si>
  <si>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</si>
  <si>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</si>
  <si>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</si>
  <si>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</si>
  <si>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</si>
  <si>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</si>
  <si>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</si>
  <si>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</si>
  <si>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</si>
  <si>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</si>
  <si>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</si>
  <si>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</si>
  <si>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</si>
  <si>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</si>
  <si>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</si>
  <si>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</si>
  <si>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</si>
  <si>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</si>
  <si>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</si>
  <si>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</si>
  <si>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</si>
  <si>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</si>
  <si>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</si>
  <si>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</si>
  <si>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</si>
  <si>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</si>
  <si>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</si>
  <si>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</si>
  <si>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</si>
  <si>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</si>
  <si>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</si>
  <si>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</si>
  <si>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</si>
  <si>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</si>
  <si>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</si>
  <si>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</si>
  <si>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</si>
  <si>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</si>
  <si>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</si>
  <si>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</si>
  <si>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</si>
  <si>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</si>
  <si>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</si>
  <si>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</si>
  <si>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</si>
  <si>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</si>
  <si>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</si>
  <si>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</si>
  <si>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</si>
  <si>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</si>
  <si>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</si>
  <si>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</si>
  <si>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</si>
  <si>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</si>
  <si>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</si>
  <si>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</si>
  <si>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</si>
  <si>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</si>
  <si>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</si>
  <si>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</si>
  <si>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</si>
  <si>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</si>
  <si>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</si>
  <si>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</si>
  <si>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</si>
  <si>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</si>
  <si>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</si>
  <si>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</si>
  <si>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</si>
  <si>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</si>
  <si>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</si>
  <si>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</si>
  <si>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</si>
  <si>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</si>
  <si>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</si>
  <si>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</si>
  <si>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</si>
  <si>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</si>
  <si>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</si>
  <si>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</si>
  <si>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</si>
  <si>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</si>
  <si>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</si>
  <si>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</si>
  <si>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</si>
  <si>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</si>
  <si>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</si>
  <si>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</si>
  <si>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</si>
  <si>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</si>
  <si>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</si>
  <si>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</si>
  <si>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</si>
  <si>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</si>
  <si>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</si>
  <si>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</si>
  <si>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</si>
  <si>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</si>
  <si>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</si>
  <si>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</si>
  <si>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</si>
  <si>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</si>
  <si>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</si>
  <si>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</si>
  <si>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</si>
  <si>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</si>
  <si>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</si>
  <si>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</si>
  <si>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</si>
  <si>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</si>
  <si>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</si>
  <si>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</si>
  <si>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</si>
  <si>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</si>
  <si>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</si>
  <si>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</si>
  <si>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</si>
  <si>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</si>
  <si>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</si>
  <si>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</si>
  <si>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</si>
  <si>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</si>
  <si>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</si>
  <si>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</si>
  <si>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</si>
  <si>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</si>
  <si>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</si>
  <si>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</si>
  <si>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</si>
  <si>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</si>
  <si>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</si>
  <si>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</si>
  <si>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</si>
  <si>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</si>
  <si>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</si>
  <si>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</si>
  <si>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</si>
  <si>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</si>
  <si>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</si>
  <si>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</si>
  <si>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</si>
  <si>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</si>
  <si>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</si>
  <si>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</si>
  <si>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</si>
  <si>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</si>
  <si>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</si>
  <si>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</si>
  <si>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</si>
  <si>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</si>
  <si>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</si>
  <si>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</si>
  <si>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</si>
  <si>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</si>
  <si>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</si>
  <si>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</si>
  <si>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</si>
  <si>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</si>
  <si>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</si>
  <si>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</si>
  <si>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</si>
  <si>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</si>
  <si>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</si>
  <si>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</si>
  <si>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</si>
  <si>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</si>
  <si>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</si>
  <si>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</si>
  <si>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</si>
  <si>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</si>
  <si>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</si>
  <si>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</si>
  <si>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</si>
  <si>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</si>
  <si>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</si>
  <si>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</si>
  <si>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</si>
  <si>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</si>
  <si>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</si>
  <si>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</si>
  <si>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</si>
  <si>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</si>
  <si>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</si>
  <si>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</si>
  <si>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</si>
  <si>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</si>
  <si>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</si>
  <si>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</si>
  <si>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</si>
  <si>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</si>
  <si>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</si>
  <si>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</si>
  <si>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</si>
  <si>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</si>
  <si>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</si>
  <si>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</si>
  <si>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</si>
  <si>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</si>
  <si>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</si>
  <si>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</si>
  <si>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</si>
  <si>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</si>
  <si>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</si>
  <si>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</si>
  <si>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</si>
  <si>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</si>
  <si>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</si>
  <si>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</si>
  <si>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</si>
  <si>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</si>
  <si>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</si>
  <si>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</si>
  <si>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</si>
  <si>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</si>
  <si>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</si>
  <si>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</si>
  <si>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</si>
  <si>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</si>
  <si>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</si>
  <si>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</si>
  <si>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</si>
  <si>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</si>
  <si>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</si>
  <si>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</si>
  <si>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</si>
  <si>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</si>
  <si>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</si>
  <si>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</si>
  <si>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</si>
  <si>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</si>
  <si>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</si>
  <si>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</si>
  <si>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</si>
  <si>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</si>
  <si>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</si>
  <si>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</si>
  <si>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</si>
  <si>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</si>
  <si>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</si>
  <si>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</si>
  <si>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</si>
  <si>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</si>
  <si>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</si>
  <si>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</si>
  <si>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</si>
  <si>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</si>
  <si>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</si>
  <si>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</si>
  <si>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</si>
  <si>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</si>
  <si>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</si>
  <si>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</si>
  <si>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</si>
  <si>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</si>
  <si>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</si>
  <si>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</si>
  <si>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</si>
  <si>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</si>
  <si>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</si>
  <si>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</si>
  <si>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</si>
  <si>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</si>
  <si>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</si>
  <si>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</si>
  <si>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</si>
  <si>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</si>
  <si>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</si>
  <si>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</si>
  <si>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</si>
  <si>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</si>
  <si>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</si>
  <si>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</si>
  <si>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</si>
  <si>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</si>
  <si>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</si>
  <si>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</si>
  <si>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</si>
  <si>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</si>
  <si>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</si>
  <si>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</si>
  <si>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</si>
  <si>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</si>
  <si>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</si>
  <si>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</si>
  <si>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</si>
  <si>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</si>
  <si>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</si>
  <si>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</si>
  <si>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</si>
  <si>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</si>
  <si>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</si>
  <si>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</si>
  <si>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</si>
  <si>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</si>
  <si>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</si>
  <si>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</si>
  <si>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</si>
  <si>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</si>
  <si>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</si>
  <si>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</si>
  <si>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</si>
  <si>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</si>
  <si>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</si>
  <si>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</si>
  <si>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</si>
  <si>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</si>
  <si>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</si>
  <si>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</si>
  <si>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</si>
  <si>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</si>
  <si>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</si>
  <si>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</si>
  <si>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</si>
  <si>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</si>
  <si>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</si>
  <si>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</si>
  <si>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</si>
  <si>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</si>
  <si>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</si>
  <si>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</si>
  <si>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</si>
  <si>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</si>
  <si>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</si>
  <si>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</si>
  <si>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</si>
  <si>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</si>
  <si>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</si>
  <si>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</si>
  <si>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</si>
  <si>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</si>
  <si>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</si>
  <si>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</si>
  <si>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</si>
  <si>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</si>
  <si>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</si>
  <si>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</si>
  <si>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</si>
  <si>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</si>
  <si>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</si>
  <si>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</si>
  <si>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</si>
  <si>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</si>
  <si>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</si>
  <si>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</si>
  <si>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</si>
  <si>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</si>
  <si>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</si>
  <si>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</si>
  <si>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</si>
  <si>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</si>
  <si>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</si>
  <si>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</si>
  <si>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</si>
  <si>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</si>
  <si>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</si>
  <si>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</si>
  <si>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</si>
  <si>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</si>
  <si>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</si>
  <si>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</si>
  <si>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</si>
  <si>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</si>
  <si>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</si>
  <si>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</si>
  <si>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</si>
  <si>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</si>
  <si>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</si>
  <si>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</si>
  <si>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</si>
  <si>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</si>
  <si>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</si>
  <si>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</si>
  <si>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</si>
  <si>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</si>
  <si>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</si>
  <si>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</si>
  <si>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</si>
  <si>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</si>
  <si>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</si>
  <si>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</si>
  <si>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</si>
  <si>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</si>
  <si>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</si>
  <si>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</si>
  <si>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</si>
  <si>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</si>
  <si>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</si>
  <si>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</si>
  <si>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</si>
  <si>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</si>
  <si>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</si>
  <si>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</si>
  <si>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</si>
  <si>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</si>
  <si>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</si>
  <si>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</si>
  <si>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</si>
  <si>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</si>
  <si>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</si>
  <si>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</si>
  <si>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</si>
  <si>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</si>
  <si>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</si>
  <si>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</si>
  <si>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</si>
  <si>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</si>
  <si>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</si>
  <si>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</si>
  <si>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</si>
  <si>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</si>
  <si>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</si>
  <si>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</si>
  <si>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</si>
  <si>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</si>
  <si>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</si>
  <si>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</si>
  <si>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</si>
  <si>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</si>
  <si>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</si>
  <si>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</si>
  <si>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</si>
  <si>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</si>
  <si>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</si>
  <si>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</si>
  <si>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</si>
  <si>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</si>
  <si>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</si>
  <si>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</si>
  <si>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</si>
  <si>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</si>
  <si>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</si>
  <si>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</si>
  <si>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</si>
  <si>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</si>
  <si>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</si>
  <si>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</si>
  <si>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</si>
  <si>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</si>
  <si>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</si>
  <si>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</si>
  <si>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</si>
  <si>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</si>
  <si>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x</t>
  </si>
  <si>
    <t>Bicycle &amp; Pedestrian Lane Miles of New Infrastructure</t>
  </si>
  <si>
    <t>Medium- and Heavy-Duty Vehicle (MHDV) Replacement</t>
  </si>
  <si>
    <t>Park-and-Ride Projects</t>
  </si>
  <si>
    <t>Traffic Operations - Intersection Improvements</t>
  </si>
  <si>
    <t>per_hh_shifted</t>
  </si>
  <si>
    <t>Concept</t>
  </si>
  <si>
    <t>UI #</t>
  </si>
  <si>
    <t>budget</t>
  </si>
  <si>
    <t>projects</t>
  </si>
  <si>
    <t>costs</t>
  </si>
  <si>
    <t>no</t>
  </si>
  <si>
    <t>change budget</t>
  </si>
  <si>
    <t>change projects</t>
  </si>
  <si>
    <t>change costs</t>
  </si>
  <si>
    <t>assumptions?</t>
  </si>
  <si>
    <t>NA</t>
  </si>
  <si>
    <t>Wrong cat</t>
  </si>
  <si>
    <t xml:space="preserve">Wrong cat </t>
  </si>
  <si>
    <t>included in 2</t>
  </si>
  <si>
    <t>4 to 5</t>
  </si>
  <si>
    <t>4 to 8</t>
  </si>
  <si>
    <t>5 to 6</t>
  </si>
  <si>
    <t>5 to 9</t>
  </si>
  <si>
    <t>wrong cat/included in 2</t>
  </si>
  <si>
    <t>6 to 7</t>
  </si>
  <si>
    <t>6 to 10</t>
  </si>
  <si>
    <t>7 to 8</t>
  </si>
  <si>
    <t>7 to 11</t>
  </si>
  <si>
    <t>3 to 7</t>
  </si>
  <si>
    <t>8 to 9</t>
  </si>
  <si>
    <t>#need to check table_no tbl_no etc</t>
  </si>
  <si>
    <t>9 to 10</t>
  </si>
  <si>
    <t>9 to 16</t>
  </si>
  <si>
    <t>10 to 11</t>
  </si>
  <si>
    <t>11 to 12</t>
  </si>
  <si>
    <t>14 to 13</t>
  </si>
  <si>
    <t>12 to 14</t>
  </si>
  <si>
    <t>13 to 18</t>
  </si>
  <si>
    <t>8 to 12</t>
  </si>
  <si>
    <t>17 to 15</t>
  </si>
  <si>
    <t>15 to 16</t>
  </si>
  <si>
    <t>16 to 17 - but NA also lol</t>
  </si>
  <si>
    <t>15 to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</si>
</sst>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color rgb="FF000000"/>
      <name val="Segoe UI"/>
      <family val="2"/>
    </font>
    <font>
      <sz val="11"/>
      <color rgb="FF000000"/>
      <name val="Aptos"/>
      <family val="2"/>
    </font>
    <font>
      <b/>
      <sz val="11"/>
      <color rgb="FF000000"/>
      <name val="Aptos"/>
      <family val="2"/>
    </font>
    <font>
      <sz val="11"/>
      <name val="Aptos"/>
      <family val="2"/>
    </font>
  </fonts>
  <fills count="13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6" tint="0.59999389629810485"/>
        <bgColor theme="6" tint="0.59999389629810485"/>
      </patternFill>
    </fill>
    <fill>
      <patternFill patternType="solid">
        <fgColor rgb="FFFFFFFF"/>
        <bgColor indexed="64"/>
      </patternFill>
    </fill>
    <fill>
      <patternFill patternType="solid">
        <fgColor rgb="FFDCBE2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rgb="FFDCBE22"/>
      </left>
      <right/>
      <top style="medium">
        <color rgb="FFDCBE22"/>
      </top>
      <bottom style="medium">
        <color rgb="FFDCBE22"/>
      </bottom>
      <diagonal/>
    </border>
    <border>
      <left/>
      <right/>
      <top style="medium">
        <color rgb="FFDCBE22"/>
      </top>
      <bottom style="medium">
        <color rgb="FFDCBE22"/>
      </bottom>
      <diagonal/>
    </border>
    <border>
      <left/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 style="medium">
        <color rgb="FFDCBE22"/>
      </top>
      <bottom style="medium">
        <color rgb="FFDCBE22"/>
      </bottom>
      <diagonal/>
    </border>
    <border>
      <left style="medium">
        <color rgb="FFDCBE22"/>
      </left>
      <right style="medium">
        <color rgb="FFDCBE22"/>
      </right>
      <top/>
      <bottom/>
      <diagonal/>
    </border>
    <border>
      <left style="medium">
        <color rgb="FFDCBE22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1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2" fontId="5" fillId="0" borderId="0" xfId="0" applyNumberFormat="1" applyFont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8" borderId="0" xfId="0" applyFill="1"/>
    <xf numFmtId="0" fontId="7" fillId="9" borderId="6" xfId="0" applyFont="1" applyFill="1" applyBorder="1" applyAlignment="1">
      <alignment vertical="center"/>
    </xf>
    <xf numFmtId="0" fontId="7" fillId="9" borderId="7" xfId="0" applyFont="1" applyFill="1" applyBorder="1" applyAlignment="1">
      <alignment horizontal="right" vertical="center"/>
    </xf>
    <xf numFmtId="0" fontId="7" fillId="9" borderId="7" xfId="0" applyFont="1" applyFill="1" applyBorder="1" applyAlignment="1">
      <alignment horizontal="center" vertical="center"/>
    </xf>
    <xf numFmtId="0" fontId="7" fillId="9" borderId="8" xfId="0" applyFont="1" applyFill="1" applyBorder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0" fontId="6" fillId="9" borderId="7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 vertical="center"/>
    </xf>
    <xf numFmtId="0" fontId="8" fillId="10" borderId="10" xfId="0" applyFont="1" applyFill="1" applyBorder="1" applyAlignment="1">
      <alignment horizontal="center" vertical="center"/>
    </xf>
    <xf numFmtId="0" fontId="7" fillId="9" borderId="0" xfId="0" applyFont="1" applyFill="1" applyAlignment="1">
      <alignment horizontal="center" vertical="center"/>
    </xf>
    <xf numFmtId="49" fontId="5" fillId="0" borderId="0" xfId="0" quotePrefix="1" applyNumberFormat="1" applyFont="1"/>
    <xf numFmtId="0" fontId="9" fillId="11" borderId="0" xfId="0" applyFont="1" applyFill="1" applyAlignment="1">
      <alignment horizontal="center" vertical="center"/>
    </xf>
    <xf numFmtId="0" fontId="3" fillId="11" borderId="0" xfId="0" applyFont="1" applyFill="1"/>
    <xf numFmtId="0" fontId="8" fillId="12" borderId="11" xfId="0" applyFont="1" applyFill="1" applyBorder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0" fontId="0" fillId="11" borderId="0" xfId="0" applyFill="1"/>
    <xf numFmtId="0" fontId="9" fillId="12" borderId="0" xfId="0" applyFont="1" applyFill="1" applyAlignment="1">
      <alignment horizontal="center" vertical="center"/>
    </xf>
    <xf numFmtId="0" fontId="0" fillId="12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6" totalsRowShown="0">
  <autoFilter ref="A1:B106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43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42"/>
    <tableColumn id="15" xr3:uid="{1AF36C04-F8A2-4C23-B502-D4E87D90A9DC}" uniqueName="15" name="table" queryTableFieldId="13"/>
    <tableColumn id="3" xr3:uid="{678D78DF-2397-4F71-A82F-05450A38DBE3}" uniqueName="3" name="area_type" queryTableFieldId="3" dataDxfId="41"/>
    <tableColumn id="4" xr3:uid="{D3BC72C8-E616-41D1-8BDE-C01981E98C50}" uniqueName="4" name="facility_type" queryTableFieldId="4" dataDxfId="40"/>
    <tableColumn id="5" xr3:uid="{DE9B0B81-D03F-40C8-A7E0-2C4566D75915}" uniqueName="5" name="charge_port_detail" queryTableFieldId="5" dataDxfId="39"/>
    <tableColumn id="6" xr3:uid="{E3A69435-F1EF-4BE0-BBA9-51615447AF4D}" uniqueName="6" name="veh_type" queryTableFieldId="6" dataDxfId="38"/>
    <tableColumn id="7" xr3:uid="{7F2818A7-32C5-4448-9EED-3FA1FD5DD888}" uniqueName="7" name="fuel_type" queryTableFieldId="7" dataDxfId="37"/>
    <tableColumn id="8" xr3:uid="{C6B1FBC7-890F-46C4-93DC-44D9BD6628F8}" uniqueName="8" name="road_class" queryTableFieldId="8" dataDxfId="36"/>
    <tableColumn id="9" xr3:uid="{AC4BB92A-649A-46C1-A1B5-A4163A1F715F}" uniqueName="9" name="transit_mode" queryTableFieldId="9" dataDxfId="35"/>
    <tableColumn id="12" xr3:uid="{571966F0-B22F-4654-A1AF-23869D2014EE}" uniqueName="12" name="custom_project" queryTableFieldId="16" dataDxfId="34"/>
    <tableColumn id="13" xr3:uid="{09535CCD-227E-47EA-AFF9-4103517DE5AE}" uniqueName="13" name="land_use" queryTableFieldId="19" dataDxfId="33"/>
    <tableColumn id="10" xr3:uid="{18C4BBE5-FD66-4AF6-ABF4-4F2DF2EE344E}" uniqueName="10" name="unit" queryTableFieldId="10" dataDxfId="32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3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30"/>
    <tableColumn id="4" xr3:uid="{B620AAD0-B9A4-4177-8F0E-7C5D0A04C72C}" uniqueName="4" name="facility_type" queryTableFieldId="4" dataDxfId="29"/>
    <tableColumn id="5" xr3:uid="{65B39EA0-1134-49BF-BFF6-CDF5BACD108C}" uniqueName="5" name="charge_port_detail" queryTableFieldId="5" dataDxfId="28"/>
    <tableColumn id="6" xr3:uid="{D91B8D64-EE26-4F7F-B4D8-8621ACF6CD4E}" uniqueName="6" name="veh_type" queryTableFieldId="6" dataDxfId="27"/>
    <tableColumn id="7" xr3:uid="{EF16A9DF-60D7-403C-ABBD-748A320C6274}" uniqueName="7" name="fuel_type" queryTableFieldId="7" dataDxfId="26"/>
    <tableColumn id="8" xr3:uid="{00A1DE04-2630-431D-8192-A33FECA0793E}" uniqueName="8" name="road_class" queryTableFieldId="8" dataDxfId="25"/>
    <tableColumn id="9" xr3:uid="{96FECE33-0AB7-44CD-A867-E27AFFB4C993}" uniqueName="9" name="transit_mode" queryTableFieldId="9" dataDxfId="24"/>
    <tableColumn id="12" xr3:uid="{5915C8E6-C2D3-4BC6-9487-CA12FEAF8596}" uniqueName="12" name="custom_project" queryTableFieldId="16" dataDxfId="23"/>
    <tableColumn id="13" xr3:uid="{875C28AE-AB79-4510-9D5F-E845B3C0D359}" uniqueName="13" name="land_use" queryTableFieldId="19" dataDxfId="22"/>
    <tableColumn id="10" xr3:uid="{733DE83A-6E8B-4EA6-9AF5-EFE496246852}" uniqueName="10" name="unit" queryTableFieldId="10" dataDxfId="21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7" tableType="queryTable" totalsRowShown="0">
  <autoFilter ref="A1:O107" xr:uid="{A297C3A8-46EE-44EB-9FBA-E6FC8F755E4E}"/>
  <sortState xmlns:xlrd2="http://schemas.microsoft.com/office/spreadsheetml/2017/richdata2" ref="A2:O107">
    <sortCondition ref="B2:B107"/>
  </sortState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6"/>
  <sheetViews>
    <sheetView topLeftCell="A97" workbookViewId="0">
      <selection activeCell="A106" sqref="A106"/>
    </sheetView>
  </sheetViews>
  <sheetFormatPr defaultRowHeight="14.5" x14ac:dyDescent="0.35"/>
  <cols>
    <col min="1" max="1" width="33.81640625" bestFit="1" customWidth="1"/>
    <col min="2" max="2" width="49.1796875" bestFit="1" customWidth="1"/>
    <col min="3" max="3" width="36.81640625" customWidth="1"/>
    <col min="4" max="4" width="11.54296875" bestFit="1" customWidth="1"/>
    <col min="8" max="8" width="24.81640625" customWidth="1"/>
  </cols>
  <sheetData>
    <row r="1" spans="1:2" x14ac:dyDescent="0.35">
      <c r="A1" t="s">
        <v>89</v>
      </c>
      <c r="B1" t="s">
        <v>250</v>
      </c>
    </row>
    <row r="2" spans="1:2" x14ac:dyDescent="0.35">
      <c r="A2" t="s">
        <v>194</v>
      </c>
      <c r="B2" t="s">
        <v>278</v>
      </c>
    </row>
    <row r="3" spans="1:2" x14ac:dyDescent="0.35">
      <c r="A3" t="s">
        <v>43</v>
      </c>
      <c r="B3" t="s">
        <v>296</v>
      </c>
    </row>
    <row r="4" spans="1:2" x14ac:dyDescent="0.35">
      <c r="A4" t="s">
        <v>1</v>
      </c>
      <c r="B4" t="s">
        <v>241</v>
      </c>
    </row>
    <row r="5" spans="1:2" x14ac:dyDescent="0.35">
      <c r="A5" t="s">
        <v>26</v>
      </c>
      <c r="B5" t="s">
        <v>161</v>
      </c>
    </row>
    <row r="6" spans="1:2" x14ac:dyDescent="0.35">
      <c r="A6" t="s">
        <v>52</v>
      </c>
      <c r="B6" t="s">
        <v>170</v>
      </c>
    </row>
    <row r="7" spans="1:2" x14ac:dyDescent="0.35">
      <c r="A7" t="s">
        <v>41</v>
      </c>
      <c r="B7" t="s">
        <v>257</v>
      </c>
    </row>
    <row r="8" spans="1:2" x14ac:dyDescent="0.35">
      <c r="A8" t="s">
        <v>38</v>
      </c>
      <c r="B8" t="s">
        <v>158</v>
      </c>
    </row>
    <row r="9" spans="1:2" x14ac:dyDescent="0.35">
      <c r="A9" t="s">
        <v>42</v>
      </c>
      <c r="B9" t="s">
        <v>258</v>
      </c>
    </row>
    <row r="10" spans="1:2" x14ac:dyDescent="0.35">
      <c r="A10" t="s">
        <v>37</v>
      </c>
      <c r="B10" t="s">
        <v>157</v>
      </c>
    </row>
    <row r="11" spans="1:2" x14ac:dyDescent="0.35">
      <c r="A11" t="s">
        <v>46</v>
      </c>
      <c r="B11" t="s">
        <v>173</v>
      </c>
    </row>
    <row r="12" spans="1:2" x14ac:dyDescent="0.35">
      <c r="A12" t="s">
        <v>45</v>
      </c>
      <c r="B12" t="s">
        <v>174</v>
      </c>
    </row>
    <row r="13" spans="1:2" x14ac:dyDescent="0.35">
      <c r="A13" t="s">
        <v>92</v>
      </c>
      <c r="B13" t="s">
        <v>245</v>
      </c>
    </row>
    <row r="14" spans="1:2" x14ac:dyDescent="0.35">
      <c r="A14" t="s">
        <v>0</v>
      </c>
      <c r="B14" t="s">
        <v>238</v>
      </c>
    </row>
    <row r="15" spans="1:2" x14ac:dyDescent="0.35">
      <c r="A15" t="s">
        <v>246</v>
      </c>
      <c r="B15" t="s">
        <v>247</v>
      </c>
    </row>
    <row r="16" spans="1:2" x14ac:dyDescent="0.35">
      <c r="A16" t="s">
        <v>197</v>
      </c>
      <c r="B16" t="s">
        <v>198</v>
      </c>
    </row>
    <row r="17" spans="1:2" x14ac:dyDescent="0.35">
      <c r="A17" t="s">
        <v>193</v>
      </c>
      <c r="B17" t="s">
        <v>279</v>
      </c>
    </row>
    <row r="18" spans="1:2" x14ac:dyDescent="0.35">
      <c r="A18" t="s">
        <v>147</v>
      </c>
      <c r="B18" t="s">
        <v>148</v>
      </c>
    </row>
    <row r="19" spans="1:2" x14ac:dyDescent="0.35">
      <c r="A19" t="s">
        <v>48</v>
      </c>
      <c r="B19" t="s">
        <v>175</v>
      </c>
    </row>
    <row r="20" spans="1:2" x14ac:dyDescent="0.35">
      <c r="A20" t="s">
        <v>2</v>
      </c>
      <c r="B20" t="s">
        <v>282</v>
      </c>
    </row>
    <row r="21" spans="1:2" x14ac:dyDescent="0.35">
      <c r="A21" t="s">
        <v>217</v>
      </c>
      <c r="B21" t="s">
        <v>339</v>
      </c>
    </row>
    <row r="22" spans="1:2" x14ac:dyDescent="0.35">
      <c r="A22" t="s">
        <v>314</v>
      </c>
      <c r="B22" t="s">
        <v>315</v>
      </c>
    </row>
    <row r="23" spans="1:2" x14ac:dyDescent="0.35">
      <c r="A23" t="s">
        <v>202</v>
      </c>
      <c r="B23" t="s">
        <v>284</v>
      </c>
    </row>
    <row r="24" spans="1:2" x14ac:dyDescent="0.35">
      <c r="A24" t="s">
        <v>204</v>
      </c>
      <c r="B24" t="s">
        <v>286</v>
      </c>
    </row>
    <row r="25" spans="1:2" x14ac:dyDescent="0.35">
      <c r="A25" t="s">
        <v>207</v>
      </c>
      <c r="B25" t="s">
        <v>208</v>
      </c>
    </row>
    <row r="26" spans="1:2" x14ac:dyDescent="0.35">
      <c r="A26" t="s">
        <v>203</v>
      </c>
      <c r="B26" t="s">
        <v>285</v>
      </c>
    </row>
    <row r="27" spans="1:2" x14ac:dyDescent="0.35">
      <c r="A27" t="s">
        <v>35</v>
      </c>
      <c r="B27" t="s">
        <v>155</v>
      </c>
    </row>
    <row r="28" spans="1:2" x14ac:dyDescent="0.35">
      <c r="A28" t="s">
        <v>135</v>
      </c>
      <c r="B28" t="s">
        <v>146</v>
      </c>
    </row>
    <row r="29" spans="1:2" x14ac:dyDescent="0.35">
      <c r="A29" t="s">
        <v>251</v>
      </c>
      <c r="B29" t="s">
        <v>252</v>
      </c>
    </row>
    <row r="30" spans="1:2" x14ac:dyDescent="0.35">
      <c r="A30" t="s">
        <v>115</v>
      </c>
      <c r="B30" t="s">
        <v>215</v>
      </c>
    </row>
    <row r="31" spans="1:2" x14ac:dyDescent="0.35">
      <c r="A31" t="s">
        <v>210</v>
      </c>
      <c r="B31" t="s">
        <v>211</v>
      </c>
    </row>
    <row r="32" spans="1:2" x14ac:dyDescent="0.35">
      <c r="A32" t="s">
        <v>244</v>
      </c>
      <c r="B32" t="s">
        <v>245</v>
      </c>
    </row>
    <row r="33" spans="1:2" x14ac:dyDescent="0.35">
      <c r="A33" t="s">
        <v>59</v>
      </c>
      <c r="B33" t="s">
        <v>223</v>
      </c>
    </row>
    <row r="34" spans="1:2" x14ac:dyDescent="0.35">
      <c r="A34" t="s">
        <v>7</v>
      </c>
      <c r="B34" t="s">
        <v>242</v>
      </c>
    </row>
    <row r="35" spans="1:2" x14ac:dyDescent="0.35">
      <c r="A35" t="s">
        <v>114</v>
      </c>
      <c r="B35" t="s">
        <v>214</v>
      </c>
    </row>
    <row r="36" spans="1:2" x14ac:dyDescent="0.35">
      <c r="A36" t="s">
        <v>141</v>
      </c>
      <c r="B36" t="s">
        <v>142</v>
      </c>
    </row>
    <row r="37" spans="1:2" x14ac:dyDescent="0.35">
      <c r="A37" t="s">
        <v>290</v>
      </c>
      <c r="B37" t="s">
        <v>293</v>
      </c>
    </row>
    <row r="38" spans="1:2" x14ac:dyDescent="0.35">
      <c r="A38" t="s">
        <v>289</v>
      </c>
      <c r="B38" t="s">
        <v>292</v>
      </c>
    </row>
    <row r="39" spans="1:2" x14ac:dyDescent="0.35">
      <c r="A39" t="s">
        <v>22</v>
      </c>
      <c r="B39" t="s">
        <v>165</v>
      </c>
    </row>
    <row r="40" spans="1:2" x14ac:dyDescent="0.35">
      <c r="A40" t="s">
        <v>75</v>
      </c>
      <c r="B40" t="s">
        <v>150</v>
      </c>
    </row>
    <row r="41" spans="1:2" x14ac:dyDescent="0.35">
      <c r="A41" t="s">
        <v>265</v>
      </c>
      <c r="B41" t="s">
        <v>266</v>
      </c>
    </row>
    <row r="42" spans="1:2" x14ac:dyDescent="0.35">
      <c r="A42" t="s">
        <v>77</v>
      </c>
      <c r="B42" t="s">
        <v>144</v>
      </c>
    </row>
    <row r="43" spans="1:2" x14ac:dyDescent="0.35">
      <c r="A43" t="s">
        <v>73</v>
      </c>
      <c r="B43" t="s">
        <v>143</v>
      </c>
    </row>
    <row r="44" spans="1:2" x14ac:dyDescent="0.35">
      <c r="A44" t="s">
        <v>138</v>
      </c>
      <c r="B44" t="s">
        <v>103</v>
      </c>
    </row>
    <row r="45" spans="1:2" x14ac:dyDescent="0.35">
      <c r="A45" t="s">
        <v>139</v>
      </c>
      <c r="B45" t="s">
        <v>105</v>
      </c>
    </row>
    <row r="46" spans="1:2" x14ac:dyDescent="0.35">
      <c r="A46" t="s">
        <v>192</v>
      </c>
      <c r="B46" t="s">
        <v>145</v>
      </c>
    </row>
    <row r="47" spans="1:2" x14ac:dyDescent="0.35">
      <c r="A47" t="s">
        <v>80</v>
      </c>
      <c r="B47" t="s">
        <v>149</v>
      </c>
    </row>
    <row r="48" spans="1:2" x14ac:dyDescent="0.35">
      <c r="A48" t="s">
        <v>94</v>
      </c>
      <c r="B48" t="s">
        <v>338</v>
      </c>
    </row>
    <row r="49" spans="1:2" x14ac:dyDescent="0.35">
      <c r="A49" t="s">
        <v>95</v>
      </c>
      <c r="B49" t="s">
        <v>283</v>
      </c>
    </row>
    <row r="50" spans="1:2" x14ac:dyDescent="0.35">
      <c r="A50" t="s">
        <v>108</v>
      </c>
      <c r="B50" t="s">
        <v>274</v>
      </c>
    </row>
    <row r="51" spans="1:2" x14ac:dyDescent="0.35">
      <c r="A51" t="s">
        <v>109</v>
      </c>
      <c r="B51" t="s">
        <v>275</v>
      </c>
    </row>
    <row r="52" spans="1:2" x14ac:dyDescent="0.35">
      <c r="A52" t="s">
        <v>189</v>
      </c>
      <c r="B52" t="s">
        <v>190</v>
      </c>
    </row>
    <row r="53" spans="1:2" x14ac:dyDescent="0.35">
      <c r="A53" t="s">
        <v>96</v>
      </c>
      <c r="B53" t="s">
        <v>281</v>
      </c>
    </row>
    <row r="54" spans="1:2" x14ac:dyDescent="0.35">
      <c r="A54" t="s">
        <v>97</v>
      </c>
      <c r="B54" t="s">
        <v>280</v>
      </c>
    </row>
    <row r="55" spans="1:2" x14ac:dyDescent="0.35">
      <c r="A55" t="s">
        <v>102</v>
      </c>
      <c r="B55" t="s">
        <v>277</v>
      </c>
    </row>
    <row r="56" spans="1:2" x14ac:dyDescent="0.35">
      <c r="A56" t="s">
        <v>106</v>
      </c>
      <c r="B56" t="s">
        <v>273</v>
      </c>
    </row>
    <row r="57" spans="1:2" x14ac:dyDescent="0.35">
      <c r="A57" t="s">
        <v>107</v>
      </c>
      <c r="B57" t="s">
        <v>276</v>
      </c>
    </row>
    <row r="58" spans="1:2" x14ac:dyDescent="0.35">
      <c r="A58" t="s">
        <v>221</v>
      </c>
      <c r="B58" t="s">
        <v>222</v>
      </c>
    </row>
    <row r="59" spans="1:2" x14ac:dyDescent="0.35">
      <c r="A59" t="s">
        <v>39</v>
      </c>
      <c r="B59" t="s">
        <v>159</v>
      </c>
    </row>
    <row r="60" spans="1:2" x14ac:dyDescent="0.35">
      <c r="A60" t="s">
        <v>9</v>
      </c>
      <c r="B60" t="s">
        <v>256</v>
      </c>
    </row>
    <row r="61" spans="1:2" x14ac:dyDescent="0.35">
      <c r="A61" t="s">
        <v>74</v>
      </c>
      <c r="B61" t="s">
        <v>124</v>
      </c>
    </row>
    <row r="62" spans="1:2" x14ac:dyDescent="0.35">
      <c r="A62" t="s">
        <v>53</v>
      </c>
      <c r="B62" t="s">
        <v>172</v>
      </c>
    </row>
    <row r="63" spans="1:2" x14ac:dyDescent="0.35">
      <c r="A63" t="s">
        <v>5</v>
      </c>
      <c r="B63" t="s">
        <v>249</v>
      </c>
    </row>
    <row r="64" spans="1:2" x14ac:dyDescent="0.35">
      <c r="A64" t="s">
        <v>49</v>
      </c>
      <c r="B64" t="s">
        <v>176</v>
      </c>
    </row>
    <row r="65" spans="1:2" x14ac:dyDescent="0.35">
      <c r="A65" t="s">
        <v>47</v>
      </c>
      <c r="B65" t="s">
        <v>177</v>
      </c>
    </row>
    <row r="66" spans="1:2" x14ac:dyDescent="0.35">
      <c r="A66" t="s">
        <v>36</v>
      </c>
      <c r="B66" t="s">
        <v>156</v>
      </c>
    </row>
    <row r="67" spans="1:2" x14ac:dyDescent="0.35">
      <c r="A67" t="s">
        <v>128</v>
      </c>
      <c r="B67" t="s">
        <v>128</v>
      </c>
    </row>
    <row r="68" spans="1:2" x14ac:dyDescent="0.35">
      <c r="A68" t="s">
        <v>140</v>
      </c>
      <c r="B68" t="s">
        <v>140</v>
      </c>
    </row>
    <row r="69" spans="1:2" x14ac:dyDescent="0.35">
      <c r="A69" t="s">
        <v>178</v>
      </c>
      <c r="B69" t="s">
        <v>287</v>
      </c>
    </row>
    <row r="70" spans="1:2" x14ac:dyDescent="0.35">
      <c r="A70" t="s">
        <v>6</v>
      </c>
      <c r="B70" t="s">
        <v>243</v>
      </c>
    </row>
    <row r="71" spans="1:2" x14ac:dyDescent="0.35">
      <c r="A71" t="s">
        <v>28</v>
      </c>
      <c r="B71" t="s">
        <v>163</v>
      </c>
    </row>
    <row r="72" spans="1:2" x14ac:dyDescent="0.35">
      <c r="A72" t="s">
        <v>31</v>
      </c>
      <c r="B72" t="s">
        <v>164</v>
      </c>
    </row>
    <row r="73" spans="1:2" x14ac:dyDescent="0.35">
      <c r="A73" t="s">
        <v>166</v>
      </c>
      <c r="B73" t="s">
        <v>239</v>
      </c>
    </row>
    <row r="74" spans="1:2" x14ac:dyDescent="0.35">
      <c r="A74" t="s">
        <v>218</v>
      </c>
      <c r="B74" t="s">
        <v>340</v>
      </c>
    </row>
    <row r="75" spans="1:2" x14ac:dyDescent="0.35">
      <c r="A75" t="s">
        <v>21</v>
      </c>
      <c r="B75" t="s">
        <v>167</v>
      </c>
    </row>
    <row r="76" spans="1:2" x14ac:dyDescent="0.35">
      <c r="A76" t="s">
        <v>90</v>
      </c>
      <c r="B76" t="s">
        <v>240</v>
      </c>
    </row>
    <row r="77" spans="1:2" x14ac:dyDescent="0.35">
      <c r="A77" t="s">
        <v>58</v>
      </c>
      <c r="B77" t="s">
        <v>171</v>
      </c>
    </row>
    <row r="78" spans="1:2" x14ac:dyDescent="0.35">
      <c r="A78" t="s">
        <v>15</v>
      </c>
      <c r="B78" t="s">
        <v>169</v>
      </c>
    </row>
    <row r="79" spans="1:2" x14ac:dyDescent="0.35">
      <c r="A79" t="s">
        <v>297</v>
      </c>
      <c r="B79" t="s">
        <v>298</v>
      </c>
    </row>
    <row r="80" spans="1:2" x14ac:dyDescent="0.35">
      <c r="A80" t="s">
        <v>4</v>
      </c>
      <c r="B80" t="s">
        <v>248</v>
      </c>
    </row>
    <row r="81" spans="1:2" x14ac:dyDescent="0.35">
      <c r="A81" t="s">
        <v>32</v>
      </c>
      <c r="B81" t="s">
        <v>336</v>
      </c>
    </row>
    <row r="82" spans="1:2" x14ac:dyDescent="0.35">
      <c r="A82" t="s">
        <v>33</v>
      </c>
      <c r="B82" t="s">
        <v>337</v>
      </c>
    </row>
    <row r="83" spans="1:2" x14ac:dyDescent="0.35">
      <c r="A83" t="s">
        <v>27</v>
      </c>
      <c r="B83" t="s">
        <v>162</v>
      </c>
    </row>
    <row r="84" spans="1:2" x14ac:dyDescent="0.35">
      <c r="A84" t="s">
        <v>333</v>
      </c>
      <c r="B84" t="s">
        <v>482</v>
      </c>
    </row>
    <row r="85" spans="1:2" x14ac:dyDescent="0.35">
      <c r="A85" t="s">
        <v>335</v>
      </c>
      <c r="B85" t="s">
        <v>318</v>
      </c>
    </row>
    <row r="86" spans="1:2" x14ac:dyDescent="0.35">
      <c r="A86" t="s">
        <v>50</v>
      </c>
      <c r="B86" t="s">
        <v>296</v>
      </c>
    </row>
    <row r="87" spans="1:2" x14ac:dyDescent="0.35">
      <c r="A87" t="s">
        <v>91</v>
      </c>
      <c r="B87" t="s">
        <v>91</v>
      </c>
    </row>
    <row r="88" spans="1:2" x14ac:dyDescent="0.35">
      <c r="A88" t="s">
        <v>303</v>
      </c>
      <c r="B88" t="s">
        <v>300</v>
      </c>
    </row>
    <row r="89" spans="1:2" x14ac:dyDescent="0.35">
      <c r="A89" t="s">
        <v>311</v>
      </c>
      <c r="B89" t="s">
        <v>312</v>
      </c>
    </row>
    <row r="90" spans="1:2" x14ac:dyDescent="0.35">
      <c r="A90" t="s">
        <v>302</v>
      </c>
      <c r="B90" t="s">
        <v>317</v>
      </c>
    </row>
    <row r="91" spans="1:2" x14ac:dyDescent="0.35">
      <c r="A91" t="s">
        <v>301</v>
      </c>
      <c r="B91" t="s">
        <v>316</v>
      </c>
    </row>
    <row r="92" spans="1:2" x14ac:dyDescent="0.35">
      <c r="A92" t="s">
        <v>310</v>
      </c>
      <c r="B92" t="s">
        <v>313</v>
      </c>
    </row>
    <row r="93" spans="1:2" x14ac:dyDescent="0.35">
      <c r="A93" t="s">
        <v>341</v>
      </c>
      <c r="B93" t="s">
        <v>342</v>
      </c>
    </row>
    <row r="94" spans="1:2" x14ac:dyDescent="0.35">
      <c r="A94" t="s">
        <v>343</v>
      </c>
      <c r="B94" t="s">
        <v>344</v>
      </c>
    </row>
    <row r="95" spans="1:2" x14ac:dyDescent="0.35">
      <c r="A95" t="s">
        <v>343</v>
      </c>
      <c r="B95" t="s">
        <v>344</v>
      </c>
    </row>
    <row r="96" spans="1:2" x14ac:dyDescent="0.35">
      <c r="A96" t="s">
        <v>345</v>
      </c>
      <c r="B96" t="s">
        <v>357</v>
      </c>
    </row>
    <row r="97" spans="1:2" x14ac:dyDescent="0.35">
      <c r="A97" t="s">
        <v>345</v>
      </c>
      <c r="B97" t="s">
        <v>357</v>
      </c>
    </row>
    <row r="98" spans="1:2" x14ac:dyDescent="0.35">
      <c r="A98" t="s">
        <v>346</v>
      </c>
      <c r="B98" t="s">
        <v>356</v>
      </c>
    </row>
    <row r="99" spans="1:2" x14ac:dyDescent="0.35">
      <c r="A99" t="s">
        <v>347</v>
      </c>
      <c r="B99" t="s">
        <v>355</v>
      </c>
    </row>
    <row r="100" spans="1:2" x14ac:dyDescent="0.35">
      <c r="A100" t="s">
        <v>348</v>
      </c>
      <c r="B100" t="s">
        <v>354</v>
      </c>
    </row>
    <row r="101" spans="1:2" x14ac:dyDescent="0.35">
      <c r="A101" t="s">
        <v>349</v>
      </c>
      <c r="B101" t="s">
        <v>350</v>
      </c>
    </row>
    <row r="102" spans="1:2" x14ac:dyDescent="0.35">
      <c r="A102" t="s">
        <v>351</v>
      </c>
      <c r="B102" t="s">
        <v>352</v>
      </c>
    </row>
    <row r="103" spans="1:2" x14ac:dyDescent="0.35">
      <c r="A103" t="s">
        <v>362</v>
      </c>
      <c r="B103" t="s">
        <v>353</v>
      </c>
    </row>
    <row r="104" spans="1:2" x14ac:dyDescent="0.35">
      <c r="A104" t="s">
        <v>447</v>
      </c>
      <c r="B104" t="s">
        <v>315</v>
      </c>
    </row>
    <row r="105" spans="1:2" x14ac:dyDescent="0.35">
      <c r="A105" t="s">
        <v>471</v>
      </c>
      <c r="B105" t="s">
        <v>472</v>
      </c>
    </row>
    <row r="106" spans="1:2" x14ac:dyDescent="0.35">
      <c r="A106" t="s">
        <v>497</v>
      </c>
      <c r="B106" s="22" t="s">
        <v>369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37" workbookViewId="0">
      <selection activeCell="B32" sqref="B32"/>
    </sheetView>
  </sheetViews>
  <sheetFormatPr defaultRowHeight="14.5" x14ac:dyDescent="0.35"/>
  <cols>
    <col min="1" max="1" width="12.81640625" customWidth="1"/>
    <col min="2" max="3" width="45.1796875" customWidth="1"/>
  </cols>
  <sheetData>
    <row r="1" spans="1:4" x14ac:dyDescent="0.35">
      <c r="A1" t="s">
        <v>229</v>
      </c>
      <c r="B1" t="s">
        <v>128</v>
      </c>
      <c r="C1" t="s">
        <v>152</v>
      </c>
      <c r="D1" t="s">
        <v>260</v>
      </c>
    </row>
    <row r="2" spans="1:4" x14ac:dyDescent="0.35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5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5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0</v>
      </c>
    </row>
    <row r="19" spans="1:4" x14ac:dyDescent="0.35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0</v>
      </c>
    </row>
    <row r="20" spans="1:4" x14ac:dyDescent="0.35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0</v>
      </c>
    </row>
    <row r="21" spans="1:4" x14ac:dyDescent="0.35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0</v>
      </c>
    </row>
    <row r="22" spans="1:4" x14ac:dyDescent="0.35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3</v>
      </c>
    </row>
    <row r="23" spans="1:4" x14ac:dyDescent="0.35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5</v>
      </c>
    </row>
    <row r="24" spans="1:4" x14ac:dyDescent="0.35">
      <c r="A24">
        <v>1</v>
      </c>
      <c r="B24" t="s">
        <v>186</v>
      </c>
      <c r="C24" t="s">
        <v>187</v>
      </c>
    </row>
    <row r="25" spans="1:4" x14ac:dyDescent="0.35">
      <c r="A25">
        <v>2</v>
      </c>
      <c r="B25" t="s">
        <v>196</v>
      </c>
      <c r="C25" t="s">
        <v>187</v>
      </c>
    </row>
    <row r="26" spans="1:4" x14ac:dyDescent="0.35">
      <c r="A26">
        <v>3</v>
      </c>
      <c r="B26" t="s">
        <v>195</v>
      </c>
      <c r="C26" t="s">
        <v>187</v>
      </c>
    </row>
    <row r="27" spans="1:4" x14ac:dyDescent="0.35">
      <c r="A27">
        <v>4</v>
      </c>
      <c r="B27" t="s">
        <v>130</v>
      </c>
      <c r="C27" t="s">
        <v>187</v>
      </c>
    </row>
    <row r="28" spans="1:4" x14ac:dyDescent="0.35">
      <c r="A28">
        <v>5</v>
      </c>
      <c r="B28" t="s">
        <v>85</v>
      </c>
      <c r="C28" t="s">
        <v>187</v>
      </c>
    </row>
    <row r="29" spans="1:4" x14ac:dyDescent="0.35">
      <c r="A29">
        <v>6</v>
      </c>
      <c r="B29" t="s">
        <v>134</v>
      </c>
      <c r="C29" t="s">
        <v>187</v>
      </c>
    </row>
    <row r="30" spans="1:4" x14ac:dyDescent="0.35">
      <c r="A30">
        <v>7</v>
      </c>
      <c r="B30" t="s">
        <v>34</v>
      </c>
      <c r="C30" t="s">
        <v>187</v>
      </c>
    </row>
    <row r="31" spans="1:4" x14ac:dyDescent="0.35">
      <c r="A31">
        <v>8</v>
      </c>
      <c r="B31" t="s">
        <v>188</v>
      </c>
      <c r="C31" t="s">
        <v>187</v>
      </c>
    </row>
    <row r="32" spans="1:4" x14ac:dyDescent="0.35">
      <c r="A32">
        <v>9</v>
      </c>
      <c r="B32" t="s">
        <v>469</v>
      </c>
      <c r="C32" t="s">
        <v>187</v>
      </c>
    </row>
    <row r="33" spans="1:3" x14ac:dyDescent="0.35">
      <c r="A33">
        <v>10</v>
      </c>
      <c r="B33" t="s">
        <v>168</v>
      </c>
      <c r="C33" t="s">
        <v>187</v>
      </c>
    </row>
    <row r="34" spans="1:3" x14ac:dyDescent="0.35">
      <c r="A34">
        <v>11</v>
      </c>
      <c r="B34" t="s">
        <v>72</v>
      </c>
      <c r="C34" t="s">
        <v>187</v>
      </c>
    </row>
    <row r="35" spans="1:3" x14ac:dyDescent="0.35">
      <c r="A35">
        <v>12</v>
      </c>
      <c r="B35" t="s">
        <v>93</v>
      </c>
      <c r="C35" t="s">
        <v>187</v>
      </c>
    </row>
    <row r="36" spans="1:3" x14ac:dyDescent="0.35">
      <c r="A36">
        <v>13</v>
      </c>
      <c r="B36" t="s">
        <v>200</v>
      </c>
      <c r="C36" t="s">
        <v>187</v>
      </c>
    </row>
    <row r="37" spans="1:3" x14ac:dyDescent="0.35">
      <c r="A37">
        <v>14</v>
      </c>
      <c r="B37" t="s">
        <v>206</v>
      </c>
      <c r="C37" t="s">
        <v>187</v>
      </c>
    </row>
    <row r="38" spans="1:3" x14ac:dyDescent="0.35">
      <c r="A38">
        <v>1</v>
      </c>
      <c r="B38" t="s">
        <v>230</v>
      </c>
      <c r="C38" t="s">
        <v>212</v>
      </c>
    </row>
    <row r="39" spans="1:3" x14ac:dyDescent="0.35">
      <c r="A39">
        <v>2</v>
      </c>
      <c r="B39" t="s">
        <v>227</v>
      </c>
      <c r="C39" t="s">
        <v>212</v>
      </c>
    </row>
    <row r="40" spans="1:3" x14ac:dyDescent="0.35">
      <c r="A40">
        <v>3</v>
      </c>
      <c r="B40" t="s">
        <v>231</v>
      </c>
      <c r="C40" t="s">
        <v>212</v>
      </c>
    </row>
    <row r="41" spans="1:3" x14ac:dyDescent="0.35">
      <c r="A41">
        <v>4</v>
      </c>
      <c r="B41" t="s">
        <v>111</v>
      </c>
      <c r="C41" t="s">
        <v>212</v>
      </c>
    </row>
    <row r="42" spans="1:3" x14ac:dyDescent="0.35">
      <c r="A42">
        <v>5</v>
      </c>
      <c r="B42" t="s">
        <v>113</v>
      </c>
      <c r="C42" t="s">
        <v>212</v>
      </c>
    </row>
    <row r="43" spans="1:3" x14ac:dyDescent="0.35">
      <c r="A43">
        <v>6</v>
      </c>
      <c r="B43" t="s">
        <v>219</v>
      </c>
      <c r="C43" t="s">
        <v>212</v>
      </c>
    </row>
    <row r="44" spans="1:3" x14ac:dyDescent="0.35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81640625" defaultRowHeight="14.5" x14ac:dyDescent="0.35"/>
  <cols>
    <col min="1" max="1" width="10.1796875" customWidth="1"/>
    <col min="2" max="2" width="11.8164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  <col min="12" max="12" width="16.81640625" bestFit="1" customWidth="1"/>
  </cols>
  <sheetData>
    <row r="1" spans="1:16" x14ac:dyDescent="0.35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5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zoomScale="80" zoomScaleNormal="80" workbookViewId="0">
      <selection activeCell="A69" sqref="A69:XFD75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21.453125" style="12" bestFit="1" customWidth="1"/>
    <col min="4" max="4" width="5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5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5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5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5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5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5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5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5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5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5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5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5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5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5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5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5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5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5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5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5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5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5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5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5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5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5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5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5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5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5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5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5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5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5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5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5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5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5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5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5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5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5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5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5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5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5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5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5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5">
      <c r="A69" t="s">
        <v>299</v>
      </c>
      <c r="B69">
        <v>17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5">
      <c r="A70" t="s">
        <v>299</v>
      </c>
      <c r="B70">
        <v>17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5">
      <c r="A71" t="s">
        <v>299</v>
      </c>
      <c r="B71">
        <v>17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5">
      <c r="A72" t="s">
        <v>299</v>
      </c>
      <c r="B72">
        <v>17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5">
      <c r="A73" t="s">
        <v>299</v>
      </c>
      <c r="B73">
        <v>17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5">
      <c r="A74" t="s">
        <v>299</v>
      </c>
      <c r="B74">
        <v>17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5">
      <c r="A75" t="s">
        <v>299</v>
      </c>
      <c r="B75">
        <v>17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5">
      <c r="A76" t="s">
        <v>300</v>
      </c>
      <c r="B76">
        <v>16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5">
      <c r="A77" t="s">
        <v>309</v>
      </c>
      <c r="B77" s="8">
        <v>15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abSelected="1" topLeftCell="A239" zoomScale="80" zoomScaleNormal="80" workbookViewId="0">
      <selection activeCell="B248" sqref="B248"/>
    </sheetView>
  </sheetViews>
  <sheetFormatPr defaultRowHeight="14.5" x14ac:dyDescent="0.35"/>
  <cols>
    <col min="1" max="1" width="45.1796875" bestFit="1" customWidth="1"/>
    <col min="2" max="2" width="13.81640625" bestFit="1" customWidth="1"/>
    <col min="3" max="3" width="52.81640625" customWidth="1"/>
    <col min="4" max="4" width="32.81640625" customWidth="1"/>
    <col min="5" max="5" width="33.81640625" bestFit="1" customWidth="1"/>
    <col min="6" max="6" width="13" bestFit="1" customWidth="1"/>
    <col min="7" max="7" width="30.54296875" customWidth="1"/>
    <col min="8" max="8" width="21.81640625" customWidth="1"/>
    <col min="9" max="9" width="11" customWidth="1"/>
    <col min="10" max="10" width="11.81640625" customWidth="1"/>
    <col min="11" max="12" width="17.54296875" customWidth="1"/>
    <col min="13" max="13" width="36" bestFit="1" customWidth="1"/>
    <col min="14" max="14" width="19.453125" bestFit="1" customWidth="1"/>
    <col min="15" max="15" width="47.54296875" customWidth="1"/>
  </cols>
  <sheetData>
    <row r="1" spans="1:15" ht="14" customHeight="1" x14ac:dyDescent="0.35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5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5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5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5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5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5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5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5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5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5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5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5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5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5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5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5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5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5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5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5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5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5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5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5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5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5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5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5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5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5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5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5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5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5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5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5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5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5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5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5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5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5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5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5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5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5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5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5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5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5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5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5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5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5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5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5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5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5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5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5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5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5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5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5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5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5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5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5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5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5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5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5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5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5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5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5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5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5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5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5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5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5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5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5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5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5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5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5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5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5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5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5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5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5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5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5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5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5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5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5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5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5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5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5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5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5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5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5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5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5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5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5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5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5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5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5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5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5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5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5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5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5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5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5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5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5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5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5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5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5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5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5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5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5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5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5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5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5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5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5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5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5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5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5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5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5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5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5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5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5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5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5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5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5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5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5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5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5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5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5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5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5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5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5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5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5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5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5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5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5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5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5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5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5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5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5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5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5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5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5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5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5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5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5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5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5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5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5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5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5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5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5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5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5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5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5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5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5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5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5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5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5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5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5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5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5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5">
      <c r="A209" t="s">
        <v>299</v>
      </c>
      <c r="B209">
        <v>17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5">
      <c r="A210" t="s">
        <v>299</v>
      </c>
      <c r="B210">
        <v>17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5">
      <c r="A211" t="s">
        <v>299</v>
      </c>
      <c r="B211">
        <v>17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5">
      <c r="A212" t="s">
        <v>299</v>
      </c>
      <c r="B212">
        <v>17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5">
      <c r="A213" t="s">
        <v>299</v>
      </c>
      <c r="B213">
        <v>17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5">
      <c r="A214" t="s">
        <v>299</v>
      </c>
      <c r="B214">
        <v>17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5">
      <c r="A215" t="s">
        <v>299</v>
      </c>
      <c r="B215">
        <v>17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5">
      <c r="A216" t="s">
        <v>299</v>
      </c>
      <c r="B216">
        <v>17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5">
      <c r="A217" t="s">
        <v>299</v>
      </c>
      <c r="B217">
        <v>17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5">
      <c r="A218" t="s">
        <v>299</v>
      </c>
      <c r="B218">
        <v>17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5">
      <c r="A219" t="s">
        <v>299</v>
      </c>
      <c r="B219">
        <v>17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5">
      <c r="A220" t="s">
        <v>299</v>
      </c>
      <c r="B220">
        <v>17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5">
      <c r="A221" t="s">
        <v>299</v>
      </c>
      <c r="B221">
        <v>17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5">
      <c r="A222" t="s">
        <v>299</v>
      </c>
      <c r="B222">
        <v>17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5">
      <c r="A223" t="s">
        <v>299</v>
      </c>
      <c r="B223">
        <v>17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5">
      <c r="A224" t="s">
        <v>299</v>
      </c>
      <c r="B224">
        <v>17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5">
      <c r="A225" t="s">
        <v>299</v>
      </c>
      <c r="B225">
        <v>17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5">
      <c r="A226" t="s">
        <v>299</v>
      </c>
      <c r="B226">
        <v>17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5">
      <c r="A227" t="s">
        <v>299</v>
      </c>
      <c r="B227">
        <v>17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5">
      <c r="A228" t="s">
        <v>299</v>
      </c>
      <c r="B228">
        <v>17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5">
      <c r="A229" t="s">
        <v>299</v>
      </c>
      <c r="B229">
        <v>17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5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5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5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5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5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5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5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5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5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5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5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5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5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5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5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5">
      <c r="A245" t="s">
        <v>309</v>
      </c>
      <c r="B245">
        <v>15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5">
      <c r="A246" t="s">
        <v>309</v>
      </c>
      <c r="B246">
        <v>15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5">
      <c r="A247" t="s">
        <v>309</v>
      </c>
      <c r="B247">
        <v>15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4"/>
  <sheetViews>
    <sheetView showGridLines="0" topLeftCell="A125" zoomScale="70" zoomScaleNormal="70" workbookViewId="0">
      <selection activeCell="A144" sqref="A144:N144"/>
    </sheetView>
  </sheetViews>
  <sheetFormatPr defaultRowHeight="14.5" x14ac:dyDescent="0.35"/>
  <cols>
    <col min="1" max="1" width="12.1796875" customWidth="1"/>
    <col min="2" max="2" width="39.81640625" customWidth="1"/>
    <col min="3" max="3" width="20.1796875" bestFit="1" customWidth="1"/>
    <col min="4" max="5" width="39.81640625" customWidth="1"/>
    <col min="6" max="6" width="11.8164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81640625" bestFit="1" customWidth="1"/>
  </cols>
  <sheetData>
    <row r="1" spans="1:14" x14ac:dyDescent="0.35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5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5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5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5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5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5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5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5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5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5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5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5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5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5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5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5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5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5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5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5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5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5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5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5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5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5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5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5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5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5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5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5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5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5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5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5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5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5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5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5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5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5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5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5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5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5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5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5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8">
        <v>9.3421976795910062</v>
      </c>
    </row>
    <row r="50" spans="1:14" x14ac:dyDescent="0.35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5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5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8">
        <v>9.3421976795910062</v>
      </c>
    </row>
    <row r="53" spans="1:14" x14ac:dyDescent="0.35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5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5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8">
        <v>9.3421976795910062</v>
      </c>
    </row>
    <row r="56" spans="1:14" x14ac:dyDescent="0.35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5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8">
        <v>0.27430708156724903</v>
      </c>
    </row>
    <row r="58" spans="1:14" x14ac:dyDescent="0.35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8">
        <v>7.1000702364891639</v>
      </c>
    </row>
    <row r="59" spans="1:14" x14ac:dyDescent="0.35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5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8">
        <v>0.27430708156724903</v>
      </c>
    </row>
    <row r="61" spans="1:14" x14ac:dyDescent="0.35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8">
        <v>7.1000702364891639</v>
      </c>
    </row>
    <row r="62" spans="1:14" x14ac:dyDescent="0.35">
      <c r="A62" s="17" t="s">
        <v>44</v>
      </c>
      <c r="B62" s="17">
        <v>0</v>
      </c>
      <c r="C62" s="33" t="s">
        <v>444</v>
      </c>
      <c r="D62" s="17" t="s">
        <v>195</v>
      </c>
      <c r="E62" s="17"/>
      <c r="F62" s="17"/>
      <c r="G62" s="17"/>
      <c r="H62" s="17" t="s">
        <v>57</v>
      </c>
      <c r="I62" s="17"/>
      <c r="J62" s="17"/>
      <c r="K62" s="17" t="s">
        <v>55</v>
      </c>
      <c r="L62" s="17" t="s">
        <v>268</v>
      </c>
      <c r="M62" s="17" t="s">
        <v>102</v>
      </c>
      <c r="N62" s="18">
        <v>507824.03333333333</v>
      </c>
    </row>
    <row r="63" spans="1:14" x14ac:dyDescent="0.35">
      <c r="A63" s="17" t="s">
        <v>44</v>
      </c>
      <c r="B63" s="17">
        <v>0</v>
      </c>
      <c r="C63" s="33" t="s">
        <v>444</v>
      </c>
      <c r="D63" s="17" t="s">
        <v>195</v>
      </c>
      <c r="E63" s="17"/>
      <c r="F63" s="17"/>
      <c r="G63" s="17"/>
      <c r="H63" s="17" t="s">
        <v>57</v>
      </c>
      <c r="I63" s="17"/>
      <c r="J63" s="17"/>
      <c r="K63" s="17" t="s">
        <v>55</v>
      </c>
      <c r="L63" s="17" t="s">
        <v>270</v>
      </c>
      <c r="M63" s="17" t="s">
        <v>106</v>
      </c>
      <c r="N63" s="18">
        <v>0.70316123608534298</v>
      </c>
    </row>
    <row r="64" spans="1:14" x14ac:dyDescent="0.35">
      <c r="A64" s="17" t="s">
        <v>44</v>
      </c>
      <c r="B64" s="17">
        <v>0</v>
      </c>
      <c r="C64" s="33" t="s">
        <v>444</v>
      </c>
      <c r="D64" s="17" t="s">
        <v>195</v>
      </c>
      <c r="E64" s="17"/>
      <c r="F64" s="17"/>
      <c r="G64" s="17"/>
      <c r="H64" s="17" t="s">
        <v>57</v>
      </c>
      <c r="I64" s="17"/>
      <c r="J64" s="17"/>
      <c r="K64" s="17" t="s">
        <v>55</v>
      </c>
      <c r="L64" s="17" t="s">
        <v>271</v>
      </c>
      <c r="M64" s="17" t="s">
        <v>107</v>
      </c>
      <c r="N64" s="18">
        <v>7.814468991711423</v>
      </c>
    </row>
    <row r="65" spans="1:14" x14ac:dyDescent="0.35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5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5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5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5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5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5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5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5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5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5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5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5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5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5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5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5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5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5">
      <c r="A83" t="s">
        <v>127</v>
      </c>
      <c r="B83">
        <v>5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5">
      <c r="A84" t="s">
        <v>44</v>
      </c>
      <c r="B84">
        <v>6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5">
      <c r="A85" t="s">
        <v>44</v>
      </c>
      <c r="B85">
        <v>6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5">
      <c r="A86" t="s">
        <v>44</v>
      </c>
      <c r="B86">
        <v>6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5">
      <c r="A87" t="s">
        <v>44</v>
      </c>
      <c r="B87">
        <v>6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5">
      <c r="A88" t="s">
        <v>44</v>
      </c>
      <c r="B88">
        <v>6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5">
      <c r="A89" t="s">
        <v>44</v>
      </c>
      <c r="B89">
        <v>6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5">
      <c r="A90" t="s">
        <v>44</v>
      </c>
      <c r="B90">
        <v>6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5">
      <c r="A91" t="s">
        <v>44</v>
      </c>
      <c r="B91">
        <v>6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5">
      <c r="A92" t="s">
        <v>44</v>
      </c>
      <c r="B92">
        <v>6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5">
      <c r="A93" t="s">
        <v>44</v>
      </c>
      <c r="B93">
        <v>6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5">
      <c r="A94" t="s">
        <v>44</v>
      </c>
      <c r="B94">
        <v>6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5">
      <c r="A95" t="s">
        <v>44</v>
      </c>
      <c r="B95">
        <v>6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5">
      <c r="A96" t="s">
        <v>134</v>
      </c>
      <c r="B96">
        <v>7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5">
      <c r="A97" t="s">
        <v>34</v>
      </c>
      <c r="B97">
        <v>8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5">
      <c r="A98" t="s">
        <v>76</v>
      </c>
      <c r="B98">
        <v>9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5">
      <c r="A99" t="s">
        <v>76</v>
      </c>
      <c r="B99">
        <v>9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5">
      <c r="A100" t="s">
        <v>76</v>
      </c>
      <c r="B100">
        <v>9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5">
      <c r="A101" t="s">
        <v>76</v>
      </c>
      <c r="B101">
        <v>9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5">
      <c r="A102" t="s">
        <v>76</v>
      </c>
      <c r="B102">
        <v>9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5">
      <c r="A103" t="s">
        <v>76</v>
      </c>
      <c r="B103">
        <v>9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5">
      <c r="A104" t="s">
        <v>76</v>
      </c>
      <c r="B104">
        <v>9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5">
      <c r="A105" t="s">
        <v>76</v>
      </c>
      <c r="B105">
        <v>9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5">
      <c r="A106" t="s">
        <v>469</v>
      </c>
      <c r="B106">
        <v>10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5">
      <c r="A107" t="s">
        <v>469</v>
      </c>
      <c r="B107">
        <v>10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5">
      <c r="A108" t="s">
        <v>469</v>
      </c>
      <c r="B108">
        <v>10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5">
      <c r="A109" t="s">
        <v>469</v>
      </c>
      <c r="B109">
        <v>10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5">
      <c r="A110" t="s">
        <v>469</v>
      </c>
      <c r="B110">
        <v>10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5">
      <c r="A111" t="s">
        <v>469</v>
      </c>
      <c r="B111">
        <v>10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5">
      <c r="A112" t="s">
        <v>469</v>
      </c>
      <c r="B112">
        <v>10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5">
      <c r="A113" t="s">
        <v>469</v>
      </c>
      <c r="B113">
        <v>10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5">
      <c r="A114" t="s">
        <v>469</v>
      </c>
      <c r="B114">
        <v>10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5">
      <c r="A115" t="s">
        <v>168</v>
      </c>
      <c r="B115">
        <v>11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5">
      <c r="A116" t="s">
        <v>72</v>
      </c>
      <c r="B116">
        <v>12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5">
      <c r="A117" t="s">
        <v>72</v>
      </c>
      <c r="B117">
        <v>12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5">
      <c r="A118" t="s">
        <v>72</v>
      </c>
      <c r="B118">
        <v>12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5">
      <c r="A119" t="s">
        <v>72</v>
      </c>
      <c r="B119">
        <v>12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5">
      <c r="A120" t="s">
        <v>72</v>
      </c>
      <c r="B120">
        <v>12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5">
      <c r="A121" t="s">
        <v>72</v>
      </c>
      <c r="B121">
        <v>12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5">
      <c r="A122" t="s">
        <v>72</v>
      </c>
      <c r="B122">
        <v>12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5">
      <c r="A123" t="s">
        <v>72</v>
      </c>
      <c r="B123">
        <v>12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5">
      <c r="A124" t="s">
        <v>72</v>
      </c>
      <c r="B124">
        <v>12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5">
      <c r="A125" t="s">
        <v>72</v>
      </c>
      <c r="B125">
        <v>12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5">
      <c r="A126" t="s">
        <v>72</v>
      </c>
      <c r="B126">
        <v>12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5">
      <c r="A127" t="s">
        <v>72</v>
      </c>
      <c r="B127">
        <v>12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5">
      <c r="A128" t="s">
        <v>72</v>
      </c>
      <c r="B128">
        <v>12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5">
      <c r="A129" t="s">
        <v>72</v>
      </c>
      <c r="B129">
        <v>12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5">
      <c r="A130" t="s">
        <v>125</v>
      </c>
      <c r="B130">
        <v>13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5">
      <c r="A131" t="s">
        <v>93</v>
      </c>
      <c r="B131">
        <v>14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5">
      <c r="A132" t="s">
        <v>93</v>
      </c>
      <c r="B132">
        <v>14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5">
      <c r="A133" t="s">
        <v>93</v>
      </c>
      <c r="B133">
        <v>14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5">
      <c r="A134" t="s">
        <v>93</v>
      </c>
      <c r="B134">
        <v>14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5">
      <c r="A135" t="s">
        <v>93</v>
      </c>
      <c r="B135">
        <v>14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5">
      <c r="A136" t="s">
        <v>93</v>
      </c>
      <c r="B136">
        <v>14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5">
      <c r="A137" t="s">
        <v>93</v>
      </c>
      <c r="B137">
        <v>14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5">
      <c r="A138" t="s">
        <v>93</v>
      </c>
      <c r="B138">
        <v>14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5">
      <c r="A139" t="s">
        <v>200</v>
      </c>
      <c r="B139">
        <v>18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5">
      <c r="A140" t="s">
        <v>200</v>
      </c>
      <c r="B140">
        <v>18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5">
      <c r="A141" t="s">
        <v>200</v>
      </c>
      <c r="B141">
        <v>18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5">
      <c r="A142" t="s">
        <v>200</v>
      </c>
      <c r="B142">
        <v>18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5">
      <c r="A143" t="s">
        <v>309</v>
      </c>
      <c r="B143">
        <v>15</v>
      </c>
      <c r="C143" s="12" t="s">
        <v>443</v>
      </c>
      <c r="D143" t="s">
        <v>309</v>
      </c>
      <c r="L143" t="s">
        <v>268</v>
      </c>
      <c r="M143" t="s">
        <v>95</v>
      </c>
      <c r="N143" s="10">
        <v>429359</v>
      </c>
    </row>
    <row r="144" spans="1:14" x14ac:dyDescent="0.35">
      <c r="A144" s="19" t="s">
        <v>300</v>
      </c>
      <c r="B144" s="20">
        <v>16</v>
      </c>
      <c r="C144" s="20">
        <v>-1</v>
      </c>
      <c r="D144" s="20" t="s">
        <v>300</v>
      </c>
      <c r="E144" s="20"/>
      <c r="F144" s="20"/>
      <c r="G144" s="20"/>
      <c r="H144" s="20"/>
      <c r="J144" s="20"/>
      <c r="K144" s="20"/>
      <c r="L144" s="20" t="s">
        <v>268</v>
      </c>
      <c r="M144" s="23" t="s">
        <v>497</v>
      </c>
      <c r="N144" s="21">
        <v>25000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7"/>
  <sheetViews>
    <sheetView showGridLines="0" topLeftCell="A16" zoomScale="85" zoomScaleNormal="85" workbookViewId="0">
      <selection activeCell="A108" sqref="A108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453125" customWidth="1"/>
    <col min="4" max="4" width="15.5429687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1796875" bestFit="1" customWidth="1"/>
  </cols>
  <sheetData>
    <row r="1" spans="1:15" x14ac:dyDescent="0.35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5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5">
      <c r="A9" t="s">
        <v>44</v>
      </c>
      <c r="B9">
        <v>2</v>
      </c>
      <c r="E9" t="s">
        <v>44</v>
      </c>
      <c r="F9" t="s">
        <v>182</v>
      </c>
      <c r="G9" t="s">
        <v>10</v>
      </c>
      <c r="L9" t="s">
        <v>51</v>
      </c>
      <c r="M9" s="6" t="s">
        <v>288</v>
      </c>
      <c r="N9" t="s">
        <v>52</v>
      </c>
      <c r="O9" s="17">
        <v>5.3623072262100742</v>
      </c>
    </row>
    <row r="10" spans="1:15" x14ac:dyDescent="0.35">
      <c r="A10" t="s">
        <v>44</v>
      </c>
      <c r="B10">
        <v>2</v>
      </c>
      <c r="E10" t="s">
        <v>44</v>
      </c>
      <c r="F10" t="s">
        <v>182</v>
      </c>
      <c r="G10" t="s">
        <v>12</v>
      </c>
      <c r="L10" t="s">
        <v>51</v>
      </c>
      <c r="M10" s="6" t="s">
        <v>288</v>
      </c>
      <c r="N10" t="s">
        <v>52</v>
      </c>
      <c r="O10" s="17">
        <v>1.57267316999903</v>
      </c>
    </row>
    <row r="11" spans="1:15" x14ac:dyDescent="0.35">
      <c r="A11" t="s">
        <v>44</v>
      </c>
      <c r="B11">
        <v>2</v>
      </c>
      <c r="E11" t="s">
        <v>44</v>
      </c>
      <c r="F11" t="s">
        <v>182</v>
      </c>
      <c r="G11" t="s">
        <v>10</v>
      </c>
      <c r="L11" t="s">
        <v>54</v>
      </c>
      <c r="M11" s="6" t="s">
        <v>288</v>
      </c>
      <c r="N11" t="s">
        <v>52</v>
      </c>
      <c r="O11" s="17">
        <v>1.1309087250122982</v>
      </c>
    </row>
    <row r="12" spans="1:15" x14ac:dyDescent="0.35">
      <c r="A12" t="s">
        <v>44</v>
      </c>
      <c r="B12">
        <v>2</v>
      </c>
      <c r="E12" t="s">
        <v>44</v>
      </c>
      <c r="F12" t="s">
        <v>182</v>
      </c>
      <c r="G12" t="s">
        <v>12</v>
      </c>
      <c r="L12" t="s">
        <v>54</v>
      </c>
      <c r="M12" s="6" t="s">
        <v>288</v>
      </c>
      <c r="N12" t="s">
        <v>52</v>
      </c>
      <c r="O12" s="17">
        <v>1.1460261310805029</v>
      </c>
    </row>
    <row r="13" spans="1:15" x14ac:dyDescent="0.35">
      <c r="A13" t="s">
        <v>44</v>
      </c>
      <c r="B13">
        <v>2</v>
      </c>
      <c r="E13" t="s">
        <v>44</v>
      </c>
      <c r="F13" t="s">
        <v>182</v>
      </c>
      <c r="G13" t="s">
        <v>29</v>
      </c>
      <c r="L13" t="s">
        <v>55</v>
      </c>
      <c r="M13" s="6" t="s">
        <v>288</v>
      </c>
      <c r="N13" t="s">
        <v>52</v>
      </c>
      <c r="O13" s="17">
        <v>19.235585232944185</v>
      </c>
    </row>
    <row r="14" spans="1:15" x14ac:dyDescent="0.35">
      <c r="A14" t="s">
        <v>44</v>
      </c>
      <c r="B14">
        <v>2</v>
      </c>
      <c r="E14" t="s">
        <v>44</v>
      </c>
      <c r="F14" t="s">
        <v>182</v>
      </c>
      <c r="G14" t="s">
        <v>29</v>
      </c>
      <c r="L14" t="s">
        <v>86</v>
      </c>
      <c r="M14" s="6" t="s">
        <v>288</v>
      </c>
      <c r="N14" t="s">
        <v>52</v>
      </c>
      <c r="O14" s="17">
        <v>12.447478266734809</v>
      </c>
    </row>
    <row r="15" spans="1:15" x14ac:dyDescent="0.35">
      <c r="A15" t="s">
        <v>44</v>
      </c>
      <c r="B15">
        <v>2</v>
      </c>
      <c r="E15" t="s">
        <v>44</v>
      </c>
      <c r="F15" t="s">
        <v>182</v>
      </c>
      <c r="G15" t="s">
        <v>29</v>
      </c>
      <c r="L15" t="s">
        <v>87</v>
      </c>
      <c r="M15" s="6" t="s">
        <v>288</v>
      </c>
      <c r="N15" t="s">
        <v>52</v>
      </c>
      <c r="O15" s="17">
        <v>24.868570028518644</v>
      </c>
    </row>
    <row r="16" spans="1:15" x14ac:dyDescent="0.35">
      <c r="A16" t="s">
        <v>44</v>
      </c>
      <c r="B16">
        <v>2</v>
      </c>
      <c r="E16" t="s">
        <v>44</v>
      </c>
      <c r="F16" t="s">
        <v>182</v>
      </c>
      <c r="G16" t="s">
        <v>29</v>
      </c>
      <c r="L16" t="s">
        <v>88</v>
      </c>
      <c r="M16" s="6" t="s">
        <v>288</v>
      </c>
      <c r="N16" t="s">
        <v>52</v>
      </c>
      <c r="O16" s="17">
        <v>54.992787674546257</v>
      </c>
    </row>
    <row r="17" spans="1:15" x14ac:dyDescent="0.35">
      <c r="A17" t="s">
        <v>44</v>
      </c>
      <c r="B17">
        <v>2</v>
      </c>
      <c r="E17" t="s">
        <v>44</v>
      </c>
      <c r="F17" t="s">
        <v>181</v>
      </c>
      <c r="G17" t="s">
        <v>10</v>
      </c>
      <c r="L17" t="s">
        <v>51</v>
      </c>
      <c r="M17" s="6" t="s">
        <v>288</v>
      </c>
      <c r="N17" t="s">
        <v>38</v>
      </c>
      <c r="O17" s="17">
        <v>4.2334611349946956</v>
      </c>
    </row>
    <row r="18" spans="1:15" x14ac:dyDescent="0.35">
      <c r="A18" t="s">
        <v>44</v>
      </c>
      <c r="B18">
        <v>2</v>
      </c>
      <c r="E18" t="s">
        <v>44</v>
      </c>
      <c r="F18" t="s">
        <v>181</v>
      </c>
      <c r="G18" t="s">
        <v>12</v>
      </c>
      <c r="L18" t="s">
        <v>51</v>
      </c>
      <c r="M18" s="6" t="s">
        <v>288</v>
      </c>
      <c r="N18" t="s">
        <v>38</v>
      </c>
      <c r="O18" s="17">
        <v>4.2334611349946956</v>
      </c>
    </row>
    <row r="19" spans="1:15" x14ac:dyDescent="0.35">
      <c r="A19" t="s">
        <v>44</v>
      </c>
      <c r="B19">
        <v>2</v>
      </c>
      <c r="E19" t="s">
        <v>44</v>
      </c>
      <c r="F19" t="s">
        <v>181</v>
      </c>
      <c r="G19" t="s">
        <v>10</v>
      </c>
      <c r="L19" t="s">
        <v>54</v>
      </c>
      <c r="M19" s="6" t="s">
        <v>288</v>
      </c>
      <c r="N19" t="s">
        <v>38</v>
      </c>
      <c r="O19" s="17">
        <v>8.6455174662196388</v>
      </c>
    </row>
    <row r="20" spans="1:15" x14ac:dyDescent="0.35">
      <c r="A20" t="s">
        <v>44</v>
      </c>
      <c r="B20">
        <v>2</v>
      </c>
      <c r="E20" t="s">
        <v>44</v>
      </c>
      <c r="F20" t="s">
        <v>181</v>
      </c>
      <c r="G20" t="s">
        <v>12</v>
      </c>
      <c r="L20" t="s">
        <v>54</v>
      </c>
      <c r="M20" s="6" t="s">
        <v>288</v>
      </c>
      <c r="N20" t="s">
        <v>38</v>
      </c>
      <c r="O20" s="17">
        <v>8.6455174662196388</v>
      </c>
    </row>
    <row r="21" spans="1:15" x14ac:dyDescent="0.35">
      <c r="A21" t="s">
        <v>44</v>
      </c>
      <c r="B21">
        <v>2</v>
      </c>
      <c r="E21" t="s">
        <v>44</v>
      </c>
      <c r="F21" t="s">
        <v>181</v>
      </c>
      <c r="G21" t="s">
        <v>29</v>
      </c>
      <c r="L21" t="s">
        <v>55</v>
      </c>
      <c r="M21" s="6" t="s">
        <v>288</v>
      </c>
      <c r="N21" t="s">
        <v>38</v>
      </c>
      <c r="O21" s="17">
        <v>27.211275854433701</v>
      </c>
    </row>
    <row r="22" spans="1:15" x14ac:dyDescent="0.35">
      <c r="A22" t="s">
        <v>44</v>
      </c>
      <c r="B22">
        <v>2</v>
      </c>
      <c r="E22" t="s">
        <v>44</v>
      </c>
      <c r="F22" t="s">
        <v>181</v>
      </c>
      <c r="G22" t="s">
        <v>29</v>
      </c>
      <c r="L22" t="s">
        <v>262</v>
      </c>
      <c r="M22" s="6" t="s">
        <v>288</v>
      </c>
      <c r="N22" t="s">
        <v>38</v>
      </c>
      <c r="O22">
        <v>198.354755374798</v>
      </c>
    </row>
    <row r="23" spans="1:15" x14ac:dyDescent="0.35">
      <c r="A23" t="s">
        <v>44</v>
      </c>
      <c r="B23">
        <v>2</v>
      </c>
      <c r="E23" t="s">
        <v>44</v>
      </c>
      <c r="F23" t="s">
        <v>181</v>
      </c>
      <c r="G23" t="s">
        <v>29</v>
      </c>
      <c r="L23" t="s">
        <v>86</v>
      </c>
      <c r="M23" s="6" t="s">
        <v>288</v>
      </c>
      <c r="N23" t="s">
        <v>38</v>
      </c>
      <c r="O23" s="17">
        <v>3.3577779861661239</v>
      </c>
    </row>
    <row r="24" spans="1:15" x14ac:dyDescent="0.35">
      <c r="A24" t="s">
        <v>44</v>
      </c>
      <c r="B24">
        <v>2</v>
      </c>
      <c r="E24" t="s">
        <v>44</v>
      </c>
      <c r="F24" t="s">
        <v>181</v>
      </c>
      <c r="G24" t="s">
        <v>29</v>
      </c>
      <c r="L24" t="s">
        <v>87</v>
      </c>
      <c r="M24" s="6" t="s">
        <v>288</v>
      </c>
      <c r="N24" t="s">
        <v>38</v>
      </c>
      <c r="O24" s="17">
        <v>4.5815735448855488</v>
      </c>
    </row>
    <row r="25" spans="1:15" x14ac:dyDescent="0.35">
      <c r="A25" t="s">
        <v>44</v>
      </c>
      <c r="B25">
        <v>2</v>
      </c>
      <c r="E25" t="s">
        <v>44</v>
      </c>
      <c r="F25" t="s">
        <v>181</v>
      </c>
      <c r="G25" t="s">
        <v>29</v>
      </c>
      <c r="L25" t="s">
        <v>88</v>
      </c>
      <c r="M25" s="6" t="s">
        <v>288</v>
      </c>
      <c r="N25" t="s">
        <v>38</v>
      </c>
      <c r="O25" s="17">
        <v>30.636927266400097</v>
      </c>
    </row>
    <row r="26" spans="1:15" x14ac:dyDescent="0.35">
      <c r="A26" t="s">
        <v>44</v>
      </c>
      <c r="B26">
        <v>2</v>
      </c>
      <c r="E26" t="s">
        <v>44</v>
      </c>
      <c r="F26" t="s">
        <v>179</v>
      </c>
      <c r="G26" t="s">
        <v>29</v>
      </c>
      <c r="L26" s="6" t="s">
        <v>288</v>
      </c>
      <c r="M26" s="6" t="s">
        <v>288</v>
      </c>
      <c r="N26" t="s">
        <v>46</v>
      </c>
      <c r="O26">
        <v>-0.4</v>
      </c>
    </row>
    <row r="27" spans="1:15" x14ac:dyDescent="0.35">
      <c r="A27" t="s">
        <v>44</v>
      </c>
      <c r="B27">
        <v>2</v>
      </c>
      <c r="E27" t="s">
        <v>44</v>
      </c>
      <c r="F27" t="s">
        <v>179</v>
      </c>
      <c r="G27" t="s">
        <v>29</v>
      </c>
      <c r="L27" s="6" t="s">
        <v>288</v>
      </c>
      <c r="M27" s="6" t="s">
        <v>288</v>
      </c>
      <c r="N27" t="s">
        <v>45</v>
      </c>
      <c r="O27">
        <v>-0.1</v>
      </c>
    </row>
    <row r="28" spans="1:15" x14ac:dyDescent="0.35">
      <c r="A28" t="s">
        <v>44</v>
      </c>
      <c r="B28">
        <v>2</v>
      </c>
      <c r="E28" t="s">
        <v>44</v>
      </c>
      <c r="F28" t="s">
        <v>179</v>
      </c>
      <c r="G28" t="s">
        <v>29</v>
      </c>
      <c r="L28" s="6" t="s">
        <v>288</v>
      </c>
      <c r="M28" s="6" t="s">
        <v>288</v>
      </c>
      <c r="N28" t="s">
        <v>48</v>
      </c>
      <c r="O28">
        <v>44</v>
      </c>
    </row>
    <row r="29" spans="1:15" x14ac:dyDescent="0.35">
      <c r="A29" t="s">
        <v>44</v>
      </c>
      <c r="B29">
        <v>2</v>
      </c>
      <c r="E29" t="s">
        <v>44</v>
      </c>
      <c r="F29" t="s">
        <v>183</v>
      </c>
      <c r="G29" t="s">
        <v>10</v>
      </c>
      <c r="L29" t="s">
        <v>51</v>
      </c>
      <c r="M29" s="6" t="s">
        <v>288</v>
      </c>
      <c r="N29" t="s">
        <v>39</v>
      </c>
      <c r="O29">
        <v>0.47</v>
      </c>
    </row>
    <row r="30" spans="1:15" x14ac:dyDescent="0.35">
      <c r="A30" t="s">
        <v>44</v>
      </c>
      <c r="B30">
        <v>2</v>
      </c>
      <c r="E30" t="s">
        <v>44</v>
      </c>
      <c r="F30" t="s">
        <v>183</v>
      </c>
      <c r="G30" t="s">
        <v>12</v>
      </c>
      <c r="L30" t="s">
        <v>51</v>
      </c>
      <c r="M30" s="6" t="s">
        <v>288</v>
      </c>
      <c r="N30" t="s">
        <v>39</v>
      </c>
      <c r="O30">
        <v>0.6</v>
      </c>
    </row>
    <row r="31" spans="1:15" x14ac:dyDescent="0.35">
      <c r="A31" t="s">
        <v>44</v>
      </c>
      <c r="B31">
        <v>2</v>
      </c>
      <c r="E31" t="s">
        <v>44</v>
      </c>
      <c r="F31" t="s">
        <v>183</v>
      </c>
      <c r="G31" t="s">
        <v>10</v>
      </c>
      <c r="L31" t="s">
        <v>54</v>
      </c>
      <c r="M31" s="6" t="s">
        <v>288</v>
      </c>
      <c r="N31" t="s">
        <v>39</v>
      </c>
      <c r="O31">
        <v>0.47</v>
      </c>
    </row>
    <row r="32" spans="1:15" x14ac:dyDescent="0.35">
      <c r="A32" t="s">
        <v>44</v>
      </c>
      <c r="B32">
        <v>2</v>
      </c>
      <c r="E32" t="s">
        <v>44</v>
      </c>
      <c r="F32" t="s">
        <v>183</v>
      </c>
      <c r="G32" t="s">
        <v>12</v>
      </c>
      <c r="L32" t="s">
        <v>54</v>
      </c>
      <c r="M32" s="6" t="s">
        <v>288</v>
      </c>
      <c r="N32" t="s">
        <v>39</v>
      </c>
      <c r="O32">
        <v>0.6</v>
      </c>
    </row>
    <row r="33" spans="1:15" x14ac:dyDescent="0.35">
      <c r="A33" t="s">
        <v>44</v>
      </c>
      <c r="B33">
        <v>2</v>
      </c>
      <c r="E33" t="s">
        <v>44</v>
      </c>
      <c r="F33" t="s">
        <v>183</v>
      </c>
      <c r="G33" t="s">
        <v>29</v>
      </c>
      <c r="L33" t="s">
        <v>55</v>
      </c>
      <c r="M33" s="6" t="s">
        <v>288</v>
      </c>
      <c r="N33" t="s">
        <v>39</v>
      </c>
      <c r="O33">
        <v>0.8</v>
      </c>
    </row>
    <row r="34" spans="1:15" x14ac:dyDescent="0.35">
      <c r="A34" t="s">
        <v>44</v>
      </c>
      <c r="B34">
        <v>2</v>
      </c>
      <c r="E34" t="s">
        <v>44</v>
      </c>
      <c r="F34" t="s">
        <v>183</v>
      </c>
      <c r="G34" t="s">
        <v>29</v>
      </c>
      <c r="L34" t="s">
        <v>86</v>
      </c>
      <c r="M34" s="6" t="s">
        <v>288</v>
      </c>
      <c r="N34" t="s">
        <v>39</v>
      </c>
      <c r="O34">
        <v>0.47</v>
      </c>
    </row>
    <row r="35" spans="1:15" x14ac:dyDescent="0.35">
      <c r="A35" t="s">
        <v>44</v>
      </c>
      <c r="B35">
        <v>2</v>
      </c>
      <c r="E35" t="s">
        <v>44</v>
      </c>
      <c r="F35" t="s">
        <v>183</v>
      </c>
      <c r="G35" t="s">
        <v>29</v>
      </c>
      <c r="L35" t="s">
        <v>87</v>
      </c>
      <c r="M35" s="6" t="s">
        <v>288</v>
      </c>
      <c r="N35" t="s">
        <v>39</v>
      </c>
      <c r="O35">
        <v>0.47</v>
      </c>
    </row>
    <row r="36" spans="1:15" x14ac:dyDescent="0.35">
      <c r="A36" t="s">
        <v>44</v>
      </c>
      <c r="B36">
        <v>2</v>
      </c>
      <c r="E36" t="s">
        <v>44</v>
      </c>
      <c r="F36" t="s">
        <v>183</v>
      </c>
      <c r="G36" t="s">
        <v>29</v>
      </c>
      <c r="L36" t="s">
        <v>88</v>
      </c>
      <c r="M36" s="6" t="s">
        <v>288</v>
      </c>
      <c r="N36" t="s">
        <v>39</v>
      </c>
      <c r="O36">
        <v>0.75</v>
      </c>
    </row>
    <row r="37" spans="1:15" x14ac:dyDescent="0.35">
      <c r="A37" t="s">
        <v>44</v>
      </c>
      <c r="B37">
        <v>2</v>
      </c>
      <c r="E37" t="s">
        <v>44</v>
      </c>
      <c r="F37" t="s">
        <v>183</v>
      </c>
      <c r="G37" t="s">
        <v>29</v>
      </c>
      <c r="L37" t="s">
        <v>56</v>
      </c>
      <c r="M37" s="6" t="s">
        <v>288</v>
      </c>
      <c r="N37" t="s">
        <v>39</v>
      </c>
      <c r="O37">
        <v>0.75</v>
      </c>
    </row>
    <row r="38" spans="1:15" x14ac:dyDescent="0.35">
      <c r="A38" t="s">
        <v>44</v>
      </c>
      <c r="B38">
        <v>2</v>
      </c>
      <c r="E38" t="s">
        <v>44</v>
      </c>
      <c r="F38" t="s">
        <v>184</v>
      </c>
      <c r="G38" t="s">
        <v>10</v>
      </c>
      <c r="L38" t="s">
        <v>51</v>
      </c>
      <c r="M38" s="6" t="s">
        <v>288</v>
      </c>
      <c r="N38" t="s">
        <v>53</v>
      </c>
      <c r="O38" s="17">
        <v>37386.269730269727</v>
      </c>
    </row>
    <row r="39" spans="1:15" x14ac:dyDescent="0.35">
      <c r="A39" t="s">
        <v>44</v>
      </c>
      <c r="B39">
        <v>2</v>
      </c>
      <c r="E39" t="s">
        <v>44</v>
      </c>
      <c r="F39" t="s">
        <v>184</v>
      </c>
      <c r="G39" t="s">
        <v>12</v>
      </c>
      <c r="L39" t="s">
        <v>51</v>
      </c>
      <c r="M39" s="6" t="s">
        <v>288</v>
      </c>
      <c r="N39" t="s">
        <v>53</v>
      </c>
      <c r="O39" s="17">
        <v>27134.238095238095</v>
      </c>
    </row>
    <row r="40" spans="1:15" x14ac:dyDescent="0.35">
      <c r="A40" t="s">
        <v>44</v>
      </c>
      <c r="B40">
        <v>2</v>
      </c>
      <c r="E40" t="s">
        <v>44</v>
      </c>
      <c r="F40" t="s">
        <v>184</v>
      </c>
      <c r="G40" t="s">
        <v>10</v>
      </c>
      <c r="L40" t="s">
        <v>54</v>
      </c>
      <c r="M40" s="6" t="s">
        <v>288</v>
      </c>
      <c r="N40" t="s">
        <v>53</v>
      </c>
      <c r="O40" s="17">
        <v>32739.87924528302</v>
      </c>
    </row>
    <row r="41" spans="1:15" x14ac:dyDescent="0.35">
      <c r="A41" t="s">
        <v>44</v>
      </c>
      <c r="B41">
        <v>2</v>
      </c>
      <c r="E41" t="s">
        <v>44</v>
      </c>
      <c r="F41" t="s">
        <v>184</v>
      </c>
      <c r="G41" t="s">
        <v>12</v>
      </c>
      <c r="L41" t="s">
        <v>54</v>
      </c>
      <c r="M41" s="6" t="s">
        <v>288</v>
      </c>
      <c r="N41" t="s">
        <v>53</v>
      </c>
      <c r="O41" s="17">
        <v>24394.234177215189</v>
      </c>
    </row>
    <row r="42" spans="1:15" x14ac:dyDescent="0.35">
      <c r="A42" t="s">
        <v>44</v>
      </c>
      <c r="B42">
        <v>2</v>
      </c>
      <c r="E42" t="s">
        <v>44</v>
      </c>
      <c r="F42" t="s">
        <v>184</v>
      </c>
      <c r="G42" t="s">
        <v>29</v>
      </c>
      <c r="L42" t="s">
        <v>55</v>
      </c>
      <c r="M42" s="6" t="s">
        <v>288</v>
      </c>
      <c r="N42" t="s">
        <v>53</v>
      </c>
      <c r="O42" s="17">
        <v>25514.886075949365</v>
      </c>
    </row>
    <row r="43" spans="1:15" x14ac:dyDescent="0.35">
      <c r="A43" t="s">
        <v>44</v>
      </c>
      <c r="B43">
        <v>2</v>
      </c>
      <c r="E43" t="s">
        <v>44</v>
      </c>
      <c r="F43" t="s">
        <v>184</v>
      </c>
      <c r="G43" t="s">
        <v>29</v>
      </c>
      <c r="L43" t="s">
        <v>86</v>
      </c>
      <c r="M43" s="6" t="s">
        <v>288</v>
      </c>
      <c r="N43" t="s">
        <v>53</v>
      </c>
      <c r="O43" s="17">
        <v>64244.833333333336</v>
      </c>
    </row>
    <row r="44" spans="1:15" x14ac:dyDescent="0.35">
      <c r="A44" t="s">
        <v>44</v>
      </c>
      <c r="B44">
        <v>2</v>
      </c>
      <c r="E44" t="s">
        <v>44</v>
      </c>
      <c r="F44" t="s">
        <v>184</v>
      </c>
      <c r="G44" t="s">
        <v>29</v>
      </c>
      <c r="L44" t="s">
        <v>87</v>
      </c>
      <c r="M44" s="6" t="s">
        <v>288</v>
      </c>
      <c r="N44" t="s">
        <v>53</v>
      </c>
      <c r="O44" s="17">
        <v>72732.453181960213</v>
      </c>
    </row>
    <row r="45" spans="1:15" x14ac:dyDescent="0.35">
      <c r="A45" t="s">
        <v>44</v>
      </c>
      <c r="B45">
        <v>2</v>
      </c>
      <c r="E45" t="s">
        <v>44</v>
      </c>
      <c r="F45" t="s">
        <v>184</v>
      </c>
      <c r="G45" t="s">
        <v>29</v>
      </c>
      <c r="L45" t="s">
        <v>88</v>
      </c>
      <c r="M45" s="6" t="s">
        <v>288</v>
      </c>
      <c r="N45" t="s">
        <v>53</v>
      </c>
      <c r="O45" s="17">
        <v>24806.020202020201</v>
      </c>
    </row>
    <row r="46" spans="1:15" x14ac:dyDescent="0.35">
      <c r="A46" t="s">
        <v>44</v>
      </c>
      <c r="B46">
        <v>2</v>
      </c>
      <c r="E46" t="s">
        <v>44</v>
      </c>
      <c r="F46" t="s">
        <v>179</v>
      </c>
      <c r="G46" t="s">
        <v>29</v>
      </c>
      <c r="L46" s="6" t="s">
        <v>288</v>
      </c>
      <c r="M46" s="6" t="s">
        <v>288</v>
      </c>
      <c r="N46" t="s">
        <v>49</v>
      </c>
      <c r="O46">
        <v>0.54545454545454541</v>
      </c>
    </row>
    <row r="47" spans="1:15" x14ac:dyDescent="0.35">
      <c r="A47" t="s">
        <v>44</v>
      </c>
      <c r="B47">
        <v>2</v>
      </c>
      <c r="E47" t="s">
        <v>44</v>
      </c>
      <c r="F47" t="s">
        <v>179</v>
      </c>
      <c r="G47" t="s">
        <v>29</v>
      </c>
      <c r="L47" s="6" t="s">
        <v>288</v>
      </c>
      <c r="M47" s="6" t="s">
        <v>288</v>
      </c>
      <c r="N47" t="s">
        <v>47</v>
      </c>
      <c r="O47">
        <v>2</v>
      </c>
    </row>
    <row r="48" spans="1:15" x14ac:dyDescent="0.35">
      <c r="A48" t="s">
        <v>44</v>
      </c>
      <c r="B48">
        <v>2</v>
      </c>
      <c r="E48" t="s">
        <v>44</v>
      </c>
      <c r="F48" t="s">
        <v>180</v>
      </c>
      <c r="G48" t="s">
        <v>29</v>
      </c>
      <c r="L48" t="s">
        <v>51</v>
      </c>
      <c r="M48" t="s">
        <v>57</v>
      </c>
      <c r="N48" t="s">
        <v>58</v>
      </c>
      <c r="O48">
        <v>4.9280000000000008</v>
      </c>
    </row>
    <row r="49" spans="1:15" x14ac:dyDescent="0.35">
      <c r="A49" t="s">
        <v>44</v>
      </c>
      <c r="B49">
        <v>2</v>
      </c>
      <c r="E49" t="s">
        <v>44</v>
      </c>
      <c r="F49" t="s">
        <v>180</v>
      </c>
      <c r="G49" t="s">
        <v>29</v>
      </c>
      <c r="L49" t="s">
        <v>51</v>
      </c>
      <c r="M49" t="s">
        <v>60</v>
      </c>
      <c r="N49" t="s">
        <v>58</v>
      </c>
      <c r="O49">
        <v>4.4352</v>
      </c>
    </row>
    <row r="50" spans="1:15" x14ac:dyDescent="0.35">
      <c r="A50" t="s">
        <v>44</v>
      </c>
      <c r="B50">
        <v>2</v>
      </c>
      <c r="E50" t="s">
        <v>44</v>
      </c>
      <c r="F50" t="s">
        <v>180</v>
      </c>
      <c r="G50" t="s">
        <v>29</v>
      </c>
      <c r="L50" t="s">
        <v>51</v>
      </c>
      <c r="M50" t="s">
        <v>61</v>
      </c>
      <c r="N50" t="s">
        <v>58</v>
      </c>
      <c r="O50">
        <v>17</v>
      </c>
    </row>
    <row r="51" spans="1:15" x14ac:dyDescent="0.35">
      <c r="A51" t="s">
        <v>44</v>
      </c>
      <c r="B51">
        <v>2</v>
      </c>
      <c r="E51" t="s">
        <v>44</v>
      </c>
      <c r="F51" t="s">
        <v>180</v>
      </c>
      <c r="G51" t="s">
        <v>29</v>
      </c>
      <c r="L51" t="s">
        <v>54</v>
      </c>
      <c r="M51" t="s">
        <v>62</v>
      </c>
      <c r="N51" t="s">
        <v>58</v>
      </c>
      <c r="O51">
        <v>7.8398072040762292</v>
      </c>
    </row>
    <row r="52" spans="1:15" x14ac:dyDescent="0.35">
      <c r="A52" t="s">
        <v>44</v>
      </c>
      <c r="B52">
        <v>2</v>
      </c>
      <c r="E52" t="s">
        <v>44</v>
      </c>
      <c r="F52" t="s">
        <v>180</v>
      </c>
      <c r="G52" t="s">
        <v>29</v>
      </c>
      <c r="L52" t="s">
        <v>54</v>
      </c>
      <c r="M52" t="s">
        <v>60</v>
      </c>
      <c r="N52" t="s">
        <v>58</v>
      </c>
      <c r="O52">
        <v>7.0558264836686062</v>
      </c>
    </row>
    <row r="53" spans="1:15" x14ac:dyDescent="0.35">
      <c r="A53" t="s">
        <v>44</v>
      </c>
      <c r="B53">
        <v>2</v>
      </c>
      <c r="E53" t="s">
        <v>44</v>
      </c>
      <c r="F53" t="s">
        <v>180</v>
      </c>
      <c r="G53" t="s">
        <v>29</v>
      </c>
      <c r="L53" t="s">
        <v>54</v>
      </c>
      <c r="M53" t="s">
        <v>61</v>
      </c>
      <c r="N53" t="s">
        <v>58</v>
      </c>
      <c r="O53">
        <v>30</v>
      </c>
    </row>
    <row r="54" spans="1:15" x14ac:dyDescent="0.35">
      <c r="A54" t="s">
        <v>44</v>
      </c>
      <c r="B54">
        <v>2</v>
      </c>
      <c r="E54" t="s">
        <v>44</v>
      </c>
      <c r="F54" t="s">
        <v>180</v>
      </c>
      <c r="G54" t="s">
        <v>29</v>
      </c>
      <c r="L54" t="s">
        <v>55</v>
      </c>
      <c r="M54" t="s">
        <v>57</v>
      </c>
      <c r="N54" t="s">
        <v>58</v>
      </c>
      <c r="O54">
        <v>7.5</v>
      </c>
    </row>
    <row r="55" spans="1:15" x14ac:dyDescent="0.35">
      <c r="A55" t="s">
        <v>44</v>
      </c>
      <c r="B55">
        <v>2</v>
      </c>
      <c r="E55" t="s">
        <v>44</v>
      </c>
      <c r="F55" t="s">
        <v>180</v>
      </c>
      <c r="G55" t="s">
        <v>29</v>
      </c>
      <c r="L55" t="s">
        <v>55</v>
      </c>
      <c r="M55" t="s">
        <v>60</v>
      </c>
      <c r="N55" t="s">
        <v>58</v>
      </c>
      <c r="O55">
        <v>6.75</v>
      </c>
    </row>
    <row r="56" spans="1:15" x14ac:dyDescent="0.35">
      <c r="A56" t="s">
        <v>44</v>
      </c>
      <c r="B56">
        <v>2</v>
      </c>
      <c r="E56" t="s">
        <v>44</v>
      </c>
      <c r="F56" t="s">
        <v>180</v>
      </c>
      <c r="G56" t="s">
        <v>29</v>
      </c>
      <c r="L56" t="s">
        <v>55</v>
      </c>
      <c r="M56" t="s">
        <v>61</v>
      </c>
      <c r="N56" t="s">
        <v>58</v>
      </c>
      <c r="O56">
        <v>17</v>
      </c>
    </row>
    <row r="57" spans="1:15" x14ac:dyDescent="0.35">
      <c r="A57" t="s">
        <v>44</v>
      </c>
      <c r="B57">
        <v>2</v>
      </c>
      <c r="E57" t="s">
        <v>44</v>
      </c>
      <c r="F57" t="s">
        <v>179</v>
      </c>
      <c r="G57" t="s">
        <v>29</v>
      </c>
      <c r="L57" s="6" t="s">
        <v>288</v>
      </c>
      <c r="M57" s="6" t="s">
        <v>288</v>
      </c>
      <c r="N57" t="s">
        <v>50</v>
      </c>
      <c r="O57">
        <v>250</v>
      </c>
    </row>
    <row r="58" spans="1:15" x14ac:dyDescent="0.35">
      <c r="A58" t="s">
        <v>44</v>
      </c>
      <c r="B58">
        <v>2</v>
      </c>
      <c r="E58" t="s">
        <v>44</v>
      </c>
      <c r="F58" t="s">
        <v>470</v>
      </c>
      <c r="G58" t="s">
        <v>29</v>
      </c>
      <c r="L58" s="6" t="s">
        <v>288</v>
      </c>
      <c r="M58" s="6" t="s">
        <v>288</v>
      </c>
      <c r="N58" t="s">
        <v>471</v>
      </c>
      <c r="O58">
        <v>6.03</v>
      </c>
    </row>
    <row r="59" spans="1:15" x14ac:dyDescent="0.35">
      <c r="A59" t="s">
        <v>40</v>
      </c>
      <c r="B59">
        <v>7</v>
      </c>
      <c r="E59" t="s">
        <v>151</v>
      </c>
      <c r="I59" t="s">
        <v>259</v>
      </c>
      <c r="N59" t="s">
        <v>43</v>
      </c>
      <c r="O59">
        <v>250</v>
      </c>
    </row>
    <row r="60" spans="1:15" x14ac:dyDescent="0.35">
      <c r="A60" t="s">
        <v>40</v>
      </c>
      <c r="B60">
        <v>7</v>
      </c>
      <c r="E60" t="s">
        <v>151</v>
      </c>
      <c r="I60" t="s">
        <v>259</v>
      </c>
      <c r="N60" t="s">
        <v>41</v>
      </c>
      <c r="O60">
        <v>0.05</v>
      </c>
    </row>
    <row r="61" spans="1:15" x14ac:dyDescent="0.35">
      <c r="A61" t="s">
        <v>40</v>
      </c>
      <c r="B61">
        <v>7</v>
      </c>
      <c r="E61" t="s">
        <v>151</v>
      </c>
      <c r="I61" t="s">
        <v>259</v>
      </c>
      <c r="N61" t="s">
        <v>42</v>
      </c>
      <c r="O61">
        <v>12.7</v>
      </c>
    </row>
    <row r="62" spans="1:15" x14ac:dyDescent="0.35">
      <c r="A62" t="s">
        <v>34</v>
      </c>
      <c r="B62">
        <v>8</v>
      </c>
      <c r="E62" t="s">
        <v>34</v>
      </c>
      <c r="I62" t="s">
        <v>146</v>
      </c>
      <c r="N62" t="s">
        <v>38</v>
      </c>
      <c r="O62">
        <v>9.3000000000000007</v>
      </c>
    </row>
    <row r="63" spans="1:15" x14ac:dyDescent="0.35">
      <c r="A63" t="s">
        <v>34</v>
      </c>
      <c r="B63">
        <v>8</v>
      </c>
      <c r="E63" t="s">
        <v>34</v>
      </c>
      <c r="I63" t="s">
        <v>146</v>
      </c>
      <c r="N63" t="s">
        <v>37</v>
      </c>
      <c r="O63">
        <v>5.74</v>
      </c>
    </row>
    <row r="64" spans="1:15" x14ac:dyDescent="0.35">
      <c r="A64" t="s">
        <v>34</v>
      </c>
      <c r="B64">
        <v>8</v>
      </c>
      <c r="E64" t="s">
        <v>34</v>
      </c>
      <c r="I64" t="s">
        <v>146</v>
      </c>
      <c r="N64" t="s">
        <v>35</v>
      </c>
      <c r="O64">
        <v>1500</v>
      </c>
    </row>
    <row r="65" spans="1:15" x14ac:dyDescent="0.35">
      <c r="A65" t="s">
        <v>34</v>
      </c>
      <c r="B65">
        <v>8</v>
      </c>
      <c r="E65" t="s">
        <v>34</v>
      </c>
      <c r="I65" t="s">
        <v>146</v>
      </c>
      <c r="N65" t="s">
        <v>39</v>
      </c>
      <c r="O65">
        <v>0.27700000000000002</v>
      </c>
    </row>
    <row r="66" spans="1:15" x14ac:dyDescent="0.35">
      <c r="A66" t="s">
        <v>34</v>
      </c>
      <c r="B66">
        <v>8</v>
      </c>
      <c r="E66" t="s">
        <v>34</v>
      </c>
      <c r="I66" t="s">
        <v>146</v>
      </c>
      <c r="N66" t="s">
        <v>36</v>
      </c>
      <c r="O66">
        <v>0.5</v>
      </c>
    </row>
    <row r="67" spans="1:15" x14ac:dyDescent="0.35">
      <c r="A67" t="s">
        <v>24</v>
      </c>
      <c r="B67">
        <v>9</v>
      </c>
      <c r="E67" t="s">
        <v>160</v>
      </c>
      <c r="G67" t="s">
        <v>10</v>
      </c>
      <c r="K67" t="s">
        <v>25</v>
      </c>
      <c r="N67" t="s">
        <v>26</v>
      </c>
      <c r="O67" s="17">
        <v>25681.662527925408</v>
      </c>
    </row>
    <row r="68" spans="1:15" x14ac:dyDescent="0.35">
      <c r="A68" t="s">
        <v>24</v>
      </c>
      <c r="B68">
        <v>9</v>
      </c>
      <c r="E68" t="s">
        <v>160</v>
      </c>
      <c r="G68" t="s">
        <v>12</v>
      </c>
      <c r="K68" t="s">
        <v>25</v>
      </c>
      <c r="N68" t="s">
        <v>26</v>
      </c>
      <c r="O68" s="17">
        <v>10759.807771251573</v>
      </c>
    </row>
    <row r="69" spans="1:15" x14ac:dyDescent="0.35">
      <c r="A69" t="s">
        <v>24</v>
      </c>
      <c r="B69">
        <v>9</v>
      </c>
      <c r="E69" t="s">
        <v>160</v>
      </c>
      <c r="G69" t="s">
        <v>10</v>
      </c>
      <c r="K69" t="s">
        <v>25</v>
      </c>
      <c r="N69" t="s">
        <v>28</v>
      </c>
      <c r="O69">
        <v>43</v>
      </c>
    </row>
    <row r="70" spans="1:15" x14ac:dyDescent="0.35">
      <c r="A70" t="s">
        <v>24</v>
      </c>
      <c r="B70">
        <v>9</v>
      </c>
      <c r="E70" t="s">
        <v>160</v>
      </c>
      <c r="G70" t="s">
        <v>12</v>
      </c>
      <c r="K70" t="s">
        <v>25</v>
      </c>
      <c r="N70" t="s">
        <v>28</v>
      </c>
      <c r="O70">
        <v>60</v>
      </c>
    </row>
    <row r="71" spans="1:15" x14ac:dyDescent="0.35">
      <c r="A71" t="s">
        <v>24</v>
      </c>
      <c r="B71">
        <v>9</v>
      </c>
      <c r="E71" t="s">
        <v>160</v>
      </c>
      <c r="G71" t="s">
        <v>10</v>
      </c>
      <c r="K71" t="s">
        <v>30</v>
      </c>
      <c r="N71" t="s">
        <v>28</v>
      </c>
      <c r="O71">
        <v>71</v>
      </c>
    </row>
    <row r="72" spans="1:15" x14ac:dyDescent="0.35">
      <c r="A72" t="s">
        <v>24</v>
      </c>
      <c r="B72">
        <v>9</v>
      </c>
      <c r="E72" t="s">
        <v>160</v>
      </c>
      <c r="G72" t="s">
        <v>12</v>
      </c>
      <c r="K72" t="s">
        <v>30</v>
      </c>
      <c r="N72" t="s">
        <v>28</v>
      </c>
      <c r="O72">
        <v>72</v>
      </c>
    </row>
    <row r="73" spans="1:15" x14ac:dyDescent="0.35">
      <c r="A73" t="s">
        <v>24</v>
      </c>
      <c r="B73">
        <v>9</v>
      </c>
      <c r="E73" t="s">
        <v>160</v>
      </c>
      <c r="G73" t="s">
        <v>29</v>
      </c>
      <c r="K73" t="s">
        <v>30</v>
      </c>
      <c r="N73" t="s">
        <v>31</v>
      </c>
      <c r="O73">
        <v>0.18</v>
      </c>
    </row>
    <row r="74" spans="1:15" x14ac:dyDescent="0.35">
      <c r="A74" t="s">
        <v>24</v>
      </c>
      <c r="B74">
        <v>9</v>
      </c>
      <c r="E74" t="s">
        <v>160</v>
      </c>
      <c r="G74" t="s">
        <v>29</v>
      </c>
      <c r="K74" t="s">
        <v>25</v>
      </c>
      <c r="N74" t="s">
        <v>31</v>
      </c>
      <c r="O74">
        <v>0.1</v>
      </c>
    </row>
    <row r="75" spans="1:15" x14ac:dyDescent="0.35">
      <c r="A75" t="s">
        <v>24</v>
      </c>
      <c r="B75">
        <v>9</v>
      </c>
      <c r="E75" t="s">
        <v>160</v>
      </c>
      <c r="G75" t="s">
        <v>29</v>
      </c>
      <c r="K75" t="s">
        <v>30</v>
      </c>
      <c r="N75" t="s">
        <v>32</v>
      </c>
      <c r="O75">
        <v>1</v>
      </c>
    </row>
    <row r="76" spans="1:15" x14ac:dyDescent="0.35">
      <c r="A76" t="s">
        <v>24</v>
      </c>
      <c r="B76">
        <v>9</v>
      </c>
      <c r="E76" t="s">
        <v>160</v>
      </c>
      <c r="G76" t="s">
        <v>29</v>
      </c>
      <c r="K76" t="s">
        <v>25</v>
      </c>
      <c r="N76" t="s">
        <v>32</v>
      </c>
      <c r="O76">
        <v>0.75</v>
      </c>
    </row>
    <row r="77" spans="1:15" x14ac:dyDescent="0.35">
      <c r="A77" t="s">
        <v>24</v>
      </c>
      <c r="B77">
        <v>9</v>
      </c>
      <c r="E77" t="s">
        <v>160</v>
      </c>
      <c r="G77" t="s">
        <v>10</v>
      </c>
      <c r="K77" t="s">
        <v>29</v>
      </c>
      <c r="N77" t="s">
        <v>33</v>
      </c>
      <c r="O77">
        <v>-0.3</v>
      </c>
    </row>
    <row r="78" spans="1:15" x14ac:dyDescent="0.35">
      <c r="A78" t="s">
        <v>24</v>
      </c>
      <c r="B78">
        <v>9</v>
      </c>
      <c r="E78" t="s">
        <v>160</v>
      </c>
      <c r="G78" t="s">
        <v>12</v>
      </c>
      <c r="K78" t="s">
        <v>29</v>
      </c>
      <c r="N78" t="s">
        <v>33</v>
      </c>
      <c r="O78">
        <v>-0.3</v>
      </c>
    </row>
    <row r="79" spans="1:15" x14ac:dyDescent="0.35">
      <c r="A79" t="s">
        <v>24</v>
      </c>
      <c r="B79">
        <v>9</v>
      </c>
      <c r="E79" t="s">
        <v>160</v>
      </c>
      <c r="G79" t="s">
        <v>10</v>
      </c>
      <c r="K79" t="s">
        <v>25</v>
      </c>
      <c r="N79" t="s">
        <v>27</v>
      </c>
      <c r="O79" s="17">
        <v>4888.6430891911323</v>
      </c>
    </row>
    <row r="80" spans="1:15" x14ac:dyDescent="0.35">
      <c r="A80" t="s">
        <v>24</v>
      </c>
      <c r="B80">
        <v>9</v>
      </c>
      <c r="E80" t="s">
        <v>160</v>
      </c>
      <c r="G80" t="s">
        <v>12</v>
      </c>
      <c r="K80" t="s">
        <v>25</v>
      </c>
      <c r="N80" t="s">
        <v>27</v>
      </c>
      <c r="O80" s="17">
        <v>2596.1471578131495</v>
      </c>
    </row>
    <row r="81" spans="1:15" x14ac:dyDescent="0.35">
      <c r="A81" t="s">
        <v>24</v>
      </c>
      <c r="B81">
        <v>9</v>
      </c>
      <c r="E81" t="s">
        <v>160</v>
      </c>
      <c r="G81" t="s">
        <v>10</v>
      </c>
      <c r="K81" t="s">
        <v>30</v>
      </c>
      <c r="N81" t="s">
        <v>27</v>
      </c>
      <c r="O81" s="17">
        <v>15207.482849186348</v>
      </c>
    </row>
    <row r="82" spans="1:15" x14ac:dyDescent="0.35">
      <c r="A82" t="s">
        <v>24</v>
      </c>
      <c r="B82">
        <v>9</v>
      </c>
      <c r="E82" t="s">
        <v>160</v>
      </c>
      <c r="G82" t="s">
        <v>12</v>
      </c>
      <c r="K82" t="s">
        <v>30</v>
      </c>
      <c r="N82" t="s">
        <v>27</v>
      </c>
      <c r="O82" s="17">
        <v>7121.2675708552533</v>
      </c>
    </row>
    <row r="83" spans="1:15" x14ac:dyDescent="0.35">
      <c r="A83" t="s">
        <v>469</v>
      </c>
      <c r="B83">
        <v>10</v>
      </c>
      <c r="E83" t="s">
        <v>469</v>
      </c>
      <c r="J83" t="s">
        <v>486</v>
      </c>
      <c r="N83" t="s">
        <v>22</v>
      </c>
      <c r="O83">
        <v>10332.716678401948</v>
      </c>
    </row>
    <row r="84" spans="1:15" x14ac:dyDescent="0.35">
      <c r="A84" t="s">
        <v>469</v>
      </c>
      <c r="B84">
        <v>10</v>
      </c>
      <c r="E84" t="s">
        <v>469</v>
      </c>
      <c r="J84" t="s">
        <v>484</v>
      </c>
      <c r="N84" t="s">
        <v>22</v>
      </c>
      <c r="O84">
        <v>15008.384525421716</v>
      </c>
    </row>
    <row r="85" spans="1:15" x14ac:dyDescent="0.35">
      <c r="A85" t="s">
        <v>469</v>
      </c>
      <c r="B85">
        <v>10</v>
      </c>
      <c r="E85" t="s">
        <v>469</v>
      </c>
      <c r="J85" t="s">
        <v>485</v>
      </c>
      <c r="N85" t="s">
        <v>22</v>
      </c>
      <c r="O85">
        <v>33694.611571910202</v>
      </c>
    </row>
    <row r="86" spans="1:15" x14ac:dyDescent="0.35">
      <c r="A86" t="s">
        <v>469</v>
      </c>
      <c r="B86">
        <v>10</v>
      </c>
      <c r="E86" t="s">
        <v>469</v>
      </c>
      <c r="J86" t="s">
        <v>23</v>
      </c>
      <c r="N86" t="s">
        <v>22</v>
      </c>
      <c r="O86">
        <v>12000</v>
      </c>
    </row>
    <row r="87" spans="1:15" x14ac:dyDescent="0.35">
      <c r="A87" t="s">
        <v>20</v>
      </c>
      <c r="B87">
        <v>11</v>
      </c>
      <c r="E87" t="s">
        <v>477</v>
      </c>
      <c r="N87" t="s">
        <v>21</v>
      </c>
      <c r="O87">
        <v>0.25</v>
      </c>
    </row>
    <row r="88" spans="1:15" x14ac:dyDescent="0.35">
      <c r="A88" t="s">
        <v>13</v>
      </c>
      <c r="B88">
        <v>12</v>
      </c>
      <c r="E88" t="s">
        <v>72</v>
      </c>
      <c r="H88" t="s">
        <v>14</v>
      </c>
      <c r="N88" t="s">
        <v>15</v>
      </c>
      <c r="O88">
        <v>1</v>
      </c>
    </row>
    <row r="89" spans="1:15" x14ac:dyDescent="0.35">
      <c r="A89" t="s">
        <v>13</v>
      </c>
      <c r="B89">
        <v>12</v>
      </c>
      <c r="E89" t="s">
        <v>72</v>
      </c>
      <c r="H89" t="s">
        <v>16</v>
      </c>
      <c r="N89" t="s">
        <v>15</v>
      </c>
      <c r="O89">
        <v>5</v>
      </c>
    </row>
    <row r="90" spans="1:15" x14ac:dyDescent="0.35">
      <c r="A90" t="s">
        <v>13</v>
      </c>
      <c r="B90">
        <v>12</v>
      </c>
      <c r="E90" t="s">
        <v>72</v>
      </c>
      <c r="H90" t="s">
        <v>17</v>
      </c>
      <c r="N90" t="s">
        <v>15</v>
      </c>
      <c r="O90">
        <v>5</v>
      </c>
    </row>
    <row r="91" spans="1:15" x14ac:dyDescent="0.35">
      <c r="A91" t="s">
        <v>13</v>
      </c>
      <c r="B91">
        <v>12</v>
      </c>
      <c r="E91" t="s">
        <v>72</v>
      </c>
      <c r="H91" t="s">
        <v>18</v>
      </c>
      <c r="N91" t="s">
        <v>15</v>
      </c>
      <c r="O91">
        <v>2</v>
      </c>
    </row>
    <row r="92" spans="1:15" x14ac:dyDescent="0.35">
      <c r="A92" t="s">
        <v>13</v>
      </c>
      <c r="B92">
        <v>12</v>
      </c>
      <c r="E92" t="s">
        <v>72</v>
      </c>
      <c r="H92" t="s">
        <v>19</v>
      </c>
      <c r="N92" t="s">
        <v>15</v>
      </c>
      <c r="O92">
        <v>2</v>
      </c>
    </row>
    <row r="93" spans="1:15" x14ac:dyDescent="0.35">
      <c r="A93" t="s">
        <v>300</v>
      </c>
      <c r="B93">
        <v>16</v>
      </c>
      <c r="E93" t="s">
        <v>300</v>
      </c>
      <c r="I93" t="s">
        <v>368</v>
      </c>
      <c r="N93" t="s">
        <v>343</v>
      </c>
      <c r="O93">
        <v>10553</v>
      </c>
    </row>
    <row r="94" spans="1:15" x14ac:dyDescent="0.35">
      <c r="A94" t="s">
        <v>300</v>
      </c>
      <c r="B94">
        <v>16</v>
      </c>
      <c r="E94" t="s">
        <v>300</v>
      </c>
      <c r="I94" t="s">
        <v>367</v>
      </c>
      <c r="N94" t="s">
        <v>343</v>
      </c>
      <c r="O94">
        <v>7646</v>
      </c>
    </row>
    <row r="95" spans="1:15" x14ac:dyDescent="0.35">
      <c r="A95" t="s">
        <v>300</v>
      </c>
      <c r="B95">
        <v>16</v>
      </c>
      <c r="E95" t="s">
        <v>300</v>
      </c>
      <c r="I95" t="s">
        <v>358</v>
      </c>
      <c r="N95" t="s">
        <v>345</v>
      </c>
      <c r="O95">
        <v>-0.22</v>
      </c>
    </row>
    <row r="96" spans="1:15" x14ac:dyDescent="0.35">
      <c r="A96" t="s">
        <v>300</v>
      </c>
      <c r="B96">
        <v>16</v>
      </c>
      <c r="E96" t="s">
        <v>300</v>
      </c>
      <c r="I96" t="s">
        <v>359</v>
      </c>
      <c r="N96" t="s">
        <v>345</v>
      </c>
      <c r="O96">
        <v>-7.0000000000000007E-2</v>
      </c>
    </row>
    <row r="97" spans="1:15" x14ac:dyDescent="0.35">
      <c r="A97" t="s">
        <v>300</v>
      </c>
      <c r="B97">
        <v>16</v>
      </c>
      <c r="E97" t="s">
        <v>300</v>
      </c>
      <c r="I97" t="s">
        <v>356</v>
      </c>
      <c r="N97" t="s">
        <v>346</v>
      </c>
      <c r="O97">
        <v>19642</v>
      </c>
    </row>
    <row r="98" spans="1:15" x14ac:dyDescent="0.35">
      <c r="A98" t="s">
        <v>300</v>
      </c>
      <c r="B98">
        <v>16</v>
      </c>
      <c r="E98" t="s">
        <v>300</v>
      </c>
      <c r="I98" t="s">
        <v>355</v>
      </c>
      <c r="N98" t="s">
        <v>347</v>
      </c>
      <c r="O98">
        <v>2.5</v>
      </c>
    </row>
    <row r="99" spans="1:15" x14ac:dyDescent="0.35">
      <c r="A99" t="s">
        <v>300</v>
      </c>
      <c r="B99">
        <v>16</v>
      </c>
      <c r="E99" t="s">
        <v>300</v>
      </c>
      <c r="I99" t="s">
        <v>366</v>
      </c>
      <c r="N99" t="s">
        <v>348</v>
      </c>
      <c r="O99">
        <v>6350</v>
      </c>
    </row>
    <row r="100" spans="1:15" x14ac:dyDescent="0.35">
      <c r="A100" t="s">
        <v>300</v>
      </c>
      <c r="B100">
        <v>16</v>
      </c>
      <c r="E100" t="s">
        <v>300</v>
      </c>
      <c r="I100" t="s">
        <v>365</v>
      </c>
      <c r="N100" t="s">
        <v>38</v>
      </c>
      <c r="O100">
        <v>12.7</v>
      </c>
    </row>
    <row r="101" spans="1:15" x14ac:dyDescent="0.35">
      <c r="A101" t="s">
        <v>300</v>
      </c>
      <c r="B101">
        <v>16</v>
      </c>
      <c r="E101" t="s">
        <v>300</v>
      </c>
      <c r="I101" t="s">
        <v>364</v>
      </c>
      <c r="N101" t="s">
        <v>43</v>
      </c>
      <c r="O101">
        <v>250</v>
      </c>
    </row>
    <row r="102" spans="1:15" x14ac:dyDescent="0.35">
      <c r="A102" t="s">
        <v>300</v>
      </c>
      <c r="B102">
        <v>16</v>
      </c>
      <c r="E102" t="s">
        <v>300</v>
      </c>
      <c r="I102" t="s">
        <v>360</v>
      </c>
      <c r="N102" t="s">
        <v>349</v>
      </c>
      <c r="O102">
        <v>300</v>
      </c>
    </row>
    <row r="103" spans="1:15" x14ac:dyDescent="0.35">
      <c r="A103" t="s">
        <v>300</v>
      </c>
      <c r="B103">
        <v>16</v>
      </c>
      <c r="E103" t="s">
        <v>300</v>
      </c>
      <c r="I103" t="s">
        <v>361</v>
      </c>
      <c r="N103" t="s">
        <v>351</v>
      </c>
      <c r="O103">
        <v>145.19999999999999</v>
      </c>
    </row>
    <row r="104" spans="1:15" x14ac:dyDescent="0.35">
      <c r="A104" t="s">
        <v>300</v>
      </c>
      <c r="B104">
        <v>16</v>
      </c>
      <c r="E104" t="s">
        <v>300</v>
      </c>
      <c r="I104" t="s">
        <v>363</v>
      </c>
      <c r="N104" t="s">
        <v>362</v>
      </c>
      <c r="O104">
        <v>9</v>
      </c>
    </row>
    <row r="105" spans="1:15" x14ac:dyDescent="0.35">
      <c r="A105" t="s">
        <v>300</v>
      </c>
      <c r="B105">
        <v>16</v>
      </c>
      <c r="E105" t="s">
        <v>300</v>
      </c>
      <c r="I105" t="s">
        <v>373</v>
      </c>
      <c r="N105" t="s">
        <v>362</v>
      </c>
      <c r="O105">
        <v>18</v>
      </c>
    </row>
    <row r="106" spans="1:15" x14ac:dyDescent="0.35">
      <c r="A106" t="s">
        <v>300</v>
      </c>
      <c r="B106">
        <v>16</v>
      </c>
      <c r="E106" t="s">
        <v>300</v>
      </c>
      <c r="I106" t="s">
        <v>374</v>
      </c>
      <c r="N106" t="s">
        <v>362</v>
      </c>
      <c r="O106">
        <v>25</v>
      </c>
    </row>
    <row r="107" spans="1:15" x14ac:dyDescent="0.35">
      <c r="A107" t="s">
        <v>300</v>
      </c>
      <c r="B107">
        <v>16</v>
      </c>
      <c r="E107" t="s">
        <v>300</v>
      </c>
      <c r="I107" t="s">
        <v>375</v>
      </c>
      <c r="N107" t="s">
        <v>362</v>
      </c>
      <c r="O107">
        <v>15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K19"/>
  <sheetViews>
    <sheetView zoomScale="70" zoomScaleNormal="70" workbookViewId="0">
      <selection activeCell="A16" sqref="A16"/>
    </sheetView>
  </sheetViews>
  <sheetFormatPr defaultRowHeight="14.5" x14ac:dyDescent="0.35"/>
  <cols>
    <col min="1" max="1" width="73.1796875" customWidth="1"/>
    <col min="6" max="6" width="18.26953125" bestFit="1" customWidth="1"/>
    <col min="7" max="7" width="19.36328125" bestFit="1" customWidth="1"/>
    <col min="8" max="8" width="16.453125" bestFit="1" customWidth="1"/>
    <col min="9" max="9" width="22.36328125" bestFit="1" customWidth="1"/>
    <col min="11" max="11" width="32.90625" bestFit="1" customWidth="1"/>
  </cols>
  <sheetData>
    <row r="1" spans="1:11" ht="15" thickBot="1" x14ac:dyDescent="0.4">
      <c r="A1" s="30" t="s">
        <v>498</v>
      </c>
      <c r="B1" s="30" t="s">
        <v>499</v>
      </c>
      <c r="C1" s="30" t="s">
        <v>500</v>
      </c>
      <c r="D1" s="30" t="s">
        <v>501</v>
      </c>
      <c r="E1" s="30" t="s">
        <v>502</v>
      </c>
      <c r="F1" s="31" t="s">
        <v>504</v>
      </c>
      <c r="G1" s="31" t="s">
        <v>505</v>
      </c>
      <c r="H1" s="31" t="s">
        <v>506</v>
      </c>
      <c r="I1" s="31" t="s">
        <v>507</v>
      </c>
    </row>
    <row r="2" spans="1:11" ht="15" thickBot="1" x14ac:dyDescent="0.4">
      <c r="A2" s="24" t="s">
        <v>493</v>
      </c>
      <c r="B2" s="25">
        <v>1</v>
      </c>
      <c r="C2" s="26" t="s">
        <v>492</v>
      </c>
      <c r="D2" s="26" t="s">
        <v>492</v>
      </c>
      <c r="E2" s="27" t="s">
        <v>492</v>
      </c>
      <c r="F2" s="34" t="s">
        <v>503</v>
      </c>
      <c r="G2" s="34" t="s">
        <v>503</v>
      </c>
      <c r="H2" s="34" t="s">
        <v>503</v>
      </c>
      <c r="I2" s="34" t="s">
        <v>503</v>
      </c>
    </row>
    <row r="3" spans="1:11" ht="15" thickBot="1" x14ac:dyDescent="0.4">
      <c r="A3" s="24" t="s">
        <v>78</v>
      </c>
      <c r="B3" s="25">
        <v>2</v>
      </c>
      <c r="C3" s="26" t="s">
        <v>492</v>
      </c>
      <c r="D3" s="26" t="s">
        <v>492</v>
      </c>
      <c r="E3" s="27" t="s">
        <v>492</v>
      </c>
      <c r="F3" s="34" t="s">
        <v>503</v>
      </c>
      <c r="G3" s="34" t="s">
        <v>503</v>
      </c>
      <c r="H3" s="34" t="s">
        <v>503</v>
      </c>
      <c r="I3" s="34" t="s">
        <v>503</v>
      </c>
      <c r="K3" s="36" t="s">
        <v>523</v>
      </c>
    </row>
    <row r="4" spans="1:11" ht="15" thickBot="1" x14ac:dyDescent="0.4">
      <c r="A4" s="24" t="s">
        <v>82</v>
      </c>
      <c r="B4" s="25">
        <v>3</v>
      </c>
      <c r="C4" s="26" t="s">
        <v>492</v>
      </c>
      <c r="D4" s="26" t="s">
        <v>492</v>
      </c>
      <c r="E4" s="27" t="s">
        <v>492</v>
      </c>
      <c r="F4" s="34" t="s">
        <v>503</v>
      </c>
      <c r="G4" s="34" t="s">
        <v>503</v>
      </c>
      <c r="H4" s="34" t="s">
        <v>503</v>
      </c>
      <c r="I4" s="35" t="s">
        <v>509</v>
      </c>
    </row>
    <row r="5" spans="1:11" ht="15" thickBot="1" x14ac:dyDescent="0.4">
      <c r="A5" s="24" t="s">
        <v>476</v>
      </c>
      <c r="B5" s="25">
        <v>4</v>
      </c>
      <c r="C5" s="26" t="s">
        <v>492</v>
      </c>
      <c r="D5" s="26" t="s">
        <v>492</v>
      </c>
      <c r="E5" s="28"/>
      <c r="F5" s="34" t="s">
        <v>503</v>
      </c>
      <c r="G5" s="34" t="s">
        <v>503</v>
      </c>
      <c r="H5" s="34" t="s">
        <v>508</v>
      </c>
      <c r="I5" s="34" t="s">
        <v>510</v>
      </c>
    </row>
    <row r="6" spans="1:11" ht="15" thickBot="1" x14ac:dyDescent="0.4">
      <c r="A6" s="24" t="s">
        <v>130</v>
      </c>
      <c r="B6" s="25">
        <v>5</v>
      </c>
      <c r="C6" s="26" t="s">
        <v>492</v>
      </c>
      <c r="D6" s="26" t="s">
        <v>492</v>
      </c>
      <c r="E6" s="27" t="s">
        <v>492</v>
      </c>
      <c r="F6" s="34" t="s">
        <v>503</v>
      </c>
      <c r="G6" s="34" t="s">
        <v>503</v>
      </c>
      <c r="H6" s="34" t="s">
        <v>512</v>
      </c>
      <c r="I6" s="34" t="s">
        <v>511</v>
      </c>
    </row>
    <row r="7" spans="1:11" ht="15" thickBot="1" x14ac:dyDescent="0.4">
      <c r="A7" s="24" t="s">
        <v>85</v>
      </c>
      <c r="B7" s="25">
        <v>6</v>
      </c>
      <c r="C7" s="26" t="s">
        <v>492</v>
      </c>
      <c r="D7" s="26" t="s">
        <v>492</v>
      </c>
      <c r="E7" s="27" t="s">
        <v>492</v>
      </c>
      <c r="F7" s="34" t="s">
        <v>503</v>
      </c>
      <c r="G7" s="34" t="s">
        <v>503</v>
      </c>
      <c r="H7" s="34" t="s">
        <v>514</v>
      </c>
      <c r="I7" s="34" t="s">
        <v>516</v>
      </c>
    </row>
    <row r="8" spans="1:11" ht="15" thickBot="1" x14ac:dyDescent="0.4">
      <c r="A8" s="24" t="s">
        <v>151</v>
      </c>
      <c r="B8" s="25">
        <v>7</v>
      </c>
      <c r="C8" s="26" t="s">
        <v>492</v>
      </c>
      <c r="D8" s="26" t="s">
        <v>492</v>
      </c>
      <c r="E8" s="27" t="s">
        <v>492</v>
      </c>
      <c r="F8" s="34" t="s">
        <v>503</v>
      </c>
      <c r="G8" s="34" t="s">
        <v>503</v>
      </c>
      <c r="H8" s="34" t="s">
        <v>517</v>
      </c>
      <c r="I8" s="34" t="s">
        <v>521</v>
      </c>
    </row>
    <row r="9" spans="1:11" ht="15" thickBot="1" x14ac:dyDescent="0.4">
      <c r="A9" s="24" t="s">
        <v>34</v>
      </c>
      <c r="B9" s="25">
        <v>8</v>
      </c>
      <c r="C9" s="26" t="s">
        <v>492</v>
      </c>
      <c r="D9" s="26" t="s">
        <v>492</v>
      </c>
      <c r="E9" s="27" t="s">
        <v>492</v>
      </c>
      <c r="F9" s="34" t="s">
        <v>503</v>
      </c>
      <c r="G9" s="34" t="s">
        <v>503</v>
      </c>
      <c r="H9" s="34" t="s">
        <v>519</v>
      </c>
      <c r="I9" s="34" t="s">
        <v>513</v>
      </c>
    </row>
    <row r="10" spans="1:11" ht="15" thickBot="1" x14ac:dyDescent="0.4">
      <c r="A10" s="24" t="s">
        <v>496</v>
      </c>
      <c r="B10" s="25">
        <v>9</v>
      </c>
      <c r="C10" s="26" t="s">
        <v>492</v>
      </c>
      <c r="D10" s="26" t="s">
        <v>492</v>
      </c>
      <c r="E10" s="27" t="s">
        <v>492</v>
      </c>
      <c r="F10" s="37" t="s">
        <v>503</v>
      </c>
      <c r="G10" s="32" t="s">
        <v>503</v>
      </c>
      <c r="H10" s="37" t="s">
        <v>522</v>
      </c>
      <c r="I10" s="37" t="s">
        <v>515</v>
      </c>
    </row>
    <row r="11" spans="1:11" ht="15" thickBot="1" x14ac:dyDescent="0.4">
      <c r="A11" s="24" t="s">
        <v>494</v>
      </c>
      <c r="B11" s="25">
        <v>10</v>
      </c>
      <c r="C11" s="26" t="s">
        <v>492</v>
      </c>
      <c r="D11" s="26" t="s">
        <v>492</v>
      </c>
      <c r="E11" s="27" t="s">
        <v>492</v>
      </c>
      <c r="F11" s="34" t="s">
        <v>503</v>
      </c>
      <c r="G11" s="34" t="s">
        <v>503</v>
      </c>
      <c r="H11" s="34" t="s">
        <v>524</v>
      </c>
      <c r="I11" s="34" t="s">
        <v>518</v>
      </c>
    </row>
    <row r="12" spans="1:11" ht="15" thickBot="1" x14ac:dyDescent="0.4">
      <c r="A12" s="24" t="s">
        <v>495</v>
      </c>
      <c r="B12" s="25">
        <v>11</v>
      </c>
      <c r="C12" s="26" t="s">
        <v>492</v>
      </c>
      <c r="D12" s="26" t="s">
        <v>492</v>
      </c>
      <c r="E12" s="27" t="s">
        <v>492</v>
      </c>
      <c r="F12" s="34" t="s">
        <v>503</v>
      </c>
      <c r="G12" s="34" t="s">
        <v>503</v>
      </c>
      <c r="H12" s="34" t="s">
        <v>526</v>
      </c>
      <c r="I12" s="38" t="s">
        <v>520</v>
      </c>
    </row>
    <row r="13" spans="1:11" ht="15" thickBot="1" x14ac:dyDescent="0.4">
      <c r="A13" s="24" t="s">
        <v>478</v>
      </c>
      <c r="B13" s="25">
        <v>12</v>
      </c>
      <c r="C13" s="26" t="s">
        <v>492</v>
      </c>
      <c r="D13" s="26" t="s">
        <v>492</v>
      </c>
      <c r="E13" s="27" t="s">
        <v>492</v>
      </c>
      <c r="F13" s="34" t="s">
        <v>503</v>
      </c>
      <c r="G13" s="34" t="s">
        <v>503</v>
      </c>
      <c r="H13" s="34" t="s">
        <v>527</v>
      </c>
      <c r="I13" s="38" t="s">
        <v>531</v>
      </c>
    </row>
    <row r="14" spans="1:11" ht="15" thickBot="1" x14ac:dyDescent="0.4">
      <c r="A14" s="24" t="s">
        <v>125</v>
      </c>
      <c r="B14" s="25">
        <v>13</v>
      </c>
      <c r="C14" s="26" t="s">
        <v>492</v>
      </c>
      <c r="D14" s="26" t="s">
        <v>492</v>
      </c>
      <c r="E14" s="27" t="s">
        <v>492</v>
      </c>
      <c r="F14" s="34" t="s">
        <v>503</v>
      </c>
      <c r="G14" s="34" t="s">
        <v>503</v>
      </c>
      <c r="H14" s="34" t="s">
        <v>528</v>
      </c>
      <c r="I14" s="38"/>
    </row>
    <row r="15" spans="1:11" ht="15" thickBot="1" x14ac:dyDescent="0.4">
      <c r="A15" s="24" t="s">
        <v>93</v>
      </c>
      <c r="B15" s="25">
        <v>14</v>
      </c>
      <c r="C15" s="26" t="s">
        <v>492</v>
      </c>
      <c r="D15" s="26" t="s">
        <v>492</v>
      </c>
      <c r="E15" s="27" t="s">
        <v>492</v>
      </c>
      <c r="F15" s="34" t="s">
        <v>503</v>
      </c>
      <c r="G15" s="34" t="s">
        <v>503</v>
      </c>
      <c r="H15" s="34" t="s">
        <v>529</v>
      </c>
      <c r="I15" s="38"/>
    </row>
    <row r="16" spans="1:11" ht="15" thickBot="1" x14ac:dyDescent="0.4">
      <c r="A16" s="24" t="s">
        <v>309</v>
      </c>
      <c r="B16" s="25">
        <v>15</v>
      </c>
      <c r="C16" s="26" t="s">
        <v>492</v>
      </c>
      <c r="D16" s="26" t="s">
        <v>492</v>
      </c>
      <c r="E16" s="27" t="s">
        <v>492</v>
      </c>
      <c r="F16" s="39" t="s">
        <v>532</v>
      </c>
      <c r="G16" s="39" t="s">
        <v>532</v>
      </c>
      <c r="H16" s="34" t="s">
        <v>503</v>
      </c>
      <c r="I16" s="38"/>
    </row>
    <row r="17" spans="1:9" ht="15" thickBot="1" x14ac:dyDescent="0.4">
      <c r="A17" s="24" t="s">
        <v>300</v>
      </c>
      <c r="B17" s="25">
        <v>16</v>
      </c>
      <c r="C17" s="29"/>
      <c r="D17" s="26" t="s">
        <v>492</v>
      </c>
      <c r="E17" s="28" t="s">
        <v>492</v>
      </c>
      <c r="F17" s="40" t="s">
        <v>533</v>
      </c>
      <c r="G17" s="34" t="s">
        <v>503</v>
      </c>
      <c r="H17" s="34" t="s">
        <v>503</v>
      </c>
      <c r="I17" s="38" t="s">
        <v>525</v>
      </c>
    </row>
    <row r="18" spans="1:9" ht="15" thickBot="1" x14ac:dyDescent="0.4">
      <c r="A18" s="24" t="s">
        <v>299</v>
      </c>
      <c r="B18" s="25">
        <v>17</v>
      </c>
      <c r="C18" s="29"/>
      <c r="D18" s="26" t="s">
        <v>492</v>
      </c>
      <c r="E18" s="28"/>
      <c r="F18" s="40" t="s">
        <v>534</v>
      </c>
      <c r="G18" s="39" t="s">
        <v>535</v>
      </c>
      <c r="H18" s="34" t="s">
        <v>508</v>
      </c>
      <c r="I18" s="38"/>
    </row>
    <row r="19" spans="1:9" ht="15" thickBot="1" x14ac:dyDescent="0.4">
      <c r="A19" s="24" t="s">
        <v>200</v>
      </c>
      <c r="B19" s="25">
        <v>18</v>
      </c>
      <c r="C19" s="29"/>
      <c r="D19" s="29"/>
      <c r="E19" s="27" t="s">
        <v>492</v>
      </c>
      <c r="F19" s="40" t="s">
        <v>508</v>
      </c>
      <c r="G19" s="34" t="s">
        <v>508</v>
      </c>
      <c r="H19" s="34" t="s">
        <v>530</v>
      </c>
      <c r="I19" s="38"/>
    </row>
  </sheetData>
  <sortState xmlns:xlrd2="http://schemas.microsoft.com/office/spreadsheetml/2017/richdata2" ref="A2:E19">
    <sortCondition ref="B2:B1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workbookViewId="0">
      <selection activeCell="A18" sqref="A18"/>
    </sheetView>
  </sheetViews>
  <sheetFormatPr defaultRowHeight="14.5" x14ac:dyDescent="0.35"/>
  <cols>
    <col min="2" max="2" width="34" customWidth="1"/>
    <col min="3" max="3" width="21.81640625" customWidth="1"/>
    <col min="4" max="4" width="12.54296875" customWidth="1"/>
    <col min="5" max="5" width="9.08984375" bestFit="1" customWidth="1"/>
  </cols>
  <sheetData>
    <row r="1" spans="1:5" x14ac:dyDescent="0.35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5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5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5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5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5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5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5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5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5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5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5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5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5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5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5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5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K5" sqref="K5"/>
    </sheetView>
  </sheetViews>
  <sheetFormatPr defaultRowHeight="14.5" x14ac:dyDescent="0.35"/>
  <cols>
    <col min="1" max="1" width="61.36328125" customWidth="1"/>
    <col min="2" max="2" width="16.81640625" customWidth="1"/>
  </cols>
  <sheetData>
    <row r="1" spans="1:4" x14ac:dyDescent="0.35">
      <c r="A1" t="s">
        <v>448</v>
      </c>
      <c r="B1" t="s">
        <v>449</v>
      </c>
      <c r="C1" t="s">
        <v>450</v>
      </c>
      <c r="D1" t="s">
        <v>451</v>
      </c>
    </row>
    <row r="2" spans="1:4" x14ac:dyDescent="0.35">
      <c r="A2" t="s">
        <v>8</v>
      </c>
      <c r="B2" t="s">
        <v>452</v>
      </c>
      <c r="C2" t="b">
        <v>1</v>
      </c>
      <c r="D2" t="b">
        <v>0</v>
      </c>
    </row>
    <row r="3" spans="1:4" x14ac:dyDescent="0.35">
      <c r="A3" t="s">
        <v>319</v>
      </c>
      <c r="B3" t="s">
        <v>453</v>
      </c>
      <c r="C3" t="b">
        <v>1</v>
      </c>
      <c r="D3" t="b">
        <v>0</v>
      </c>
    </row>
    <row r="4" spans="1:4" x14ac:dyDescent="0.35">
      <c r="A4" t="s">
        <v>34</v>
      </c>
      <c r="B4" t="s">
        <v>454</v>
      </c>
      <c r="C4" t="b">
        <v>1</v>
      </c>
      <c r="D4" t="b">
        <v>0</v>
      </c>
    </row>
    <row r="5" spans="1:4" x14ac:dyDescent="0.35">
      <c r="A5" t="s">
        <v>134</v>
      </c>
      <c r="B5" t="s">
        <v>455</v>
      </c>
      <c r="C5" t="b">
        <v>1</v>
      </c>
      <c r="D5" t="b">
        <v>0</v>
      </c>
    </row>
    <row r="6" spans="1:4" x14ac:dyDescent="0.35">
      <c r="A6" t="s">
        <v>477</v>
      </c>
      <c r="B6" t="s">
        <v>456</v>
      </c>
      <c r="C6" t="b">
        <v>1</v>
      </c>
      <c r="D6" t="b">
        <v>0</v>
      </c>
    </row>
    <row r="7" spans="1:4" x14ac:dyDescent="0.35">
      <c r="A7" t="s">
        <v>320</v>
      </c>
      <c r="B7" t="s">
        <v>457</v>
      </c>
      <c r="C7" t="b">
        <v>1</v>
      </c>
      <c r="D7" t="b">
        <v>0</v>
      </c>
    </row>
    <row r="8" spans="1:4" x14ac:dyDescent="0.35">
      <c r="A8" t="s">
        <v>458</v>
      </c>
      <c r="B8" t="s">
        <v>459</v>
      </c>
      <c r="C8" t="b">
        <v>1</v>
      </c>
      <c r="D8" t="b">
        <v>0</v>
      </c>
    </row>
    <row r="9" spans="1:4" x14ac:dyDescent="0.35">
      <c r="A9" t="s">
        <v>460</v>
      </c>
      <c r="B9" t="s">
        <v>461</v>
      </c>
      <c r="C9" t="b">
        <v>1</v>
      </c>
      <c r="D9" t="b">
        <v>0</v>
      </c>
    </row>
    <row r="10" spans="1:4" x14ac:dyDescent="0.35">
      <c r="A10" t="s">
        <v>206</v>
      </c>
      <c r="B10" t="s">
        <v>462</v>
      </c>
      <c r="C10" t="b">
        <v>1</v>
      </c>
      <c r="D10" t="b">
        <v>0</v>
      </c>
    </row>
    <row r="11" spans="1:4" x14ac:dyDescent="0.35">
      <c r="A11" t="s">
        <v>76</v>
      </c>
      <c r="B11" t="s">
        <v>463</v>
      </c>
      <c r="C11" t="b">
        <v>1</v>
      </c>
      <c r="D11" t="b">
        <v>0</v>
      </c>
    </row>
    <row r="12" spans="1:4" x14ac:dyDescent="0.35">
      <c r="A12" t="s">
        <v>93</v>
      </c>
      <c r="B12" t="s">
        <v>464</v>
      </c>
      <c r="C12" t="b">
        <v>1</v>
      </c>
      <c r="D12" t="b">
        <v>0</v>
      </c>
    </row>
    <row r="13" spans="1:4" x14ac:dyDescent="0.35">
      <c r="A13" t="s">
        <v>299</v>
      </c>
      <c r="B13" t="s">
        <v>465</v>
      </c>
      <c r="C13" t="b">
        <v>1</v>
      </c>
      <c r="D13" t="b">
        <v>0</v>
      </c>
    </row>
    <row r="14" spans="1:4" x14ac:dyDescent="0.35">
      <c r="A14" t="s">
        <v>300</v>
      </c>
      <c r="B14" t="s">
        <v>466</v>
      </c>
      <c r="C14" t="b">
        <v>1</v>
      </c>
      <c r="D14" t="b">
        <v>0</v>
      </c>
    </row>
    <row r="15" spans="1:4" x14ac:dyDescent="0.35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5" x14ac:dyDescent="0.35"/>
  <cols>
    <col min="1" max="1" width="10" customWidth="1"/>
    <col min="2" max="4" width="10.1796875" customWidth="1"/>
    <col min="5" max="5" width="50.54296875" bestFit="1" customWidth="1"/>
    <col min="6" max="6" width="16.453125" customWidth="1"/>
    <col min="7" max="7" width="11.1796875" customWidth="1"/>
    <col min="8" max="8" width="12.1796875" customWidth="1"/>
    <col min="9" max="9" width="12.453125" customWidth="1"/>
    <col min="10" max="10" width="17.81640625" bestFit="1" customWidth="1"/>
    <col min="11" max="11" width="17.81640625" customWidth="1"/>
    <col min="12" max="12" width="11.453125" customWidth="1"/>
    <col min="13" max="13" width="14" customWidth="1"/>
    <col min="14" max="14" width="10.81640625" customWidth="1"/>
    <col min="15" max="15" width="17.81640625" bestFit="1" customWidth="1"/>
  </cols>
  <sheetData>
    <row r="1" spans="1:16" x14ac:dyDescent="0.35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5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5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5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5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5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5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5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5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5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5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5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5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5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5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5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5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5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5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5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5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5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5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5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5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5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5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5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5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5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5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5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5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5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5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5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5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5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5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5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5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5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5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5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5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5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5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5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5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5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5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5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5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5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5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5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5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5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5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5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5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5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5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5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5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5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5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5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5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5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5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5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5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5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5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5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5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5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5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5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5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5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5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5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5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5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5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5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5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5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5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5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5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5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5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5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5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5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5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5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5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5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5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5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5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5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5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5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5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5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5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5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5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5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5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5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5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5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5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5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5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5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5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5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5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5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5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5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5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5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5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5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5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5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5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5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5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5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5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5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5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5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5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5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5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5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5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5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5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5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5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5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5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5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5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5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5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5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5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5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5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5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5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5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5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5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5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5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5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5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5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5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5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5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5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5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5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5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5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5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5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5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5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5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5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5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5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5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5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5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5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5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5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5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5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5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5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5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5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5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5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5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5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5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5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5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5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5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5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5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5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5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5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5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5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5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5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5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5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5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5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5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5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5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5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5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5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5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5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5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5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5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5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5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5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5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5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5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5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5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5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5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5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5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5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5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5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5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5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5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5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5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5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5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5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5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5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5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5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5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5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5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5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5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5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Budget</vt:lpstr>
      <vt:lpstr>Projects</vt:lpstr>
      <vt:lpstr>Costs</vt:lpstr>
      <vt:lpstr>Assumptions</vt:lpstr>
      <vt:lpstr>UI_Tables</vt:lpstr>
      <vt:lpstr>Funding_Summary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2025-07-17T19:22:47Z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