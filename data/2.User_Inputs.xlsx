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msys-my.sharepoint.com/personal/slarue_camsys_com/Documents/Documents/idot_github_puller/TEACART/data/"/>
    </mc:Choice>
  </mc:AlternateContent>
  <xr:revisionPtr revIDLastSave="76" documentId="13_ncr:1_{2EC2AAB9-E469-46DA-8617-24D954860566}" xr6:coauthVersionLast="47" xr6:coauthVersionMax="47" xr10:uidLastSave="{C69693A5-9C04-44AA-85BF-4ADD6C986E2C}"/>
  <bookViews>
    <workbookView minimized="1" xWindow="31710" yWindow="-6210" windowWidth="9105" windowHeight="11040" tabRatio="643" firstSheet="4" activeTab="4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Assumptions" sheetId="1" r:id="rId5"/>
    <sheet name="Costs" sheetId="3" r:id="rId6"/>
    <sheet name="Scenarios" sheetId="9" r:id="rId7"/>
    <sheet name="Advanced" sheetId="7" r:id="rId8"/>
  </sheets>
  <externalReferences>
    <externalReference r:id="rId9"/>
  </externalReferences>
  <definedNames>
    <definedName name="ExternalData_14" localSheetId="4" hidden="1">Assumptions!$A$1:$M$91</definedName>
    <definedName name="ExternalData_8" localSheetId="3" hidden="1">Projects!$A$1:$M$199</definedName>
    <definedName name="ExternalData_9" localSheetId="5" hidden="1">Costs!$A$1:$L$160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1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2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3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4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5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6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7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8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19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0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1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2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3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4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5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6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7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8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29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0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1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2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3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4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5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6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7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<sst xmlns="http://schemas.openxmlformats.org/spreadsheetml/2006/main" count="3604" uniqueCount="296">
  <si>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</si>
  <si>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</si>
  <si>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</si>
  <si>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</si>
  <si>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</si>
  <si>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</si>
  <si>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</si>
  <si>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</si>
  <si>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</si>
  <si>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</si>
  <si>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</si>
  <si>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</si>
  <si>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</si>
  <si>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</si>
  <si>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</si>
  <si>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</si>
  <si>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</si>
  <si>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</si>
  <si>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</si>
  <si>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</si>
  <si>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</si>
  <si>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</si>
  <si>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</si>
  <si>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</si>
  <si>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</si>
  <si>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</si>
  <si>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</si>
  <si>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</si>
  <si>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</si>
  <si>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</si>
  <si>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</si>
  <si>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</si>
  <si>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</si>
  <si>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</si>
  <si>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</si>
  <si>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</si>
  <si>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</si>
  <si>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Arterial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</si>
  <si>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</si>
  <si>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</si>
  <si>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</si>
  <si>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</si>
  <si>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</si>
  <si>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</si>
  <si>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</si>
  <si>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</si>
  <si>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</si>
  <si>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</si>
  <si>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</si>
  <si>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</si>
  <si>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</si>
  <si>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</si>
  <si>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</si>
  <si>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</si>
  <si>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</si>
  <si>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</si>
  <si>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</si>
  <si>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</si>
  <si>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</si>
  <si>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</si>
  <si>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</si>
  <si>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Light rail/streetcar</t>
  </si>
  <si>
    <t>Heavy rail</t>
  </si>
  <si>
    <t>Commuter rail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</si>
  <si>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</si>
  <si>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</si>
  <si>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</si>
  <si>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</si>
  <si>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</si>
  <si>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</si>
  <si>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</si>
  <si>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</si>
  <si>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</si>
  <si>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</si>
  <si>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</si>
  <si>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</si>
  <si>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</si>
  <si>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</si>
  <si>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</si>
  <si>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</si>
  <si>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</si>
  <si>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</si>
  <si>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</si>
  <si>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</si>
  <si>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</si>
  <si>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</si>
  <si>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</si>
  <si>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</si>
  <si>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</si>
  <si>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</si>
  <si>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</si>
  <si>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</si>
  <si>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</si>
  <si>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</si>
  <si>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</si>
  <si>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</si>
  <si>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</si>
  <si>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</si>
  <si>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</si>
  <si>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</si>
  <si>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</si>
  <si>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</si>
  <si>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</si>
  <si>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</si>
  <si>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</si>
  <si>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</si>
  <si>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</si>
  <si>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</si>
  <si>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</si>
  <si>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</si>
  <si>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</si>
  <si>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</si>
  <si>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</si>
  <si>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</si>
  <si>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</si>
  <si>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</si>
  <si>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</si>
  <si>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</si>
  <si>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</si>
  <si>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Car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</si>
  <si>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</si>
  <si>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</si>
  <si>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</si>
  <si>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</si>
  <si>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</si>
  <si>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</si>
  <si>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</si>
  <si>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</si>
  <si>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</si>
  <si>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</si>
  <si>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</si>
  <si>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</si>
  <si>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</si>
  <si>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</si>
  <si>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</si>
  <si>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</si>
  <si>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</si>
  <si>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</si>
  <si>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</si>
  <si>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</si>
  <si>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</si>
  <si>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</si>
  <si>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</si>
  <si>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</si>
  <si>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</si>
  <si>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</si>
  <si>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</si>
  <si>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</si>
  <si>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</si>
  <si>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</si>
  <si>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</si>
  <si>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</si>
  <si>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</si>
  <si>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</si>
  <si>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</si>
  <si>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</si>
  <si>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</si>
  <si>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</si>
  <si>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</si>
  <si>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</si>
  <si>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</si>
  <si>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</si>
  <si>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</si>
  <si>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</si>
  <si>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</si>
  <si>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</si>
  <si>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</si>
  <si>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</si>
  <si>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</si>
  <si>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</si>
  <si>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</si>
  <si>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</si>
  <si>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</si>
  <si>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</si>
  <si>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Induced travel elacity w/r/t/ lane mile</t>
  </si>
  <si>
    <t>Induced travel elacity w/r/t/ travel time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</si>
  <si>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</si>
  <si>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</si>
  <si>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</si>
  <si>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</si>
  <si>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</si>
  <si>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</si>
  <si>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</si>
  <si>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</si>
  <si>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</si>
  <si>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</si>
  <si>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</si>
  <si>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</si>
  <si>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</si>
  <si>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</si>
  <si>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</si>
  <si>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</si>
  <si>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</si>
  <si>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</si>
  <si>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</si>
  <si>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</si>
  <si>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Fuel Technology Fraction</t>
  </si>
  <si>
    <t>Onroad Public Transit - Fuel Technology Fraction (Advanced)</t>
  </si>
  <si>
    <t>Bicycle &amp; Pedestrian</t>
  </si>
  <si>
    <t>Cost per facility mile</t>
  </si>
  <si>
    <t>Annual Maintenance cost per facility mile</t>
  </si>
  <si>
    <t>Cost</t>
  </si>
  <si>
    <t>Per vehicle capital cost</t>
  </si>
  <si>
    <t>O&amp;M cost per VRM</t>
  </si>
  <si>
    <t>Fuel cost per VRM</t>
  </si>
  <si>
    <t>Traffic Operations (Intersection Improvements)</t>
  </si>
  <si>
    <t>per_mile_onm_cost</t>
  </si>
  <si>
    <t>Operating cost per mile</t>
  </si>
  <si>
    <t>Hardware cost per unit</t>
  </si>
  <si>
    <t>Installation cost per unit</t>
  </si>
  <si>
    <t>New/Expanded Park &amp; Ride</t>
  </si>
  <si>
    <t>new_spaces</t>
  </si>
  <si>
    <t>cost_per_improvement</t>
  </si>
  <si>
    <t>Cost per 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</si>
  <si>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</si>
  <si>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</si>
  <si>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</si>
  <si>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</si>
  <si>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</si>
  <si>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Annual maintenance cost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</si>
  <si>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</si>
  <si>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</si>
  <si>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</si>
  <si>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</si>
  <si>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</si>
  <si>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</si>
  <si>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</si>
  <si>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</si>
  <si>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</si>
  <si>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</si>
  <si>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Dollars per gallon</t>
  </si>
  <si>
    <t>Dollars per kWh</t>
  </si>
  <si>
    <t>Dollars per Gasoline Gallon Equivalents (GGE)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</si>
  <si>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</si>
  <si>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</si>
  <si>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</si>
  <si>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</si>
  <si>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</si>
  <si>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</si>
  <si>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</si>
  <si>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</si>
  <si>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</si>
  <si>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</si>
  <si>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Direct emissions</t>
  </si>
  <si>
    <t>Upstream 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</si>
  <si>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</si>
  <si>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</si>
  <si>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</si>
  <si>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</si>
  <si>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</si>
  <si>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</si>
  <si>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</si>
  <si>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</si>
  <si>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</si>
  <si>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</si>
  <si>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</si>
  <si>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</si>
  <si>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</si>
  <si>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</si>
  <si>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</si>
  <si>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</si>
  <si>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</si>
  <si>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</si>
  <si>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</si>
  <si>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</si>
  <si>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</si>
  <si>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</si>
  <si>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(to come)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</si>
  <si>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</si>
  <si>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</si>
  <si>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</si>
  <si>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</si>
  <si>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</si>
  <si>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</si>
  <si>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</si>
  <si>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</si>
  <si>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</si>
  <si>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</si>
  <si>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</si>
  <si>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</si>
  <si>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</si>
  <si>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</si>
  <si>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</si>
  <si>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Core (&gt;10,000 ppsm)</t>
  </si>
  <si>
    <t>Urban (4,000 - 10,000 ppsm)</t>
  </si>
  <si>
    <t>Suburban (500 - 4,000 ppsm)</t>
  </si>
  <si>
    <t>Rural (&lt;500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</si>
  <si>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</si>
  <si>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</si>
  <si>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</si>
  <si>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</si>
  <si>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</si>
  <si>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</si>
  <si>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</si>
  <si>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vmt_nhs</t>
  </si>
  <si>
    <t>AmTrak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</si>
</sst>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applyNumberFormat="1"/>
  </cellXfs>
  <cellStyles count="2">
    <cellStyle name="Comma 2" xfId="1" xr:uid="{FD569F20-4BBB-467F-AADF-315D8A75F8BC}"/>
    <cellStyle name="Normal" xfId="0" builtinId="0"/>
  </cellStyles>
  <dxfs count="3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16">
    <queryTableFields count="13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5">
    <queryTableFields count="13">
      <queryTableField id="1" name="category" tableColumnId="1"/>
      <queryTableField id="12" dataBound="0" tableColumnId="12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1" xr16:uid="{60BB5190-6895-441C-BD79-1E1B38CBEA0D}" autoFormatId="16" applyNumberFormats="0" applyBorderFormats="0" applyFontFormats="0" applyPatternFormats="0" applyAlignmentFormats="0" applyWidthHeightFormats="0">
  <queryTableRefresh nextId="13">
    <queryTableFields count="12">
      <queryTableField id="1" name="category" tableColumnId="1"/>
      <queryTableField id="12" dataBound="0" tableColumnId="12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74" totalsRowShown="0">
  <autoFilter ref="A1:B74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L2" totalsRowShown="0">
  <autoFilter ref="A1:L2" xr:uid="{4F426ABF-DCCB-4752-B294-FF261C891BC6}"/>
  <tableColumns count="12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29"/>
    <tableColumn id="8" xr3:uid="{927D12FA-E6E4-40ED-AB5A-2B742A6ED84E}" name="horizon_year_2" dataDxfId="28"/>
    <tableColumn id="3" xr3:uid="{9BEACC32-3B49-40DA-9E88-0B4D191589E2}" name="horizon_year_3" dataDxfId="27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mt_nhs"/>
    <tableColumn id="11" xr3:uid="{9B169FDC-14E0-4755-A5B4-8D111D44137B}" name="veh_elec_baseline"/>
    <tableColumn id="12" xr3:uid="{997397DF-D66B-4AAA-BE64-A93C3153C103}" name="elec_grid_emissions_net_zer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M199" tableType="queryTable" totalsRowShown="0">
  <autoFilter ref="A1:M199" xr:uid="{68072E4F-E6E1-4BE3-86C3-20AEB7497CCB}"/>
  <tableColumns count="13">
    <tableColumn id="1" xr3:uid="{744B819E-05F1-41E4-A27E-6DECFD63BF86}" uniqueName="1" name="category" queryTableFieldId="1" dataDxfId="26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25"/>
    <tableColumn id="4" xr3:uid="{B620AAD0-B9A4-4177-8F0E-7C5D0A04C72C}" uniqueName="4" name="facility_type" queryTableFieldId="4" dataDxfId="24"/>
    <tableColumn id="5" xr3:uid="{65B39EA0-1134-49BF-BFF6-CDF5BACD108C}" uniqueName="5" name="charge_port_detail" queryTableFieldId="5" dataDxfId="23"/>
    <tableColumn id="6" xr3:uid="{D91B8D64-EE26-4F7F-B4D8-8621ACF6CD4E}" uniqueName="6" name="veh_type" queryTableFieldId="6" dataDxfId="22"/>
    <tableColumn id="7" xr3:uid="{EF16A9DF-60D7-403C-ABBD-748A320C6274}" uniqueName="7" name="fuel_type" queryTableFieldId="7" dataDxfId="21"/>
    <tableColumn id="8" xr3:uid="{00A1DE04-2630-431D-8192-A33FECA0793E}" uniqueName="8" name="road_class" queryTableFieldId="8" dataDxfId="20"/>
    <tableColumn id="9" xr3:uid="{96FECE33-0AB7-44CD-A867-E27AFFB4C993}" uniqueName="9" name="transit_mode" queryTableFieldId="9" dataDxfId="19"/>
    <tableColumn id="10" xr3:uid="{733DE83A-6E8B-4EA6-9AF5-EFE496246852}" uniqueName="10" name="unit" queryTableFieldId="10" dataDxfId="18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M91" tableType="queryTable" totalsRowShown="0">
  <autoFilter ref="A1:M91" xr:uid="{A297C3A8-46EE-44EB-9FBA-E6FC8F755E4E}"/>
  <tableColumns count="13">
    <tableColumn id="1" xr3:uid="{4BD1A21D-E3E5-4384-89EB-562B00E4DF63}" uniqueName="1" name="category" queryTableFieldId="1" dataDxfId="17"/>
    <tableColumn id="12" xr3:uid="{CAE29803-1457-47D1-841A-87584BD9CB5B}" uniqueName="12" name="table_no_ui" queryTableFieldId="12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16"/>
    <tableColumn id="3" xr3:uid="{5BAE7A67-94B0-49B6-9459-27C6915F8CB9}" uniqueName="3" name="DCFC_level" queryTableFieldId="3" dataDxfId="15"/>
    <tableColumn id="4" xr3:uid="{6485FBC9-3EC7-4BCB-BC6E-9258C767FA56}" uniqueName="4" name="element" queryTableFieldId="4" dataDxfId="14"/>
    <tableColumn id="5" xr3:uid="{8A7C5B7F-E699-49A1-8271-DB8397E82D07}" uniqueName="5" name="veh_type" queryTableFieldId="5" dataDxfId="13"/>
    <tableColumn id="6" xr3:uid="{4DF23E9A-124F-45BA-BE19-7AD648B3F71B}" uniqueName="6" name="road_class" queryTableFieldId="6" dataDxfId="12"/>
    <tableColumn id="7" xr3:uid="{DB5E30D1-BEA1-41DA-84F3-C92DDE82466A}" uniqueName="7" name="transit_mode" queryTableFieldId="7" dataDxfId="11"/>
    <tableColumn id="8" xr3:uid="{8F66E45A-BFB4-40A7-BBB4-A529260C81B4}" uniqueName="8" name="fuel_type" queryTableFieldId="8" dataDxfId="10"/>
    <tableColumn id="9" xr3:uid="{90422CDB-125C-4279-970D-BF19B95DE434}" uniqueName="9" name="unit" queryTableFieldId="9" dataDxfId="9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L160" tableType="queryTable" totalsRowShown="0">
  <autoFilter ref="A1:L160" xr:uid="{99BBE325-1C6F-4C09-9176-7A99DAB4A822}"/>
  <sortState xmlns:xlrd2="http://schemas.microsoft.com/office/spreadsheetml/2017/richdata2" ref="A2:L155">
    <sortCondition ref="B2:B155"/>
  </sortState>
  <tableColumns count="12">
    <tableColumn id="1" xr3:uid="{3DD42230-3709-454B-BD0B-FA6259CCBFFB}" uniqueName="1" name="category" queryTableFieldId="1" dataDxfId="8"/>
    <tableColumn id="12" xr3:uid="{51540D11-62CB-4060-9764-BD474BA77EFD}" uniqueName="12" name="table_no_ui" queryTableFieldId="12"/>
    <tableColumn id="11" xr3:uid="{6F8038DF-AC95-4184-BC3C-AC189D73314C}" uniqueName="11" name="table" queryTableFieldId="11"/>
    <tableColumn id="2" xr3:uid="{C18D127F-55B0-4901-B4FB-0ECE3954A02D}" uniqueName="2" name="road_class" queryTableFieldId="2" dataDxfId="7"/>
    <tableColumn id="3" xr3:uid="{2C320ACC-55F9-4140-A2B2-DEDF98996BCA}" uniqueName="3" name="area_type" queryTableFieldId="3" dataDxfId="6"/>
    <tableColumn id="4" xr3:uid="{AC7F2C49-14CA-4996-8271-682F1343288D}" uniqueName="4" name="DCFC_level" queryTableFieldId="4" dataDxfId="5"/>
    <tableColumn id="5" xr3:uid="{6A8A0521-2C1E-4347-953A-D3775D7F1C43}" uniqueName="5" name="fuel_type" queryTableFieldId="5" dataDxfId="4"/>
    <tableColumn id="6" xr3:uid="{67D964C1-9292-43FF-AC61-B6E3E6E946BF}" uniqueName="6" name="veh_type" queryTableFieldId="6" dataDxfId="3"/>
    <tableColumn id="7" xr3:uid="{E4C68F3F-3359-4B87-8521-F20B6D03FC1D}" uniqueName="7" name="cap_proj_type" queryTableFieldId="7" dataDxfId="2"/>
    <tableColumn id="8" xr3:uid="{54747636-0341-4D9D-BAE4-FAB2EF045F9F}" uniqueName="8" name="transit_mode" queryTableFieldId="8" dataDxfId="1"/>
    <tableColumn id="9" xr3:uid="{54500AF0-1791-4CF6-B7C0-40335E914486}" uniqueName="9" name="unit" queryTableFieldId="9" dataDxfId="0"/>
    <tableColumn id="10" xr3:uid="{4708D513-48C8-4731-91FB-04282EBE1580}" uniqueName="10" name="value" queryTableFieldId="10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N263" totalsRowShown="0">
  <autoFilter ref="A1:N263" xr:uid="{C6FFC9DE-11FC-4305-9AA3-ABF57474CF7F}"/>
  <sortState xmlns:xlrd2="http://schemas.microsoft.com/office/spreadsheetml/2017/richdata2" ref="A2:N263">
    <sortCondition ref="B2:B263"/>
  </sortState>
  <tableColumns count="14">
    <tableColumn id="1" xr3:uid="{C37C49E9-9645-4C53-9F21-6315E1C2B1AD}" name="category"/>
    <tableColumn id="2" xr3:uid="{5B46CD01-0A6D-470B-A6F5-F9AB7D563F16}" name="table_no_ui"/>
    <tableColumn id="3" xr3:uid="{1F3CFBC8-1064-4C08-856A-AA09B9FFD4D5}" name="table"/>
    <tableColumn id="4" xr3:uid="{426AB0DC-7AE9-42BE-A0F4-36717A48A0FA}" name="transit_category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74"/>
  <sheetViews>
    <sheetView workbookViewId="0">
      <selection activeCell="C92" sqref="C92"/>
    </sheetView>
  </sheetViews>
  <sheetFormatPr defaultRowHeight="14.5" x14ac:dyDescent="0.35"/>
  <cols>
    <col min="1" max="1" width="33.81640625" bestFit="1" customWidth="1"/>
    <col min="2" max="2" width="49.26953125" bestFit="1" customWidth="1"/>
    <col min="3" max="3" width="36.7265625" customWidth="1"/>
    <col min="4" max="4" width="11.54296875" bestFit="1" customWidth="1"/>
    <col min="8" max="8" width="24.7265625" customWidth="1"/>
  </cols>
  <sheetData>
    <row r="1" spans="1:2" x14ac:dyDescent="0.35">
      <c r="A1" t="s">
        <v>97</v>
      </c>
      <c r="B1" t="s">
        <v>280</v>
      </c>
    </row>
    <row r="2" spans="1:2" x14ac:dyDescent="0.35">
      <c r="A2" t="s">
        <v>88</v>
      </c>
      <c r="B2" t="s">
        <v>158</v>
      </c>
    </row>
    <row r="3" spans="1:2" x14ac:dyDescent="0.35">
      <c r="A3" t="s">
        <v>83</v>
      </c>
      <c r="B3" t="s">
        <v>159</v>
      </c>
    </row>
    <row r="4" spans="1:2" x14ac:dyDescent="0.35">
      <c r="A4" t="s">
        <v>82</v>
      </c>
      <c r="B4" t="s">
        <v>133</v>
      </c>
    </row>
    <row r="5" spans="1:2" x14ac:dyDescent="0.35">
      <c r="A5" t="s">
        <v>156</v>
      </c>
      <c r="B5" t="s">
        <v>157</v>
      </c>
    </row>
    <row r="6" spans="1:2" x14ac:dyDescent="0.35">
      <c r="A6" t="s">
        <v>144</v>
      </c>
      <c r="B6" t="s">
        <v>155</v>
      </c>
    </row>
    <row r="7" spans="1:2" x14ac:dyDescent="0.35">
      <c r="A7" t="s">
        <v>147</v>
      </c>
      <c r="B7" t="s">
        <v>111</v>
      </c>
    </row>
    <row r="8" spans="1:2" x14ac:dyDescent="0.35">
      <c r="A8" t="s">
        <v>148</v>
      </c>
      <c r="B8" t="s">
        <v>113</v>
      </c>
    </row>
    <row r="9" spans="1:2" x14ac:dyDescent="0.35">
      <c r="A9" t="s">
        <v>211</v>
      </c>
      <c r="B9" t="s">
        <v>154</v>
      </c>
    </row>
    <row r="10" spans="1:2" x14ac:dyDescent="0.35">
      <c r="A10" t="s">
        <v>81</v>
      </c>
      <c r="B10" t="s">
        <v>152</v>
      </c>
    </row>
    <row r="11" spans="1:2" x14ac:dyDescent="0.35">
      <c r="A11" t="s">
        <v>150</v>
      </c>
      <c r="B11" t="s">
        <v>151</v>
      </c>
    </row>
    <row r="12" spans="1:2" x14ac:dyDescent="0.35">
      <c r="A12" t="s">
        <v>85</v>
      </c>
      <c r="B12" t="s">
        <v>153</v>
      </c>
    </row>
    <row r="13" spans="1:2" x14ac:dyDescent="0.35">
      <c r="A13" t="s">
        <v>40</v>
      </c>
      <c r="B13" t="s">
        <v>164</v>
      </c>
    </row>
    <row r="14" spans="1:2" x14ac:dyDescent="0.35">
      <c r="A14" t="s">
        <v>41</v>
      </c>
      <c r="B14" t="s">
        <v>165</v>
      </c>
    </row>
    <row r="15" spans="1:2" x14ac:dyDescent="0.35">
      <c r="A15" t="s">
        <v>42</v>
      </c>
      <c r="B15" t="s">
        <v>166</v>
      </c>
    </row>
    <row r="16" spans="1:2" x14ac:dyDescent="0.35">
      <c r="A16" t="s">
        <v>43</v>
      </c>
      <c r="B16" t="s">
        <v>167</v>
      </c>
    </row>
    <row r="17" spans="1:2" x14ac:dyDescent="0.35">
      <c r="A17" t="s">
        <v>44</v>
      </c>
      <c r="B17" t="s">
        <v>168</v>
      </c>
    </row>
    <row r="18" spans="1:2" x14ac:dyDescent="0.35">
      <c r="A18" t="s">
        <v>30</v>
      </c>
      <c r="B18" t="s">
        <v>170</v>
      </c>
    </row>
    <row r="19" spans="1:2" x14ac:dyDescent="0.35">
      <c r="A19" t="s">
        <v>31</v>
      </c>
      <c r="B19" t="s">
        <v>171</v>
      </c>
    </row>
    <row r="20" spans="1:2" x14ac:dyDescent="0.35">
      <c r="A20" t="s">
        <v>32</v>
      </c>
      <c r="B20" t="s">
        <v>172</v>
      </c>
    </row>
    <row r="21" spans="1:2" x14ac:dyDescent="0.35">
      <c r="A21" t="s">
        <v>35</v>
      </c>
      <c r="B21" t="s">
        <v>173</v>
      </c>
    </row>
    <row r="22" spans="1:2" x14ac:dyDescent="0.35">
      <c r="A22" t="s">
        <v>36</v>
      </c>
      <c r="B22" t="s">
        <v>174</v>
      </c>
    </row>
    <row r="23" spans="1:2" x14ac:dyDescent="0.35">
      <c r="A23" t="s">
        <v>38</v>
      </c>
      <c r="B23" t="s">
        <v>175</v>
      </c>
    </row>
    <row r="24" spans="1:2" x14ac:dyDescent="0.35">
      <c r="A24" t="s">
        <v>24</v>
      </c>
      <c r="B24" t="s">
        <v>176</v>
      </c>
    </row>
    <row r="25" spans="1:2" x14ac:dyDescent="0.35">
      <c r="A25" t="s">
        <v>21</v>
      </c>
      <c r="B25" t="s">
        <v>178</v>
      </c>
    </row>
    <row r="26" spans="1:2" x14ac:dyDescent="0.35">
      <c r="A26" t="s">
        <v>15</v>
      </c>
      <c r="B26" t="s">
        <v>180</v>
      </c>
    </row>
    <row r="27" spans="1:2" x14ac:dyDescent="0.35">
      <c r="A27" t="s">
        <v>57</v>
      </c>
      <c r="B27" t="s">
        <v>181</v>
      </c>
    </row>
    <row r="28" spans="1:2" x14ac:dyDescent="0.35">
      <c r="A28" t="s">
        <v>66</v>
      </c>
      <c r="B28" t="s">
        <v>182</v>
      </c>
    </row>
    <row r="29" spans="1:2" x14ac:dyDescent="0.35">
      <c r="A29" t="s">
        <v>58</v>
      </c>
      <c r="B29" t="s">
        <v>183</v>
      </c>
    </row>
    <row r="30" spans="1:2" x14ac:dyDescent="0.35">
      <c r="A30" t="s">
        <v>51</v>
      </c>
      <c r="B30" t="s">
        <v>184</v>
      </c>
    </row>
    <row r="31" spans="1:2" x14ac:dyDescent="0.35">
      <c r="A31" t="s">
        <v>50</v>
      </c>
      <c r="B31" t="s">
        <v>185</v>
      </c>
    </row>
    <row r="32" spans="1:2" x14ac:dyDescent="0.35">
      <c r="A32" t="s">
        <v>53</v>
      </c>
      <c r="B32" t="s">
        <v>186</v>
      </c>
    </row>
    <row r="33" spans="1:2" x14ac:dyDescent="0.35">
      <c r="A33" t="s">
        <v>54</v>
      </c>
      <c r="B33" t="s">
        <v>187</v>
      </c>
    </row>
    <row r="34" spans="1:2" x14ac:dyDescent="0.35">
      <c r="A34" t="s">
        <v>52</v>
      </c>
      <c r="B34" t="s">
        <v>188</v>
      </c>
    </row>
    <row r="35" spans="1:2" x14ac:dyDescent="0.35">
      <c r="A35" t="s">
        <v>67</v>
      </c>
      <c r="B35" t="s">
        <v>249</v>
      </c>
    </row>
    <row r="36" spans="1:2" x14ac:dyDescent="0.35">
      <c r="A36" t="s">
        <v>116</v>
      </c>
      <c r="B36" t="s">
        <v>199</v>
      </c>
    </row>
    <row r="37" spans="1:2" x14ac:dyDescent="0.35">
      <c r="A37" t="s">
        <v>117</v>
      </c>
      <c r="B37" t="s">
        <v>200</v>
      </c>
    </row>
    <row r="38" spans="1:2" x14ac:dyDescent="0.35">
      <c r="A38" t="s">
        <v>110</v>
      </c>
      <c r="B38" t="s">
        <v>202</v>
      </c>
    </row>
    <row r="39" spans="1:2" x14ac:dyDescent="0.35">
      <c r="A39" t="s">
        <v>114</v>
      </c>
      <c r="B39" t="s">
        <v>204</v>
      </c>
    </row>
    <row r="40" spans="1:2" x14ac:dyDescent="0.35">
      <c r="A40" t="s">
        <v>115</v>
      </c>
      <c r="B40" t="s">
        <v>203</v>
      </c>
    </row>
    <row r="41" spans="1:2" x14ac:dyDescent="0.35">
      <c r="A41" t="s">
        <v>206</v>
      </c>
      <c r="B41" t="s">
        <v>207</v>
      </c>
    </row>
    <row r="42" spans="1:2" x14ac:dyDescent="0.35">
      <c r="A42" t="s">
        <v>104</v>
      </c>
      <c r="B42" t="s">
        <v>208</v>
      </c>
    </row>
    <row r="43" spans="1:2" x14ac:dyDescent="0.35">
      <c r="A43" t="s">
        <v>105</v>
      </c>
      <c r="B43" t="s">
        <v>209</v>
      </c>
    </row>
    <row r="44" spans="1:2" x14ac:dyDescent="0.35">
      <c r="A44" t="s">
        <v>212</v>
      </c>
      <c r="B44" t="s">
        <v>213</v>
      </c>
    </row>
    <row r="45" spans="1:2" x14ac:dyDescent="0.35">
      <c r="A45" t="s">
        <v>214</v>
      </c>
      <c r="B45" t="s">
        <v>219</v>
      </c>
    </row>
    <row r="46" spans="1:2" x14ac:dyDescent="0.35">
      <c r="A46" t="s">
        <v>217</v>
      </c>
      <c r="B46" t="s">
        <v>218</v>
      </c>
    </row>
    <row r="47" spans="1:2" x14ac:dyDescent="0.35">
      <c r="A47" t="s">
        <v>228</v>
      </c>
      <c r="B47" t="s">
        <v>229</v>
      </c>
    </row>
    <row r="48" spans="1:2" x14ac:dyDescent="0.35">
      <c r="A48" t="s">
        <v>223</v>
      </c>
      <c r="B48" t="s">
        <v>230</v>
      </c>
    </row>
    <row r="49" spans="1:2" x14ac:dyDescent="0.35">
      <c r="A49" t="s">
        <v>224</v>
      </c>
      <c r="B49" t="s">
        <v>231</v>
      </c>
    </row>
    <row r="50" spans="1:2" x14ac:dyDescent="0.35">
      <c r="A50" t="s">
        <v>225</v>
      </c>
      <c r="B50" t="s">
        <v>232</v>
      </c>
    </row>
    <row r="51" spans="1:2" x14ac:dyDescent="0.35">
      <c r="A51" t="s">
        <v>234</v>
      </c>
      <c r="B51" t="s">
        <v>235</v>
      </c>
    </row>
    <row r="52" spans="1:2" x14ac:dyDescent="0.35">
      <c r="A52" t="s">
        <v>123</v>
      </c>
      <c r="B52" t="s">
        <v>238</v>
      </c>
    </row>
    <row r="53" spans="1:2" x14ac:dyDescent="0.35">
      <c r="A53" t="s">
        <v>124</v>
      </c>
      <c r="B53" t="s">
        <v>239</v>
      </c>
    </row>
    <row r="54" spans="1:2" x14ac:dyDescent="0.35">
      <c r="A54" t="s">
        <v>241</v>
      </c>
      <c r="B54" t="s">
        <v>243</v>
      </c>
    </row>
    <row r="55" spans="1:2" x14ac:dyDescent="0.35">
      <c r="A55" t="s">
        <v>242</v>
      </c>
      <c r="B55" t="s">
        <v>244</v>
      </c>
    </row>
    <row r="56" spans="1:2" x14ac:dyDescent="0.35">
      <c r="A56" t="s">
        <v>247</v>
      </c>
      <c r="B56" t="s">
        <v>248</v>
      </c>
    </row>
    <row r="57" spans="1:2" x14ac:dyDescent="0.35">
      <c r="A57" t="s">
        <v>0</v>
      </c>
      <c r="B57" t="s">
        <v>268</v>
      </c>
    </row>
    <row r="58" spans="1:2" x14ac:dyDescent="0.35">
      <c r="A58" t="s">
        <v>149</v>
      </c>
      <c r="B58" t="s">
        <v>149</v>
      </c>
    </row>
    <row r="59" spans="1:2" x14ac:dyDescent="0.35">
      <c r="A59" t="s">
        <v>137</v>
      </c>
      <c r="B59" t="s">
        <v>137</v>
      </c>
    </row>
    <row r="60" spans="1:2" x14ac:dyDescent="0.35">
      <c r="A60" t="s">
        <v>99</v>
      </c>
      <c r="B60" t="s">
        <v>99</v>
      </c>
    </row>
    <row r="61" spans="1:2" x14ac:dyDescent="0.35">
      <c r="A61" t="s">
        <v>1</v>
      </c>
      <c r="B61" t="s">
        <v>271</v>
      </c>
    </row>
    <row r="62" spans="1:2" x14ac:dyDescent="0.35">
      <c r="A62" t="s">
        <v>274</v>
      </c>
      <c r="B62" t="s">
        <v>275</v>
      </c>
    </row>
    <row r="63" spans="1:2" x14ac:dyDescent="0.35">
      <c r="A63" t="s">
        <v>276</v>
      </c>
      <c r="B63" t="s">
        <v>277</v>
      </c>
    </row>
    <row r="64" spans="1:2" x14ac:dyDescent="0.35">
      <c r="A64" t="s">
        <v>4</v>
      </c>
      <c r="B64" t="s">
        <v>278</v>
      </c>
    </row>
    <row r="65" spans="1:2" x14ac:dyDescent="0.35">
      <c r="A65" t="s">
        <v>7</v>
      </c>
      <c r="B65" t="s">
        <v>272</v>
      </c>
    </row>
    <row r="66" spans="1:2" x14ac:dyDescent="0.35">
      <c r="A66" t="s">
        <v>5</v>
      </c>
      <c r="B66" t="s">
        <v>279</v>
      </c>
    </row>
    <row r="67" spans="1:2" x14ac:dyDescent="0.35">
      <c r="A67" t="s">
        <v>6</v>
      </c>
      <c r="B67" t="s">
        <v>273</v>
      </c>
    </row>
    <row r="68" spans="1:2" x14ac:dyDescent="0.35">
      <c r="A68" t="s">
        <v>177</v>
      </c>
      <c r="B68" t="s">
        <v>269</v>
      </c>
    </row>
    <row r="69" spans="1:2" x14ac:dyDescent="0.35">
      <c r="A69" t="s">
        <v>98</v>
      </c>
      <c r="B69" t="s">
        <v>270</v>
      </c>
    </row>
    <row r="70" spans="1:2" x14ac:dyDescent="0.35">
      <c r="A70" t="s">
        <v>281</v>
      </c>
      <c r="B70" t="s">
        <v>282</v>
      </c>
    </row>
    <row r="71" spans="1:2" x14ac:dyDescent="0.35">
      <c r="A71" t="s">
        <v>9</v>
      </c>
      <c r="B71" t="s">
        <v>288</v>
      </c>
    </row>
    <row r="72" spans="1:2" x14ac:dyDescent="0.35">
      <c r="A72" t="s">
        <v>48</v>
      </c>
      <c r="B72" t="s">
        <v>287</v>
      </c>
    </row>
    <row r="73" spans="1:2" x14ac:dyDescent="0.35">
      <c r="A73" t="s">
        <v>46</v>
      </c>
      <c r="B73" t="s">
        <v>289</v>
      </c>
    </row>
    <row r="74" spans="1:2" x14ac:dyDescent="0.35">
      <c r="A74" t="s">
        <v>47</v>
      </c>
      <c r="B74" t="s">
        <v>290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workbookViewId="0">
      <selection activeCell="D21" sqref="D21"/>
    </sheetView>
  </sheetViews>
  <sheetFormatPr defaultRowHeight="14.5" x14ac:dyDescent="0.35"/>
  <cols>
    <col min="1" max="1" width="12.7265625" customWidth="1"/>
    <col min="2" max="3" width="45.26953125" customWidth="1"/>
  </cols>
  <sheetData>
    <row r="1" spans="1:4" x14ac:dyDescent="0.35">
      <c r="A1" t="s">
        <v>258</v>
      </c>
      <c r="B1" t="s">
        <v>137</v>
      </c>
      <c r="C1" t="s">
        <v>161</v>
      </c>
      <c r="D1" t="s">
        <v>292</v>
      </c>
    </row>
    <row r="2" spans="1:4" x14ac:dyDescent="0.35">
      <c r="A2">
        <v>1</v>
      </c>
      <c r="B2" t="s">
        <v>138</v>
      </c>
      <c r="C2" t="s">
        <v>163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5">
      <c r="A3">
        <v>2</v>
      </c>
      <c r="B3" t="s">
        <v>141</v>
      </c>
      <c r="C3" t="s">
        <v>163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5">
      <c r="A4">
        <v>3</v>
      </c>
      <c r="B4" t="s">
        <v>135</v>
      </c>
      <c r="C4" t="s">
        <v>163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5">
      <c r="A5">
        <v>4</v>
      </c>
      <c r="B5" t="s">
        <v>146</v>
      </c>
      <c r="C5" t="s">
        <v>163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5">
      <c r="A6">
        <v>5</v>
      </c>
      <c r="B6" t="s">
        <v>139</v>
      </c>
      <c r="C6" t="s">
        <v>163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5">
      <c r="A7">
        <v>6</v>
      </c>
      <c r="B7" t="s">
        <v>142</v>
      </c>
      <c r="C7" t="s">
        <v>163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5">
      <c r="A8">
        <v>7</v>
      </c>
      <c r="B8" t="s">
        <v>143</v>
      </c>
      <c r="C8" t="s">
        <v>163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5">
      <c r="A9">
        <v>8</v>
      </c>
      <c r="B9" t="s">
        <v>39</v>
      </c>
      <c r="C9" t="s">
        <v>163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5">
      <c r="A10">
        <v>9</v>
      </c>
      <c r="B10" t="s">
        <v>205</v>
      </c>
      <c r="C10" t="s">
        <v>163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5">
      <c r="A11">
        <v>10</v>
      </c>
      <c r="B11" t="s">
        <v>22</v>
      </c>
      <c r="C11" t="s">
        <v>163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5">
      <c r="A12">
        <v>11</v>
      </c>
      <c r="B12" t="s">
        <v>20</v>
      </c>
      <c r="C12" t="s">
        <v>163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5">
      <c r="A13">
        <v>12</v>
      </c>
      <c r="B13" t="s">
        <v>80</v>
      </c>
      <c r="C13" t="s">
        <v>163</v>
      </c>
      <c r="D13" cm="1">
        <f t="array" ref="D13">SUM(--(LEN(_xlfn.UNIQUE(_xlfn._xlws.FILTER(Capital_Project_Inputs[unit],Capital_Project_Inputs[table_no_ui]=A13,"")))&gt;0))</f>
        <v>1</v>
      </c>
    </row>
    <row r="14" spans="1:4" x14ac:dyDescent="0.35">
      <c r="A14">
        <v>13</v>
      </c>
      <c r="B14" t="s">
        <v>134</v>
      </c>
      <c r="C14" t="s">
        <v>163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5">
      <c r="A15">
        <v>14</v>
      </c>
      <c r="B15" t="s">
        <v>101</v>
      </c>
      <c r="C15" t="s">
        <v>163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5">
      <c r="A16">
        <v>1</v>
      </c>
      <c r="B16" t="s">
        <v>8</v>
      </c>
      <c r="C16" t="s">
        <v>162</v>
      </c>
      <c r="D16" cm="1">
        <f t="array" ref="D16">SUM(--(LEN(_xlfn.UNIQUE(_xlfn._xlws.FILTER(Assumptions[unit],Assumptions[table_no_ui]=A16,"")))&gt;0))</f>
        <v>3</v>
      </c>
    </row>
    <row r="17" spans="1:4" x14ac:dyDescent="0.35">
      <c r="A17">
        <v>2</v>
      </c>
      <c r="B17" t="s">
        <v>49</v>
      </c>
      <c r="C17" t="s">
        <v>162</v>
      </c>
      <c r="D17" cm="1">
        <f t="array" ref="D17">SUM(--(LEN(_xlfn.UNIQUE(_xlfn._xlws.FILTER(Assumptions[unit],Assumptions[table_no_ui]=A17,"")))&gt;0))</f>
        <v>11</v>
      </c>
    </row>
    <row r="18" spans="1:4" x14ac:dyDescent="0.35">
      <c r="A18">
        <v>3</v>
      </c>
      <c r="B18" t="s">
        <v>160</v>
      </c>
      <c r="C18" t="s">
        <v>162</v>
      </c>
      <c r="D18" cm="1">
        <f t="array" ref="D18">SUM(--(LEN(_xlfn.UNIQUE(_xlfn._xlws.FILTER(Assumptions[unit],Assumptions[table_no_ui]=A18,"")))&gt;0))</f>
        <v>3</v>
      </c>
    </row>
    <row r="19" spans="1:4" x14ac:dyDescent="0.35">
      <c r="A19">
        <v>4</v>
      </c>
      <c r="B19" t="s">
        <v>39</v>
      </c>
      <c r="C19" t="s">
        <v>162</v>
      </c>
      <c r="D19" cm="1">
        <f t="array" ref="D19">SUM(--(LEN(_xlfn.UNIQUE(_xlfn._xlws.FILTER(Assumptions[unit],Assumptions[table_no_ui]=A19,"")))&gt;0))</f>
        <v>5</v>
      </c>
    </row>
    <row r="20" spans="1:4" x14ac:dyDescent="0.35">
      <c r="A20">
        <v>5</v>
      </c>
      <c r="B20" t="s">
        <v>169</v>
      </c>
      <c r="C20" t="s">
        <v>162</v>
      </c>
      <c r="D20" cm="1">
        <f t="array" ref="D20">SUM(--(LEN(_xlfn.UNIQUE(_xlfn._xlws.FILTER(Assumptions[unit],Assumptions[table_no_ui]=A20,"")))&gt;0))</f>
        <v>6</v>
      </c>
    </row>
    <row r="21" spans="1:4" x14ac:dyDescent="0.35">
      <c r="A21">
        <v>6</v>
      </c>
      <c r="B21" t="s">
        <v>22</v>
      </c>
      <c r="C21" t="s">
        <v>162</v>
      </c>
      <c r="D21" cm="1">
        <f t="array" ref="D21">SUM(--(LEN(_xlfn.UNIQUE(_xlfn._xlws.FILTER(Assumptions[unit],Assumptions[table_no_ui]=A21,"")))&gt;0))</f>
        <v>1</v>
      </c>
    </row>
    <row r="22" spans="1:4" x14ac:dyDescent="0.35">
      <c r="A22">
        <v>7</v>
      </c>
      <c r="B22" t="s">
        <v>179</v>
      </c>
      <c r="C22" t="s">
        <v>162</v>
      </c>
      <c r="D22" cm="1">
        <f t="array" ref="D22">SUM(--(LEN(_xlfn.UNIQUE(_xlfn._xlws.FILTER(Assumptions[unit],Assumptions[table_no_ui]=A22,"")))&gt;0))</f>
        <v>1</v>
      </c>
    </row>
    <row r="23" spans="1:4" x14ac:dyDescent="0.35">
      <c r="A23">
        <v>8</v>
      </c>
      <c r="B23" t="s">
        <v>80</v>
      </c>
      <c r="C23" t="s">
        <v>162</v>
      </c>
      <c r="D23" cm="1">
        <f t="array" ref="D23">SUM(--(LEN(_xlfn.UNIQUE(_xlfn._xlws.FILTER(Assumptions[unit],Assumptions[table_no_ui]=A23,"")))&gt;0))</f>
        <v>1</v>
      </c>
    </row>
    <row r="24" spans="1:4" x14ac:dyDescent="0.35">
      <c r="A24">
        <v>1</v>
      </c>
      <c r="B24" t="s">
        <v>198</v>
      </c>
      <c r="C24" t="s">
        <v>201</v>
      </c>
    </row>
    <row r="25" spans="1:4" x14ac:dyDescent="0.35">
      <c r="A25">
        <v>2</v>
      </c>
      <c r="B25" t="s">
        <v>216</v>
      </c>
      <c r="C25" t="s">
        <v>201</v>
      </c>
    </row>
    <row r="26" spans="1:4" x14ac:dyDescent="0.35">
      <c r="A26">
        <v>3</v>
      </c>
      <c r="B26" t="s">
        <v>215</v>
      </c>
      <c r="C26" t="s">
        <v>201</v>
      </c>
    </row>
    <row r="27" spans="1:4" x14ac:dyDescent="0.35">
      <c r="A27">
        <v>4</v>
      </c>
      <c r="B27" t="s">
        <v>139</v>
      </c>
      <c r="C27" t="s">
        <v>201</v>
      </c>
    </row>
    <row r="28" spans="1:4" x14ac:dyDescent="0.35">
      <c r="A28">
        <v>5</v>
      </c>
      <c r="B28" t="s">
        <v>93</v>
      </c>
      <c r="C28" t="s">
        <v>201</v>
      </c>
    </row>
    <row r="29" spans="1:4" x14ac:dyDescent="0.35">
      <c r="A29">
        <v>6</v>
      </c>
      <c r="B29" t="s">
        <v>143</v>
      </c>
      <c r="C29" t="s">
        <v>201</v>
      </c>
    </row>
    <row r="30" spans="1:4" x14ac:dyDescent="0.35">
      <c r="A30">
        <v>7</v>
      </c>
      <c r="B30" t="s">
        <v>39</v>
      </c>
      <c r="C30" t="s">
        <v>201</v>
      </c>
    </row>
    <row r="31" spans="1:4" x14ac:dyDescent="0.35">
      <c r="A31">
        <v>8</v>
      </c>
      <c r="B31" t="s">
        <v>205</v>
      </c>
      <c r="C31" t="s">
        <v>201</v>
      </c>
    </row>
    <row r="32" spans="1:4" x14ac:dyDescent="0.35">
      <c r="A32">
        <v>9</v>
      </c>
      <c r="B32" t="s">
        <v>22</v>
      </c>
      <c r="C32" t="s">
        <v>201</v>
      </c>
    </row>
    <row r="33" spans="1:3" x14ac:dyDescent="0.35">
      <c r="A33">
        <v>10</v>
      </c>
      <c r="B33" t="s">
        <v>179</v>
      </c>
      <c r="C33" t="s">
        <v>201</v>
      </c>
    </row>
    <row r="34" spans="1:3" x14ac:dyDescent="0.35">
      <c r="A34">
        <v>11</v>
      </c>
      <c r="B34" t="s">
        <v>80</v>
      </c>
      <c r="C34" t="s">
        <v>201</v>
      </c>
    </row>
    <row r="35" spans="1:3" x14ac:dyDescent="0.35">
      <c r="A35">
        <v>12</v>
      </c>
      <c r="B35" t="s">
        <v>101</v>
      </c>
      <c r="C35" t="s">
        <v>201</v>
      </c>
    </row>
    <row r="36" spans="1:3" x14ac:dyDescent="0.35">
      <c r="A36">
        <v>13</v>
      </c>
      <c r="B36" t="s">
        <v>221</v>
      </c>
      <c r="C36" t="s">
        <v>201</v>
      </c>
    </row>
    <row r="37" spans="1:3" x14ac:dyDescent="0.35">
      <c r="A37">
        <v>14</v>
      </c>
      <c r="B37" t="s">
        <v>227</v>
      </c>
      <c r="C37" t="s">
        <v>201</v>
      </c>
    </row>
    <row r="38" spans="1:3" x14ac:dyDescent="0.35">
      <c r="A38">
        <v>1</v>
      </c>
      <c r="B38" t="s">
        <v>259</v>
      </c>
      <c r="C38" t="s">
        <v>236</v>
      </c>
    </row>
    <row r="39" spans="1:3" x14ac:dyDescent="0.35">
      <c r="A39">
        <v>2</v>
      </c>
      <c r="B39" t="s">
        <v>256</v>
      </c>
      <c r="C39" t="s">
        <v>236</v>
      </c>
    </row>
    <row r="40" spans="1:3" x14ac:dyDescent="0.35">
      <c r="A40">
        <v>3</v>
      </c>
      <c r="B40" t="s">
        <v>260</v>
      </c>
      <c r="C40" t="s">
        <v>236</v>
      </c>
    </row>
    <row r="41" spans="1:3" x14ac:dyDescent="0.35">
      <c r="A41">
        <v>4</v>
      </c>
      <c r="B41" t="s">
        <v>120</v>
      </c>
      <c r="C41" t="s">
        <v>236</v>
      </c>
    </row>
    <row r="42" spans="1:3" x14ac:dyDescent="0.35">
      <c r="A42">
        <v>5</v>
      </c>
      <c r="B42" t="s">
        <v>122</v>
      </c>
      <c r="C42" t="s">
        <v>236</v>
      </c>
    </row>
    <row r="43" spans="1:3" x14ac:dyDescent="0.35">
      <c r="A43">
        <v>6</v>
      </c>
      <c r="B43" t="s">
        <v>245</v>
      </c>
      <c r="C43" t="s">
        <v>236</v>
      </c>
    </row>
    <row r="44" spans="1:3" x14ac:dyDescent="0.35">
      <c r="A44">
        <v>7</v>
      </c>
      <c r="B44" t="s">
        <v>246</v>
      </c>
      <c r="C44" t="s">
        <v>236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L2"/>
  <sheetViews>
    <sheetView topLeftCell="D1" workbookViewId="0">
      <selection activeCell="J3" sqref="J3"/>
    </sheetView>
  </sheetViews>
  <sheetFormatPr defaultColWidth="10.81640625" defaultRowHeight="14.5" x14ac:dyDescent="0.35"/>
  <cols>
    <col min="1" max="1" width="11" customWidth="1"/>
    <col min="2" max="4" width="14.7265625" customWidth="1"/>
    <col min="5" max="5" width="17.7265625" customWidth="1"/>
    <col min="6" max="6" width="14.7265625" customWidth="1"/>
    <col min="7" max="7" width="18.54296875" customWidth="1"/>
    <col min="8" max="8" width="23.36328125" customWidth="1"/>
  </cols>
  <sheetData>
    <row r="1" spans="1:12" x14ac:dyDescent="0.35">
      <c r="A1" t="s">
        <v>125</v>
      </c>
      <c r="B1" t="s">
        <v>126</v>
      </c>
      <c r="C1" t="s">
        <v>293</v>
      </c>
      <c r="D1" t="s">
        <v>127</v>
      </c>
      <c r="E1" t="s">
        <v>128</v>
      </c>
      <c r="F1" t="s">
        <v>262</v>
      </c>
      <c r="G1" t="s">
        <v>129</v>
      </c>
      <c r="H1" t="s">
        <v>130</v>
      </c>
      <c r="I1" t="s">
        <v>261</v>
      </c>
      <c r="J1" t="s">
        <v>294</v>
      </c>
      <c r="K1" t="s">
        <v>264</v>
      </c>
      <c r="L1" t="s">
        <v>266</v>
      </c>
    </row>
    <row r="2" spans="1:12" x14ac:dyDescent="0.35">
      <c r="A2" t="s">
        <v>131</v>
      </c>
      <c r="B2">
        <v>2021</v>
      </c>
      <c r="C2" s="2">
        <v>2025</v>
      </c>
      <c r="D2" s="2">
        <v>2030</v>
      </c>
      <c r="E2" s="3">
        <v>2050</v>
      </c>
      <c r="F2" t="s">
        <v>132</v>
      </c>
      <c r="G2" t="b">
        <v>1</v>
      </c>
      <c r="H2" t="b">
        <v>0</v>
      </c>
      <c r="I2" t="s">
        <v>263</v>
      </c>
      <c r="J2" t="s">
        <v>132</v>
      </c>
      <c r="K2" t="s">
        <v>265</v>
      </c>
      <c r="L2">
        <v>2030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M199"/>
  <sheetViews>
    <sheetView showGridLines="0" topLeftCell="A147" zoomScale="80" zoomScaleNormal="80" workbookViewId="0">
      <selection activeCell="K168" sqref="K168"/>
    </sheetView>
  </sheetViews>
  <sheetFormatPr defaultRowHeight="14.5" x14ac:dyDescent="0.35"/>
  <cols>
    <col min="1" max="1" width="52.81640625" bestFit="1" customWidth="1"/>
    <col min="2" max="2" width="14.08984375" customWidth="1"/>
    <col min="3" max="3" width="52.81640625" customWidth="1"/>
    <col min="4" max="4" width="32.7265625" customWidth="1"/>
    <col min="5" max="5" width="11.54296875" customWidth="1"/>
    <col min="6" max="6" width="28.36328125" customWidth="1"/>
    <col min="7" max="7" width="30.54296875" customWidth="1"/>
    <col min="8" max="8" width="17.36328125" customWidth="1"/>
    <col min="9" max="9" width="11" customWidth="1"/>
    <col min="10" max="10" width="11.81640625" customWidth="1"/>
    <col min="11" max="12" width="17.54296875" customWidth="1"/>
    <col min="13" max="13" width="19.36328125" bestFit="1" customWidth="1"/>
    <col min="14" max="14" width="47.54296875" customWidth="1"/>
  </cols>
  <sheetData>
    <row r="1" spans="1:13" x14ac:dyDescent="0.35">
      <c r="A1" s="1" t="s">
        <v>0</v>
      </c>
      <c r="B1" s="1" t="s">
        <v>149</v>
      </c>
      <c r="C1" s="1" t="s">
        <v>137</v>
      </c>
      <c r="D1" s="1" t="s">
        <v>99</v>
      </c>
      <c r="E1" s="1" t="s">
        <v>1</v>
      </c>
      <c r="F1" s="1" t="s">
        <v>274</v>
      </c>
      <c r="G1" s="1" t="s">
        <v>276</v>
      </c>
      <c r="H1" s="1" t="s">
        <v>4</v>
      </c>
      <c r="I1" s="1" t="s">
        <v>7</v>
      </c>
      <c r="J1" s="1" t="s">
        <v>5</v>
      </c>
      <c r="K1" s="1" t="s">
        <v>6</v>
      </c>
      <c r="L1" s="5" t="s">
        <v>177</v>
      </c>
      <c r="M1" t="s">
        <v>98</v>
      </c>
    </row>
    <row r="2" spans="1:13" x14ac:dyDescent="0.35">
      <c r="A2" t="s">
        <v>8</v>
      </c>
      <c r="B2">
        <v>1</v>
      </c>
      <c r="C2" t="s">
        <v>138</v>
      </c>
      <c r="D2" t="s">
        <v>293</v>
      </c>
      <c r="E2" t="s">
        <v>73</v>
      </c>
      <c r="F2" t="s">
        <v>74</v>
      </c>
      <c r="L2" t="s">
        <v>85</v>
      </c>
      <c r="M2">
        <v>4</v>
      </c>
    </row>
    <row r="3" spans="1:13" x14ac:dyDescent="0.35">
      <c r="A3" t="s">
        <v>8</v>
      </c>
      <c r="B3">
        <v>1</v>
      </c>
      <c r="C3" t="s">
        <v>138</v>
      </c>
      <c r="D3" t="s">
        <v>293</v>
      </c>
      <c r="E3" t="s">
        <v>10</v>
      </c>
      <c r="F3" t="s">
        <v>74</v>
      </c>
      <c r="L3" t="s">
        <v>85</v>
      </c>
      <c r="M3">
        <v>8</v>
      </c>
    </row>
    <row r="4" spans="1:13" x14ac:dyDescent="0.35">
      <c r="A4" t="s">
        <v>8</v>
      </c>
      <c r="B4">
        <v>1</v>
      </c>
      <c r="C4" t="s">
        <v>138</v>
      </c>
      <c r="D4" t="s">
        <v>293</v>
      </c>
      <c r="E4" t="s">
        <v>11</v>
      </c>
      <c r="F4" t="s">
        <v>74</v>
      </c>
      <c r="L4" t="s">
        <v>85</v>
      </c>
      <c r="M4">
        <v>7</v>
      </c>
    </row>
    <row r="5" spans="1:13" x14ac:dyDescent="0.35">
      <c r="A5" t="s">
        <v>8</v>
      </c>
      <c r="B5">
        <v>1</v>
      </c>
      <c r="C5" t="s">
        <v>138</v>
      </c>
      <c r="D5" t="s">
        <v>293</v>
      </c>
      <c r="E5" t="s">
        <v>12</v>
      </c>
      <c r="F5" t="s">
        <v>74</v>
      </c>
      <c r="L5" t="s">
        <v>85</v>
      </c>
      <c r="M5">
        <v>6</v>
      </c>
    </row>
    <row r="6" spans="1:13" x14ac:dyDescent="0.35">
      <c r="A6" t="s">
        <v>8</v>
      </c>
      <c r="B6">
        <v>1</v>
      </c>
      <c r="C6" t="s">
        <v>138</v>
      </c>
      <c r="D6" t="s">
        <v>293</v>
      </c>
      <c r="E6" t="s">
        <v>73</v>
      </c>
      <c r="F6" t="s">
        <v>75</v>
      </c>
      <c r="L6" t="s">
        <v>85</v>
      </c>
      <c r="M6">
        <v>8</v>
      </c>
    </row>
    <row r="7" spans="1:13" x14ac:dyDescent="0.35">
      <c r="A7" t="s">
        <v>8</v>
      </c>
      <c r="B7">
        <v>1</v>
      </c>
      <c r="C7" t="s">
        <v>138</v>
      </c>
      <c r="D7" t="s">
        <v>293</v>
      </c>
      <c r="E7" t="s">
        <v>10</v>
      </c>
      <c r="F7" t="s">
        <v>75</v>
      </c>
      <c r="L7" t="s">
        <v>85</v>
      </c>
      <c r="M7">
        <v>7</v>
      </c>
    </row>
    <row r="8" spans="1:13" x14ac:dyDescent="0.35">
      <c r="A8" t="s">
        <v>8</v>
      </c>
      <c r="B8">
        <v>1</v>
      </c>
      <c r="C8" t="s">
        <v>138</v>
      </c>
      <c r="D8" t="s">
        <v>293</v>
      </c>
      <c r="E8" t="s">
        <v>11</v>
      </c>
      <c r="F8" t="s">
        <v>75</v>
      </c>
      <c r="L8" t="s">
        <v>85</v>
      </c>
      <c r="M8">
        <v>6</v>
      </c>
    </row>
    <row r="9" spans="1:13" x14ac:dyDescent="0.35">
      <c r="A9" t="s">
        <v>8</v>
      </c>
      <c r="B9">
        <v>1</v>
      </c>
      <c r="C9" t="s">
        <v>138</v>
      </c>
      <c r="D9" t="s">
        <v>293</v>
      </c>
      <c r="E9" t="s">
        <v>12</v>
      </c>
      <c r="F9" t="s">
        <v>75</v>
      </c>
      <c r="L9" t="s">
        <v>85</v>
      </c>
      <c r="M9">
        <v>8</v>
      </c>
    </row>
    <row r="10" spans="1:13" x14ac:dyDescent="0.35">
      <c r="A10" t="s">
        <v>8</v>
      </c>
      <c r="B10">
        <v>1</v>
      </c>
      <c r="C10" t="s">
        <v>138</v>
      </c>
      <c r="D10" t="s">
        <v>293</v>
      </c>
      <c r="E10" t="s">
        <v>73</v>
      </c>
      <c r="F10" t="s">
        <v>76</v>
      </c>
      <c r="L10" t="s">
        <v>85</v>
      </c>
      <c r="M10">
        <v>8</v>
      </c>
    </row>
    <row r="11" spans="1:13" x14ac:dyDescent="0.35">
      <c r="A11" t="s">
        <v>8</v>
      </c>
      <c r="B11">
        <v>1</v>
      </c>
      <c r="C11" t="s">
        <v>138</v>
      </c>
      <c r="D11" t="s">
        <v>293</v>
      </c>
      <c r="E11" t="s">
        <v>10</v>
      </c>
      <c r="F11" t="s">
        <v>76</v>
      </c>
      <c r="L11" t="s">
        <v>85</v>
      </c>
      <c r="M11">
        <v>14</v>
      </c>
    </row>
    <row r="12" spans="1:13" x14ac:dyDescent="0.35">
      <c r="A12" t="s">
        <v>8</v>
      </c>
      <c r="B12">
        <v>1</v>
      </c>
      <c r="C12" t="s">
        <v>138</v>
      </c>
      <c r="D12" t="s">
        <v>293</v>
      </c>
      <c r="E12" t="s">
        <v>73</v>
      </c>
      <c r="F12" t="s">
        <v>77</v>
      </c>
      <c r="L12" t="s">
        <v>85</v>
      </c>
      <c r="M12">
        <v>12</v>
      </c>
    </row>
    <row r="13" spans="1:13" x14ac:dyDescent="0.35">
      <c r="A13" t="s">
        <v>8</v>
      </c>
      <c r="B13">
        <v>1</v>
      </c>
      <c r="C13" t="s">
        <v>138</v>
      </c>
      <c r="D13" t="s">
        <v>293</v>
      </c>
      <c r="E13" t="s">
        <v>10</v>
      </c>
      <c r="F13" t="s">
        <v>77</v>
      </c>
      <c r="L13" t="s">
        <v>85</v>
      </c>
      <c r="M13">
        <v>35</v>
      </c>
    </row>
    <row r="14" spans="1:13" x14ac:dyDescent="0.35">
      <c r="A14" t="s">
        <v>8</v>
      </c>
      <c r="B14">
        <v>1</v>
      </c>
      <c r="C14" t="s">
        <v>138</v>
      </c>
      <c r="D14" t="s">
        <v>293</v>
      </c>
      <c r="E14" t="s">
        <v>11</v>
      </c>
      <c r="F14" t="s">
        <v>77</v>
      </c>
      <c r="L14" t="s">
        <v>85</v>
      </c>
      <c r="M14">
        <v>98</v>
      </c>
    </row>
    <row r="15" spans="1:13" x14ac:dyDescent="0.35">
      <c r="A15" t="s">
        <v>8</v>
      </c>
      <c r="B15">
        <v>1</v>
      </c>
      <c r="C15" t="s">
        <v>138</v>
      </c>
      <c r="D15" t="s">
        <v>293</v>
      </c>
      <c r="E15" t="s">
        <v>12</v>
      </c>
      <c r="F15" t="s">
        <v>77</v>
      </c>
      <c r="L15" t="s">
        <v>85</v>
      </c>
      <c r="M15">
        <v>48</v>
      </c>
    </row>
    <row r="16" spans="1:13" x14ac:dyDescent="0.35">
      <c r="A16" t="s">
        <v>8</v>
      </c>
      <c r="B16">
        <v>1</v>
      </c>
      <c r="C16" t="s">
        <v>138</v>
      </c>
      <c r="D16" t="s">
        <v>293</v>
      </c>
      <c r="E16" t="s">
        <v>73</v>
      </c>
      <c r="F16" t="s">
        <v>78</v>
      </c>
      <c r="L16" t="s">
        <v>85</v>
      </c>
      <c r="M16">
        <v>89</v>
      </c>
    </row>
    <row r="17" spans="1:13" x14ac:dyDescent="0.35">
      <c r="A17" t="s">
        <v>8</v>
      </c>
      <c r="B17">
        <v>1</v>
      </c>
      <c r="C17" t="s">
        <v>138</v>
      </c>
      <c r="D17" t="s">
        <v>293</v>
      </c>
      <c r="E17" t="s">
        <v>10</v>
      </c>
      <c r="F17" t="s">
        <v>78</v>
      </c>
      <c r="L17" t="s">
        <v>85</v>
      </c>
      <c r="M17">
        <v>44</v>
      </c>
    </row>
    <row r="18" spans="1:13" x14ac:dyDescent="0.35">
      <c r="A18" t="s">
        <v>8</v>
      </c>
      <c r="B18">
        <v>1</v>
      </c>
      <c r="C18" t="s">
        <v>138</v>
      </c>
      <c r="D18" t="s">
        <v>293</v>
      </c>
      <c r="E18" t="s">
        <v>11</v>
      </c>
      <c r="F18" t="s">
        <v>78</v>
      </c>
      <c r="L18" t="s">
        <v>85</v>
      </c>
      <c r="M18">
        <v>11</v>
      </c>
    </row>
    <row r="19" spans="1:13" x14ac:dyDescent="0.35">
      <c r="A19" t="s">
        <v>8</v>
      </c>
      <c r="B19">
        <v>1</v>
      </c>
      <c r="C19" t="s">
        <v>138</v>
      </c>
      <c r="D19" t="s">
        <v>293</v>
      </c>
      <c r="E19" t="s">
        <v>11</v>
      </c>
      <c r="F19" t="s">
        <v>79</v>
      </c>
      <c r="L19" t="s">
        <v>85</v>
      </c>
      <c r="M19">
        <v>12</v>
      </c>
    </row>
    <row r="20" spans="1:13" x14ac:dyDescent="0.35">
      <c r="A20" t="s">
        <v>8</v>
      </c>
      <c r="B20">
        <v>1</v>
      </c>
      <c r="C20" t="s">
        <v>138</v>
      </c>
      <c r="D20" t="s">
        <v>293</v>
      </c>
      <c r="E20" t="s">
        <v>12</v>
      </c>
      <c r="F20" t="s">
        <v>79</v>
      </c>
      <c r="L20" t="s">
        <v>85</v>
      </c>
      <c r="M20">
        <v>7</v>
      </c>
    </row>
    <row r="21" spans="1:13" x14ac:dyDescent="0.35">
      <c r="A21" t="s">
        <v>8</v>
      </c>
      <c r="B21">
        <v>1</v>
      </c>
      <c r="C21" t="s">
        <v>138</v>
      </c>
      <c r="D21" t="s">
        <v>127</v>
      </c>
      <c r="E21" t="s">
        <v>73</v>
      </c>
      <c r="F21" t="s">
        <v>74</v>
      </c>
      <c r="L21" t="s">
        <v>85</v>
      </c>
      <c r="M21">
        <v>3</v>
      </c>
    </row>
    <row r="22" spans="1:13" x14ac:dyDescent="0.35">
      <c r="A22" t="s">
        <v>8</v>
      </c>
      <c r="B22">
        <v>1</v>
      </c>
      <c r="C22" t="s">
        <v>138</v>
      </c>
      <c r="D22" t="s">
        <v>127</v>
      </c>
      <c r="E22" t="s">
        <v>10</v>
      </c>
      <c r="F22" t="s">
        <v>74</v>
      </c>
      <c r="L22" t="s">
        <v>85</v>
      </c>
      <c r="M22">
        <v>55</v>
      </c>
    </row>
    <row r="23" spans="1:13" x14ac:dyDescent="0.35">
      <c r="A23" t="s">
        <v>8</v>
      </c>
      <c r="B23">
        <v>1</v>
      </c>
      <c r="C23" t="s">
        <v>138</v>
      </c>
      <c r="D23" t="s">
        <v>127</v>
      </c>
      <c r="E23" t="s">
        <v>11</v>
      </c>
      <c r="F23" t="s">
        <v>74</v>
      </c>
      <c r="L23" t="s">
        <v>85</v>
      </c>
      <c r="M23">
        <v>10</v>
      </c>
    </row>
    <row r="24" spans="1:13" x14ac:dyDescent="0.35">
      <c r="A24" t="s">
        <v>8</v>
      </c>
      <c r="B24">
        <v>1</v>
      </c>
      <c r="C24" t="s">
        <v>138</v>
      </c>
      <c r="D24" t="s">
        <v>127</v>
      </c>
      <c r="E24" t="s">
        <v>12</v>
      </c>
      <c r="F24" t="s">
        <v>74</v>
      </c>
      <c r="L24" t="s">
        <v>85</v>
      </c>
      <c r="M24">
        <v>23</v>
      </c>
    </row>
    <row r="25" spans="1:13" x14ac:dyDescent="0.35">
      <c r="A25" t="s">
        <v>8</v>
      </c>
      <c r="B25">
        <v>1</v>
      </c>
      <c r="C25" t="s">
        <v>138</v>
      </c>
      <c r="D25" t="s">
        <v>127</v>
      </c>
      <c r="E25" t="s">
        <v>73</v>
      </c>
      <c r="F25" t="s">
        <v>75</v>
      </c>
      <c r="L25" t="s">
        <v>85</v>
      </c>
      <c r="M25">
        <v>11</v>
      </c>
    </row>
    <row r="26" spans="1:13" x14ac:dyDescent="0.35">
      <c r="A26" t="s">
        <v>8</v>
      </c>
      <c r="B26">
        <v>1</v>
      </c>
      <c r="C26" t="s">
        <v>138</v>
      </c>
      <c r="D26" t="s">
        <v>127</v>
      </c>
      <c r="E26" t="s">
        <v>10</v>
      </c>
      <c r="F26" t="s">
        <v>75</v>
      </c>
      <c r="L26" t="s">
        <v>85</v>
      </c>
      <c r="M26">
        <v>10</v>
      </c>
    </row>
    <row r="27" spans="1:13" x14ac:dyDescent="0.35">
      <c r="A27" t="s">
        <v>8</v>
      </c>
      <c r="B27">
        <v>1</v>
      </c>
      <c r="C27" t="s">
        <v>138</v>
      </c>
      <c r="D27" t="s">
        <v>127</v>
      </c>
      <c r="E27" t="s">
        <v>11</v>
      </c>
      <c r="F27" t="s">
        <v>75</v>
      </c>
      <c r="L27" t="s">
        <v>85</v>
      </c>
      <c r="M27">
        <v>11</v>
      </c>
    </row>
    <row r="28" spans="1:13" x14ac:dyDescent="0.35">
      <c r="A28" t="s">
        <v>8</v>
      </c>
      <c r="B28">
        <v>1</v>
      </c>
      <c r="C28" t="s">
        <v>138</v>
      </c>
      <c r="D28" t="s">
        <v>127</v>
      </c>
      <c r="E28" t="s">
        <v>12</v>
      </c>
      <c r="F28" t="s">
        <v>75</v>
      </c>
      <c r="L28" t="s">
        <v>85</v>
      </c>
      <c r="M28">
        <v>13</v>
      </c>
    </row>
    <row r="29" spans="1:13" x14ac:dyDescent="0.35">
      <c r="A29" t="s">
        <v>8</v>
      </c>
      <c r="B29">
        <v>1</v>
      </c>
      <c r="C29" t="s">
        <v>138</v>
      </c>
      <c r="D29" t="s">
        <v>127</v>
      </c>
      <c r="E29" t="s">
        <v>73</v>
      </c>
      <c r="F29" t="s">
        <v>76</v>
      </c>
      <c r="L29" t="s">
        <v>85</v>
      </c>
      <c r="M29">
        <v>14</v>
      </c>
    </row>
    <row r="30" spans="1:13" x14ac:dyDescent="0.35">
      <c r="A30" t="s">
        <v>8</v>
      </c>
      <c r="B30">
        <v>1</v>
      </c>
      <c r="C30" t="s">
        <v>138</v>
      </c>
      <c r="D30" t="s">
        <v>127</v>
      </c>
      <c r="E30" t="s">
        <v>10</v>
      </c>
      <c r="F30" t="s">
        <v>76</v>
      </c>
      <c r="L30" t="s">
        <v>85</v>
      </c>
      <c r="M30">
        <v>72</v>
      </c>
    </row>
    <row r="31" spans="1:13" x14ac:dyDescent="0.35">
      <c r="A31" t="s">
        <v>8</v>
      </c>
      <c r="B31">
        <v>1</v>
      </c>
      <c r="C31" t="s">
        <v>138</v>
      </c>
      <c r="D31" t="s">
        <v>127</v>
      </c>
      <c r="E31" t="s">
        <v>73</v>
      </c>
      <c r="F31" t="s">
        <v>77</v>
      </c>
      <c r="L31" t="s">
        <v>85</v>
      </c>
      <c r="M31">
        <v>44</v>
      </c>
    </row>
    <row r="32" spans="1:13" x14ac:dyDescent="0.35">
      <c r="A32" t="s">
        <v>8</v>
      </c>
      <c r="B32">
        <v>1</v>
      </c>
      <c r="C32" t="s">
        <v>138</v>
      </c>
      <c r="D32" t="s">
        <v>127</v>
      </c>
      <c r="E32" t="s">
        <v>10</v>
      </c>
      <c r="F32" t="s">
        <v>77</v>
      </c>
      <c r="L32" t="s">
        <v>85</v>
      </c>
      <c r="M32">
        <v>12</v>
      </c>
    </row>
    <row r="33" spans="1:13" x14ac:dyDescent="0.35">
      <c r="A33" t="s">
        <v>8</v>
      </c>
      <c r="B33">
        <v>1</v>
      </c>
      <c r="C33" t="s">
        <v>138</v>
      </c>
      <c r="D33" t="s">
        <v>127</v>
      </c>
      <c r="E33" t="s">
        <v>11</v>
      </c>
      <c r="F33" t="s">
        <v>77</v>
      </c>
      <c r="L33" t="s">
        <v>85</v>
      </c>
      <c r="M33">
        <v>35</v>
      </c>
    </row>
    <row r="34" spans="1:13" x14ac:dyDescent="0.35">
      <c r="A34" t="s">
        <v>8</v>
      </c>
      <c r="B34">
        <v>1</v>
      </c>
      <c r="C34" t="s">
        <v>138</v>
      </c>
      <c r="D34" t="s">
        <v>127</v>
      </c>
      <c r="E34" t="s">
        <v>12</v>
      </c>
      <c r="F34" t="s">
        <v>77</v>
      </c>
      <c r="L34" t="s">
        <v>85</v>
      </c>
      <c r="M34">
        <v>98</v>
      </c>
    </row>
    <row r="35" spans="1:13" x14ac:dyDescent="0.35">
      <c r="A35" t="s">
        <v>8</v>
      </c>
      <c r="B35">
        <v>1</v>
      </c>
      <c r="C35" t="s">
        <v>138</v>
      </c>
      <c r="D35" t="s">
        <v>127</v>
      </c>
      <c r="E35" t="s">
        <v>73</v>
      </c>
      <c r="F35" t="s">
        <v>78</v>
      </c>
      <c r="L35" t="s">
        <v>85</v>
      </c>
      <c r="M35">
        <v>48</v>
      </c>
    </row>
    <row r="36" spans="1:13" x14ac:dyDescent="0.35">
      <c r="A36" t="s">
        <v>8</v>
      </c>
      <c r="B36">
        <v>1</v>
      </c>
      <c r="C36" t="s">
        <v>138</v>
      </c>
      <c r="D36" t="s">
        <v>127</v>
      </c>
      <c r="E36" t="s">
        <v>10</v>
      </c>
      <c r="F36" t="s">
        <v>78</v>
      </c>
      <c r="L36" t="s">
        <v>85</v>
      </c>
      <c r="M36">
        <v>89</v>
      </c>
    </row>
    <row r="37" spans="1:13" x14ac:dyDescent="0.35">
      <c r="A37" t="s">
        <v>8</v>
      </c>
      <c r="B37">
        <v>1</v>
      </c>
      <c r="C37" t="s">
        <v>138</v>
      </c>
      <c r="D37" t="s">
        <v>127</v>
      </c>
      <c r="E37" t="s">
        <v>11</v>
      </c>
      <c r="F37" t="s">
        <v>78</v>
      </c>
      <c r="L37" t="s">
        <v>85</v>
      </c>
      <c r="M37">
        <v>44</v>
      </c>
    </row>
    <row r="38" spans="1:13" x14ac:dyDescent="0.35">
      <c r="A38" t="s">
        <v>8</v>
      </c>
      <c r="B38">
        <v>1</v>
      </c>
      <c r="C38" t="s">
        <v>138</v>
      </c>
      <c r="D38" t="s">
        <v>127</v>
      </c>
      <c r="E38" t="s">
        <v>11</v>
      </c>
      <c r="F38" t="s">
        <v>79</v>
      </c>
      <c r="L38" t="s">
        <v>85</v>
      </c>
      <c r="M38">
        <v>11</v>
      </c>
    </row>
    <row r="39" spans="1:13" x14ac:dyDescent="0.35">
      <c r="A39" t="s">
        <v>8</v>
      </c>
      <c r="B39">
        <v>1</v>
      </c>
      <c r="C39" t="s">
        <v>138</v>
      </c>
      <c r="D39" t="s">
        <v>127</v>
      </c>
      <c r="E39" t="s">
        <v>12</v>
      </c>
      <c r="F39" t="s">
        <v>79</v>
      </c>
      <c r="L39" t="s">
        <v>85</v>
      </c>
      <c r="M39">
        <v>12</v>
      </c>
    </row>
    <row r="40" spans="1:13" x14ac:dyDescent="0.35">
      <c r="A40" t="s">
        <v>8</v>
      </c>
      <c r="B40">
        <v>1</v>
      </c>
      <c r="C40" t="s">
        <v>138</v>
      </c>
      <c r="D40" t="s">
        <v>128</v>
      </c>
      <c r="E40" t="s">
        <v>73</v>
      </c>
      <c r="F40" t="s">
        <v>74</v>
      </c>
      <c r="L40" t="s">
        <v>85</v>
      </c>
      <c r="M40">
        <v>7</v>
      </c>
    </row>
    <row r="41" spans="1:13" x14ac:dyDescent="0.35">
      <c r="A41" t="s">
        <v>8</v>
      </c>
      <c r="B41">
        <v>1</v>
      </c>
      <c r="C41" t="s">
        <v>138</v>
      </c>
      <c r="D41" t="s">
        <v>128</v>
      </c>
      <c r="E41" t="s">
        <v>10</v>
      </c>
      <c r="F41" t="s">
        <v>74</v>
      </c>
      <c r="L41" t="s">
        <v>85</v>
      </c>
      <c r="M41">
        <v>3</v>
      </c>
    </row>
    <row r="42" spans="1:13" x14ac:dyDescent="0.35">
      <c r="A42" t="s">
        <v>8</v>
      </c>
      <c r="B42">
        <v>1</v>
      </c>
      <c r="C42" t="s">
        <v>138</v>
      </c>
      <c r="D42" t="s">
        <v>128</v>
      </c>
      <c r="E42" t="s">
        <v>11</v>
      </c>
      <c r="F42" t="s">
        <v>74</v>
      </c>
      <c r="L42" t="s">
        <v>85</v>
      </c>
      <c r="M42">
        <v>55</v>
      </c>
    </row>
    <row r="43" spans="1:13" x14ac:dyDescent="0.35">
      <c r="A43" t="s">
        <v>8</v>
      </c>
      <c r="B43">
        <v>1</v>
      </c>
      <c r="C43" t="s">
        <v>138</v>
      </c>
      <c r="D43" t="s">
        <v>128</v>
      </c>
      <c r="E43" t="s">
        <v>12</v>
      </c>
      <c r="F43" t="s">
        <v>74</v>
      </c>
      <c r="L43" t="s">
        <v>85</v>
      </c>
      <c r="M43">
        <v>10</v>
      </c>
    </row>
    <row r="44" spans="1:13" x14ac:dyDescent="0.35">
      <c r="A44" t="s">
        <v>8</v>
      </c>
      <c r="B44">
        <v>1</v>
      </c>
      <c r="C44" t="s">
        <v>138</v>
      </c>
      <c r="D44" t="s">
        <v>128</v>
      </c>
      <c r="E44" t="s">
        <v>73</v>
      </c>
      <c r="F44" t="s">
        <v>75</v>
      </c>
      <c r="L44" t="s">
        <v>85</v>
      </c>
      <c r="M44">
        <v>23</v>
      </c>
    </row>
    <row r="45" spans="1:13" x14ac:dyDescent="0.35">
      <c r="A45" t="s">
        <v>8</v>
      </c>
      <c r="B45">
        <v>1</v>
      </c>
      <c r="C45" t="s">
        <v>138</v>
      </c>
      <c r="D45" t="s">
        <v>128</v>
      </c>
      <c r="E45" t="s">
        <v>10</v>
      </c>
      <c r="F45" t="s">
        <v>75</v>
      </c>
      <c r="L45" t="s">
        <v>85</v>
      </c>
      <c r="M45">
        <v>12</v>
      </c>
    </row>
    <row r="46" spans="1:13" x14ac:dyDescent="0.35">
      <c r="A46" t="s">
        <v>8</v>
      </c>
      <c r="B46">
        <v>1</v>
      </c>
      <c r="C46" t="s">
        <v>138</v>
      </c>
      <c r="D46" t="s">
        <v>128</v>
      </c>
      <c r="E46" t="s">
        <v>11</v>
      </c>
      <c r="F46" t="s">
        <v>75</v>
      </c>
      <c r="L46" t="s">
        <v>85</v>
      </c>
      <c r="M46">
        <v>7</v>
      </c>
    </row>
    <row r="47" spans="1:13" x14ac:dyDescent="0.35">
      <c r="A47" t="s">
        <v>8</v>
      </c>
      <c r="B47">
        <v>1</v>
      </c>
      <c r="C47" t="s">
        <v>138</v>
      </c>
      <c r="D47" t="s">
        <v>128</v>
      </c>
      <c r="E47" t="s">
        <v>12</v>
      </c>
      <c r="F47" t="s">
        <v>75</v>
      </c>
      <c r="L47" t="s">
        <v>85</v>
      </c>
      <c r="M47">
        <v>3</v>
      </c>
    </row>
    <row r="48" spans="1:13" x14ac:dyDescent="0.35">
      <c r="A48" t="s">
        <v>8</v>
      </c>
      <c r="B48">
        <v>1</v>
      </c>
      <c r="C48" t="s">
        <v>138</v>
      </c>
      <c r="D48" t="s">
        <v>128</v>
      </c>
      <c r="E48" t="s">
        <v>73</v>
      </c>
      <c r="F48" t="s">
        <v>76</v>
      </c>
      <c r="L48" t="s">
        <v>85</v>
      </c>
      <c r="M48">
        <v>55</v>
      </c>
    </row>
    <row r="49" spans="1:13" x14ac:dyDescent="0.35">
      <c r="A49" t="s">
        <v>8</v>
      </c>
      <c r="B49">
        <v>1</v>
      </c>
      <c r="C49" t="s">
        <v>138</v>
      </c>
      <c r="D49" t="s">
        <v>128</v>
      </c>
      <c r="E49" t="s">
        <v>10</v>
      </c>
      <c r="F49" t="s">
        <v>76</v>
      </c>
      <c r="L49" t="s">
        <v>85</v>
      </c>
      <c r="M49">
        <v>10</v>
      </c>
    </row>
    <row r="50" spans="1:13" x14ac:dyDescent="0.35">
      <c r="A50" t="s">
        <v>8</v>
      </c>
      <c r="B50">
        <v>1</v>
      </c>
      <c r="C50" t="s">
        <v>138</v>
      </c>
      <c r="D50" t="s">
        <v>128</v>
      </c>
      <c r="E50" t="s">
        <v>73</v>
      </c>
      <c r="F50" t="s">
        <v>77</v>
      </c>
      <c r="L50" t="s">
        <v>85</v>
      </c>
      <c r="M50">
        <v>52</v>
      </c>
    </row>
    <row r="51" spans="1:13" x14ac:dyDescent="0.35">
      <c r="A51" t="s">
        <v>8</v>
      </c>
      <c r="B51">
        <v>1</v>
      </c>
      <c r="C51" t="s">
        <v>138</v>
      </c>
      <c r="D51" t="s">
        <v>128</v>
      </c>
      <c r="E51" t="s">
        <v>10</v>
      </c>
      <c r="F51" t="s">
        <v>77</v>
      </c>
      <c r="L51" t="s">
        <v>85</v>
      </c>
      <c r="M51">
        <v>11</v>
      </c>
    </row>
    <row r="52" spans="1:13" x14ac:dyDescent="0.35">
      <c r="A52" t="s">
        <v>8</v>
      </c>
      <c r="B52">
        <v>1</v>
      </c>
      <c r="C52" t="s">
        <v>138</v>
      </c>
      <c r="D52" t="s">
        <v>128</v>
      </c>
      <c r="E52" t="s">
        <v>11</v>
      </c>
      <c r="F52" t="s">
        <v>77</v>
      </c>
      <c r="L52" t="s">
        <v>85</v>
      </c>
      <c r="M52">
        <v>42</v>
      </c>
    </row>
    <row r="53" spans="1:13" x14ac:dyDescent="0.35">
      <c r="A53" t="s">
        <v>8</v>
      </c>
      <c r="B53">
        <v>1</v>
      </c>
      <c r="C53" t="s">
        <v>138</v>
      </c>
      <c r="D53" t="s">
        <v>128</v>
      </c>
      <c r="E53" t="s">
        <v>12</v>
      </c>
      <c r="F53" t="s">
        <v>77</v>
      </c>
      <c r="L53" t="s">
        <v>85</v>
      </c>
      <c r="M53">
        <v>14</v>
      </c>
    </row>
    <row r="54" spans="1:13" x14ac:dyDescent="0.35">
      <c r="A54" t="s">
        <v>8</v>
      </c>
      <c r="B54">
        <v>1</v>
      </c>
      <c r="C54" t="s">
        <v>138</v>
      </c>
      <c r="D54" t="s">
        <v>128</v>
      </c>
      <c r="E54" t="s">
        <v>73</v>
      </c>
      <c r="F54" t="s">
        <v>78</v>
      </c>
      <c r="L54" t="s">
        <v>85</v>
      </c>
      <c r="M54">
        <v>24</v>
      </c>
    </row>
    <row r="55" spans="1:13" x14ac:dyDescent="0.35">
      <c r="A55" t="s">
        <v>8</v>
      </c>
      <c r="B55">
        <v>1</v>
      </c>
      <c r="C55" t="s">
        <v>138</v>
      </c>
      <c r="D55" t="s">
        <v>128</v>
      </c>
      <c r="E55" t="s">
        <v>10</v>
      </c>
      <c r="F55" t="s">
        <v>78</v>
      </c>
      <c r="L55" t="s">
        <v>85</v>
      </c>
      <c r="M55">
        <v>18</v>
      </c>
    </row>
    <row r="56" spans="1:13" x14ac:dyDescent="0.35">
      <c r="A56" t="s">
        <v>8</v>
      </c>
      <c r="B56">
        <v>1</v>
      </c>
      <c r="C56" t="s">
        <v>138</v>
      </c>
      <c r="D56" t="s">
        <v>128</v>
      </c>
      <c r="E56" t="s">
        <v>11</v>
      </c>
      <c r="F56" t="s">
        <v>78</v>
      </c>
      <c r="L56" t="s">
        <v>85</v>
      </c>
      <c r="M56">
        <v>40</v>
      </c>
    </row>
    <row r="57" spans="1:13" x14ac:dyDescent="0.35">
      <c r="A57" t="s">
        <v>8</v>
      </c>
      <c r="B57">
        <v>1</v>
      </c>
      <c r="C57" t="s">
        <v>138</v>
      </c>
      <c r="D57" t="s">
        <v>128</v>
      </c>
      <c r="E57" t="s">
        <v>11</v>
      </c>
      <c r="F57" t="s">
        <v>79</v>
      </c>
      <c r="L57" t="s">
        <v>85</v>
      </c>
      <c r="M57">
        <v>12</v>
      </c>
    </row>
    <row r="58" spans="1:13" x14ac:dyDescent="0.35">
      <c r="A58" t="s">
        <v>8</v>
      </c>
      <c r="B58">
        <v>1</v>
      </c>
      <c r="C58" t="s">
        <v>138</v>
      </c>
      <c r="D58" t="s">
        <v>128</v>
      </c>
      <c r="E58" t="s">
        <v>12</v>
      </c>
      <c r="F58" t="s">
        <v>79</v>
      </c>
      <c r="L58" t="s">
        <v>85</v>
      </c>
      <c r="M58">
        <v>13</v>
      </c>
    </row>
    <row r="59" spans="1:13" x14ac:dyDescent="0.35">
      <c r="A59" t="s">
        <v>86</v>
      </c>
      <c r="B59">
        <v>2</v>
      </c>
      <c r="C59" t="s">
        <v>141</v>
      </c>
      <c r="D59" t="s">
        <v>293</v>
      </c>
      <c r="E59" t="s">
        <v>10</v>
      </c>
      <c r="I59" t="s">
        <v>87</v>
      </c>
      <c r="K59" t="s">
        <v>56</v>
      </c>
      <c r="L59" t="s">
        <v>88</v>
      </c>
      <c r="M59">
        <v>44</v>
      </c>
    </row>
    <row r="60" spans="1:13" x14ac:dyDescent="0.35">
      <c r="A60" t="s">
        <v>86</v>
      </c>
      <c r="B60">
        <v>2</v>
      </c>
      <c r="C60" t="s">
        <v>141</v>
      </c>
      <c r="D60" t="s">
        <v>293</v>
      </c>
      <c r="E60" t="s">
        <v>12</v>
      </c>
      <c r="I60" t="s">
        <v>87</v>
      </c>
      <c r="K60" t="s">
        <v>56</v>
      </c>
      <c r="L60" t="s">
        <v>88</v>
      </c>
      <c r="M60">
        <v>55</v>
      </c>
    </row>
    <row r="61" spans="1:13" x14ac:dyDescent="0.35">
      <c r="A61" t="s">
        <v>86</v>
      </c>
      <c r="B61">
        <v>2</v>
      </c>
      <c r="C61" t="s">
        <v>141</v>
      </c>
      <c r="D61" t="s">
        <v>127</v>
      </c>
      <c r="E61" t="s">
        <v>10</v>
      </c>
      <c r="I61" t="s">
        <v>87</v>
      </c>
      <c r="K61" t="s">
        <v>56</v>
      </c>
      <c r="L61" t="s">
        <v>88</v>
      </c>
      <c r="M61">
        <v>88</v>
      </c>
    </row>
    <row r="62" spans="1:13" x14ac:dyDescent="0.35">
      <c r="A62" t="s">
        <v>86</v>
      </c>
      <c r="B62">
        <v>2</v>
      </c>
      <c r="C62" t="s">
        <v>141</v>
      </c>
      <c r="D62" t="s">
        <v>127</v>
      </c>
      <c r="E62" t="s">
        <v>12</v>
      </c>
      <c r="I62" t="s">
        <v>87</v>
      </c>
      <c r="K62" t="s">
        <v>56</v>
      </c>
      <c r="L62" t="s">
        <v>88</v>
      </c>
      <c r="M62">
        <v>77</v>
      </c>
    </row>
    <row r="63" spans="1:13" x14ac:dyDescent="0.35">
      <c r="A63" t="s">
        <v>86</v>
      </c>
      <c r="B63">
        <v>2</v>
      </c>
      <c r="C63" t="s">
        <v>141</v>
      </c>
      <c r="D63" t="s">
        <v>128</v>
      </c>
      <c r="E63" t="s">
        <v>10</v>
      </c>
      <c r="I63" t="s">
        <v>87</v>
      </c>
      <c r="K63" t="s">
        <v>56</v>
      </c>
      <c r="L63" t="s">
        <v>88</v>
      </c>
      <c r="M63">
        <v>99</v>
      </c>
    </row>
    <row r="64" spans="1:13" x14ac:dyDescent="0.35">
      <c r="A64" t="s">
        <v>86</v>
      </c>
      <c r="B64">
        <v>2</v>
      </c>
      <c r="C64" t="s">
        <v>141</v>
      </c>
      <c r="D64" t="s">
        <v>128</v>
      </c>
      <c r="E64" t="s">
        <v>12</v>
      </c>
      <c r="I64" t="s">
        <v>87</v>
      </c>
      <c r="K64" t="s">
        <v>56</v>
      </c>
      <c r="L64" t="s">
        <v>88</v>
      </c>
      <c r="M64">
        <v>56</v>
      </c>
    </row>
    <row r="65" spans="1:13" x14ac:dyDescent="0.35">
      <c r="A65" t="s">
        <v>86</v>
      </c>
      <c r="B65">
        <v>2</v>
      </c>
      <c r="C65" t="s">
        <v>141</v>
      </c>
      <c r="D65" t="s">
        <v>293</v>
      </c>
      <c r="E65" t="s">
        <v>10</v>
      </c>
      <c r="I65" t="s">
        <v>89</v>
      </c>
      <c r="K65" t="s">
        <v>56</v>
      </c>
      <c r="L65" t="s">
        <v>88</v>
      </c>
      <c r="M65">
        <v>45</v>
      </c>
    </row>
    <row r="66" spans="1:13" x14ac:dyDescent="0.35">
      <c r="A66" t="s">
        <v>86</v>
      </c>
      <c r="B66">
        <v>2</v>
      </c>
      <c r="C66" t="s">
        <v>141</v>
      </c>
      <c r="D66" t="s">
        <v>293</v>
      </c>
      <c r="E66" t="s">
        <v>12</v>
      </c>
      <c r="I66" t="s">
        <v>89</v>
      </c>
      <c r="K66" t="s">
        <v>56</v>
      </c>
      <c r="L66" t="s">
        <v>88</v>
      </c>
      <c r="M66">
        <v>66</v>
      </c>
    </row>
    <row r="67" spans="1:13" x14ac:dyDescent="0.35">
      <c r="A67" t="s">
        <v>86</v>
      </c>
      <c r="B67">
        <v>2</v>
      </c>
      <c r="C67" t="s">
        <v>141</v>
      </c>
      <c r="D67" t="s">
        <v>127</v>
      </c>
      <c r="E67" t="s">
        <v>10</v>
      </c>
      <c r="I67" t="s">
        <v>89</v>
      </c>
      <c r="K67" t="s">
        <v>56</v>
      </c>
      <c r="L67" t="s">
        <v>88</v>
      </c>
      <c r="M67">
        <v>99</v>
      </c>
    </row>
    <row r="68" spans="1:13" x14ac:dyDescent="0.35">
      <c r="A68" t="s">
        <v>86</v>
      </c>
      <c r="B68">
        <v>2</v>
      </c>
      <c r="C68" t="s">
        <v>141</v>
      </c>
      <c r="D68" t="s">
        <v>127</v>
      </c>
      <c r="E68" t="s">
        <v>12</v>
      </c>
      <c r="I68" t="s">
        <v>89</v>
      </c>
      <c r="K68" t="s">
        <v>56</v>
      </c>
      <c r="L68" t="s">
        <v>88</v>
      </c>
      <c r="M68">
        <v>79</v>
      </c>
    </row>
    <row r="69" spans="1:13" x14ac:dyDescent="0.35">
      <c r="A69" t="s">
        <v>86</v>
      </c>
      <c r="B69">
        <v>2</v>
      </c>
      <c r="C69" t="s">
        <v>141</v>
      </c>
      <c r="D69" t="s">
        <v>128</v>
      </c>
      <c r="E69" t="s">
        <v>10</v>
      </c>
      <c r="I69" t="s">
        <v>89</v>
      </c>
      <c r="K69" t="s">
        <v>56</v>
      </c>
      <c r="L69" t="s">
        <v>88</v>
      </c>
      <c r="M69">
        <v>89</v>
      </c>
    </row>
    <row r="70" spans="1:13" x14ac:dyDescent="0.35">
      <c r="A70" t="s">
        <v>86</v>
      </c>
      <c r="B70">
        <v>2</v>
      </c>
      <c r="C70" t="s">
        <v>141</v>
      </c>
      <c r="D70" t="s">
        <v>128</v>
      </c>
      <c r="E70" t="s">
        <v>12</v>
      </c>
      <c r="I70" t="s">
        <v>89</v>
      </c>
      <c r="K70" t="s">
        <v>56</v>
      </c>
      <c r="L70" t="s">
        <v>88</v>
      </c>
      <c r="M70">
        <v>77</v>
      </c>
    </row>
    <row r="71" spans="1:13" x14ac:dyDescent="0.35">
      <c r="A71" t="s">
        <v>86</v>
      </c>
      <c r="B71">
        <v>2</v>
      </c>
      <c r="C71" t="s">
        <v>141</v>
      </c>
      <c r="D71" t="s">
        <v>293</v>
      </c>
      <c r="E71" t="s">
        <v>10</v>
      </c>
      <c r="I71" t="s">
        <v>91</v>
      </c>
      <c r="K71" t="s">
        <v>56</v>
      </c>
      <c r="L71" t="s">
        <v>88</v>
      </c>
      <c r="M71">
        <v>94</v>
      </c>
    </row>
    <row r="72" spans="1:13" x14ac:dyDescent="0.35">
      <c r="A72" t="s">
        <v>86</v>
      </c>
      <c r="B72">
        <v>2</v>
      </c>
      <c r="C72" t="s">
        <v>141</v>
      </c>
      <c r="D72" t="s">
        <v>293</v>
      </c>
      <c r="E72" t="s">
        <v>12</v>
      </c>
      <c r="I72" t="s">
        <v>91</v>
      </c>
      <c r="K72" t="s">
        <v>56</v>
      </c>
      <c r="L72" t="s">
        <v>88</v>
      </c>
      <c r="M72">
        <v>56</v>
      </c>
    </row>
    <row r="73" spans="1:13" x14ac:dyDescent="0.35">
      <c r="A73" t="s">
        <v>86</v>
      </c>
      <c r="B73">
        <v>2</v>
      </c>
      <c r="C73" t="s">
        <v>141</v>
      </c>
      <c r="D73" t="s">
        <v>127</v>
      </c>
      <c r="E73" t="s">
        <v>10</v>
      </c>
      <c r="I73" t="s">
        <v>91</v>
      </c>
      <c r="K73" t="s">
        <v>56</v>
      </c>
      <c r="L73" t="s">
        <v>88</v>
      </c>
      <c r="M73">
        <v>45</v>
      </c>
    </row>
    <row r="74" spans="1:13" x14ac:dyDescent="0.35">
      <c r="A74" t="s">
        <v>86</v>
      </c>
      <c r="B74">
        <v>2</v>
      </c>
      <c r="C74" t="s">
        <v>141</v>
      </c>
      <c r="D74" t="s">
        <v>127</v>
      </c>
      <c r="E74" t="s">
        <v>12</v>
      </c>
      <c r="I74" t="s">
        <v>91</v>
      </c>
      <c r="K74" t="s">
        <v>56</v>
      </c>
      <c r="L74" t="s">
        <v>88</v>
      </c>
      <c r="M74">
        <v>66</v>
      </c>
    </row>
    <row r="75" spans="1:13" x14ac:dyDescent="0.35">
      <c r="A75" t="s">
        <v>86</v>
      </c>
      <c r="B75">
        <v>2</v>
      </c>
      <c r="C75" t="s">
        <v>141</v>
      </c>
      <c r="D75" t="s">
        <v>128</v>
      </c>
      <c r="E75" t="s">
        <v>10</v>
      </c>
      <c r="I75" t="s">
        <v>91</v>
      </c>
      <c r="K75" t="s">
        <v>56</v>
      </c>
      <c r="L75" t="s">
        <v>88</v>
      </c>
      <c r="M75">
        <v>99</v>
      </c>
    </row>
    <row r="76" spans="1:13" x14ac:dyDescent="0.35">
      <c r="A76" t="s">
        <v>86</v>
      </c>
      <c r="B76">
        <v>2</v>
      </c>
      <c r="C76" t="s">
        <v>141</v>
      </c>
      <c r="D76" t="s">
        <v>128</v>
      </c>
      <c r="E76" t="s">
        <v>12</v>
      </c>
      <c r="I76" t="s">
        <v>91</v>
      </c>
      <c r="K76" t="s">
        <v>56</v>
      </c>
      <c r="L76" t="s">
        <v>88</v>
      </c>
      <c r="M76">
        <v>79</v>
      </c>
    </row>
    <row r="77" spans="1:13" x14ac:dyDescent="0.35">
      <c r="A77" t="s">
        <v>90</v>
      </c>
      <c r="B77">
        <v>3</v>
      </c>
      <c r="C77" t="s">
        <v>135</v>
      </c>
      <c r="D77" t="s">
        <v>293</v>
      </c>
      <c r="E77" t="s">
        <v>10</v>
      </c>
      <c r="I77" t="s">
        <v>89</v>
      </c>
      <c r="K77" t="s">
        <v>59</v>
      </c>
      <c r="L77" t="s">
        <v>88</v>
      </c>
      <c r="M77">
        <v>45</v>
      </c>
    </row>
    <row r="78" spans="1:13" x14ac:dyDescent="0.35">
      <c r="A78" t="s">
        <v>90</v>
      </c>
      <c r="B78">
        <v>3</v>
      </c>
      <c r="C78" t="s">
        <v>135</v>
      </c>
      <c r="D78" t="s">
        <v>293</v>
      </c>
      <c r="E78" t="s">
        <v>12</v>
      </c>
      <c r="I78" t="s">
        <v>89</v>
      </c>
      <c r="K78" t="s">
        <v>59</v>
      </c>
      <c r="L78" t="s">
        <v>88</v>
      </c>
      <c r="M78">
        <v>66</v>
      </c>
    </row>
    <row r="79" spans="1:13" x14ac:dyDescent="0.35">
      <c r="A79" t="s">
        <v>90</v>
      </c>
      <c r="B79">
        <v>3</v>
      </c>
      <c r="C79" t="s">
        <v>135</v>
      </c>
      <c r="D79" t="s">
        <v>127</v>
      </c>
      <c r="E79" t="s">
        <v>10</v>
      </c>
      <c r="I79" t="s">
        <v>89</v>
      </c>
      <c r="K79" t="s">
        <v>59</v>
      </c>
      <c r="L79" t="s">
        <v>88</v>
      </c>
      <c r="M79">
        <v>99</v>
      </c>
    </row>
    <row r="80" spans="1:13" x14ac:dyDescent="0.35">
      <c r="A80" t="s">
        <v>90</v>
      </c>
      <c r="B80">
        <v>3</v>
      </c>
      <c r="C80" t="s">
        <v>135</v>
      </c>
      <c r="D80" t="s">
        <v>127</v>
      </c>
      <c r="E80" t="s">
        <v>12</v>
      </c>
      <c r="I80" t="s">
        <v>89</v>
      </c>
      <c r="K80" t="s">
        <v>59</v>
      </c>
      <c r="L80" t="s">
        <v>88</v>
      </c>
      <c r="M80">
        <v>79</v>
      </c>
    </row>
    <row r="81" spans="1:13" x14ac:dyDescent="0.35">
      <c r="A81" t="s">
        <v>90</v>
      </c>
      <c r="B81">
        <v>3</v>
      </c>
      <c r="C81" t="s">
        <v>135</v>
      </c>
      <c r="D81" t="s">
        <v>128</v>
      </c>
      <c r="E81" t="s">
        <v>10</v>
      </c>
      <c r="I81" t="s">
        <v>89</v>
      </c>
      <c r="K81" t="s">
        <v>59</v>
      </c>
      <c r="L81" t="s">
        <v>88</v>
      </c>
      <c r="M81">
        <v>56</v>
      </c>
    </row>
    <row r="82" spans="1:13" x14ac:dyDescent="0.35">
      <c r="A82" t="s">
        <v>90</v>
      </c>
      <c r="B82">
        <v>3</v>
      </c>
      <c r="C82" t="s">
        <v>135</v>
      </c>
      <c r="D82" t="s">
        <v>128</v>
      </c>
      <c r="E82" t="s">
        <v>12</v>
      </c>
      <c r="I82" t="s">
        <v>89</v>
      </c>
      <c r="K82" t="s">
        <v>59</v>
      </c>
      <c r="L82" t="s">
        <v>88</v>
      </c>
      <c r="M82">
        <v>99</v>
      </c>
    </row>
    <row r="83" spans="1:13" x14ac:dyDescent="0.35">
      <c r="A83" t="s">
        <v>90</v>
      </c>
      <c r="B83">
        <v>3</v>
      </c>
      <c r="C83" t="s">
        <v>135</v>
      </c>
      <c r="D83" t="s">
        <v>293</v>
      </c>
      <c r="E83" t="s">
        <v>10</v>
      </c>
      <c r="I83" t="s">
        <v>91</v>
      </c>
      <c r="K83" t="s">
        <v>59</v>
      </c>
      <c r="L83" t="s">
        <v>88</v>
      </c>
      <c r="M83">
        <v>89</v>
      </c>
    </row>
    <row r="84" spans="1:13" x14ac:dyDescent="0.35">
      <c r="A84" t="s">
        <v>90</v>
      </c>
      <c r="B84">
        <v>3</v>
      </c>
      <c r="C84" t="s">
        <v>135</v>
      </c>
      <c r="D84" t="s">
        <v>293</v>
      </c>
      <c r="E84" t="s">
        <v>12</v>
      </c>
      <c r="I84" t="s">
        <v>91</v>
      </c>
      <c r="K84" t="s">
        <v>59</v>
      </c>
      <c r="L84" t="s">
        <v>88</v>
      </c>
      <c r="M84">
        <v>77</v>
      </c>
    </row>
    <row r="85" spans="1:13" x14ac:dyDescent="0.35">
      <c r="A85" t="s">
        <v>90</v>
      </c>
      <c r="B85">
        <v>3</v>
      </c>
      <c r="C85" t="s">
        <v>135</v>
      </c>
      <c r="D85" t="s">
        <v>127</v>
      </c>
      <c r="E85" t="s">
        <v>10</v>
      </c>
      <c r="I85" t="s">
        <v>91</v>
      </c>
      <c r="K85" t="s">
        <v>59</v>
      </c>
      <c r="L85" t="s">
        <v>88</v>
      </c>
      <c r="M85">
        <v>89</v>
      </c>
    </row>
    <row r="86" spans="1:13" x14ac:dyDescent="0.35">
      <c r="A86" t="s">
        <v>90</v>
      </c>
      <c r="B86">
        <v>3</v>
      </c>
      <c r="C86" t="s">
        <v>135</v>
      </c>
      <c r="D86" t="s">
        <v>127</v>
      </c>
      <c r="E86" t="s">
        <v>12</v>
      </c>
      <c r="I86" t="s">
        <v>91</v>
      </c>
      <c r="K86" t="s">
        <v>59</v>
      </c>
      <c r="L86" t="s">
        <v>88</v>
      </c>
      <c r="M86">
        <v>46</v>
      </c>
    </row>
    <row r="87" spans="1:13" x14ac:dyDescent="0.35">
      <c r="A87" t="s">
        <v>90</v>
      </c>
      <c r="B87">
        <v>3</v>
      </c>
      <c r="C87" t="s">
        <v>135</v>
      </c>
      <c r="D87" t="s">
        <v>128</v>
      </c>
      <c r="E87" t="s">
        <v>10</v>
      </c>
      <c r="I87" t="s">
        <v>91</v>
      </c>
      <c r="K87" t="s">
        <v>59</v>
      </c>
      <c r="L87" t="s">
        <v>88</v>
      </c>
      <c r="M87">
        <v>79</v>
      </c>
    </row>
    <row r="88" spans="1:13" x14ac:dyDescent="0.35">
      <c r="A88" t="s">
        <v>90</v>
      </c>
      <c r="B88">
        <v>3</v>
      </c>
      <c r="C88" t="s">
        <v>135</v>
      </c>
      <c r="D88" t="s">
        <v>128</v>
      </c>
      <c r="E88" t="s">
        <v>12</v>
      </c>
      <c r="I88" t="s">
        <v>91</v>
      </c>
      <c r="K88" t="s">
        <v>59</v>
      </c>
      <c r="L88" t="s">
        <v>88</v>
      </c>
      <c r="M88">
        <v>89</v>
      </c>
    </row>
    <row r="89" spans="1:13" x14ac:dyDescent="0.35">
      <c r="A89" t="s">
        <v>90</v>
      </c>
      <c r="B89">
        <v>3</v>
      </c>
      <c r="C89" t="s">
        <v>135</v>
      </c>
      <c r="D89" t="s">
        <v>293</v>
      </c>
      <c r="E89" t="s">
        <v>10</v>
      </c>
      <c r="I89" t="s">
        <v>92</v>
      </c>
      <c r="K89" t="s">
        <v>59</v>
      </c>
      <c r="L89" t="s">
        <v>88</v>
      </c>
      <c r="M89">
        <v>89</v>
      </c>
    </row>
    <row r="90" spans="1:13" x14ac:dyDescent="0.35">
      <c r="A90" t="s">
        <v>90</v>
      </c>
      <c r="B90">
        <v>3</v>
      </c>
      <c r="C90" t="s">
        <v>135</v>
      </c>
      <c r="D90" t="s">
        <v>293</v>
      </c>
      <c r="E90" t="s">
        <v>12</v>
      </c>
      <c r="I90" t="s">
        <v>92</v>
      </c>
      <c r="K90" t="s">
        <v>59</v>
      </c>
      <c r="L90" t="s">
        <v>88</v>
      </c>
      <c r="M90">
        <v>46</v>
      </c>
    </row>
    <row r="91" spans="1:13" x14ac:dyDescent="0.35">
      <c r="A91" t="s">
        <v>90</v>
      </c>
      <c r="B91">
        <v>3</v>
      </c>
      <c r="C91" t="s">
        <v>135</v>
      </c>
      <c r="D91" t="s">
        <v>127</v>
      </c>
      <c r="E91" t="s">
        <v>10</v>
      </c>
      <c r="I91" t="s">
        <v>92</v>
      </c>
      <c r="K91" t="s">
        <v>59</v>
      </c>
      <c r="L91" t="s">
        <v>88</v>
      </c>
      <c r="M91">
        <v>94</v>
      </c>
    </row>
    <row r="92" spans="1:13" x14ac:dyDescent="0.35">
      <c r="A92" t="s">
        <v>90</v>
      </c>
      <c r="B92">
        <v>3</v>
      </c>
      <c r="C92" t="s">
        <v>135</v>
      </c>
      <c r="D92" t="s">
        <v>127</v>
      </c>
      <c r="E92" t="s">
        <v>12</v>
      </c>
      <c r="I92" t="s">
        <v>92</v>
      </c>
      <c r="K92" t="s">
        <v>59</v>
      </c>
      <c r="L92" t="s">
        <v>88</v>
      </c>
      <c r="M92">
        <v>56</v>
      </c>
    </row>
    <row r="93" spans="1:13" x14ac:dyDescent="0.35">
      <c r="A93" t="s">
        <v>90</v>
      </c>
      <c r="B93">
        <v>3</v>
      </c>
      <c r="C93" t="s">
        <v>135</v>
      </c>
      <c r="D93" t="s">
        <v>128</v>
      </c>
      <c r="E93" t="s">
        <v>10</v>
      </c>
      <c r="I93" t="s">
        <v>92</v>
      </c>
      <c r="K93" t="s">
        <v>59</v>
      </c>
      <c r="L93" t="s">
        <v>88</v>
      </c>
      <c r="M93">
        <v>77</v>
      </c>
    </row>
    <row r="94" spans="1:13" x14ac:dyDescent="0.35">
      <c r="A94" t="s">
        <v>90</v>
      </c>
      <c r="B94">
        <v>3</v>
      </c>
      <c r="C94" t="s">
        <v>135</v>
      </c>
      <c r="D94" t="s">
        <v>128</v>
      </c>
      <c r="E94" t="s">
        <v>12</v>
      </c>
      <c r="I94" t="s">
        <v>92</v>
      </c>
      <c r="K94" t="s">
        <v>59</v>
      </c>
      <c r="L94" t="s">
        <v>88</v>
      </c>
      <c r="M94">
        <v>94</v>
      </c>
    </row>
    <row r="95" spans="1:13" x14ac:dyDescent="0.35">
      <c r="A95" t="s">
        <v>136</v>
      </c>
      <c r="B95">
        <v>5</v>
      </c>
      <c r="C95" t="s">
        <v>139</v>
      </c>
      <c r="D95" t="s">
        <v>293</v>
      </c>
      <c r="L95" t="s">
        <v>83</v>
      </c>
      <c r="M95">
        <v>200</v>
      </c>
    </row>
    <row r="96" spans="1:13" x14ac:dyDescent="0.35">
      <c r="A96" t="s">
        <v>136</v>
      </c>
      <c r="B96">
        <v>5</v>
      </c>
      <c r="C96" t="s">
        <v>139</v>
      </c>
      <c r="D96" t="s">
        <v>127</v>
      </c>
      <c r="L96" t="s">
        <v>83</v>
      </c>
      <c r="M96">
        <v>200</v>
      </c>
    </row>
    <row r="97" spans="1:13" x14ac:dyDescent="0.35">
      <c r="A97" t="s">
        <v>136</v>
      </c>
      <c r="B97">
        <v>5</v>
      </c>
      <c r="C97" t="s">
        <v>139</v>
      </c>
      <c r="D97" t="s">
        <v>128</v>
      </c>
      <c r="L97" t="s">
        <v>83</v>
      </c>
      <c r="M97">
        <v>200</v>
      </c>
    </row>
    <row r="98" spans="1:13" x14ac:dyDescent="0.35">
      <c r="A98" t="s">
        <v>86</v>
      </c>
      <c r="B98">
        <v>4</v>
      </c>
      <c r="C98" t="s">
        <v>146</v>
      </c>
      <c r="D98" t="s">
        <v>293</v>
      </c>
      <c r="E98" t="s">
        <v>10</v>
      </c>
      <c r="I98" t="s">
        <v>87</v>
      </c>
      <c r="K98" t="s">
        <v>56</v>
      </c>
      <c r="L98" t="s">
        <v>82</v>
      </c>
      <c r="M98">
        <v>50</v>
      </c>
    </row>
    <row r="99" spans="1:13" x14ac:dyDescent="0.35">
      <c r="A99" t="s">
        <v>86</v>
      </c>
      <c r="B99">
        <v>4</v>
      </c>
      <c r="C99" t="s">
        <v>146</v>
      </c>
      <c r="D99" t="s">
        <v>293</v>
      </c>
      <c r="E99" t="s">
        <v>12</v>
      </c>
      <c r="I99" t="s">
        <v>87</v>
      </c>
      <c r="K99" t="s">
        <v>56</v>
      </c>
      <c r="L99" t="s">
        <v>82</v>
      </c>
      <c r="M99">
        <v>50</v>
      </c>
    </row>
    <row r="100" spans="1:13" x14ac:dyDescent="0.35">
      <c r="A100" t="s">
        <v>86</v>
      </c>
      <c r="B100">
        <v>4</v>
      </c>
      <c r="C100" t="s">
        <v>146</v>
      </c>
      <c r="D100" t="s">
        <v>127</v>
      </c>
      <c r="E100" t="s">
        <v>10</v>
      </c>
      <c r="I100" t="s">
        <v>87</v>
      </c>
      <c r="K100" t="s">
        <v>56</v>
      </c>
      <c r="L100" t="s">
        <v>82</v>
      </c>
      <c r="M100">
        <v>50</v>
      </c>
    </row>
    <row r="101" spans="1:13" x14ac:dyDescent="0.35">
      <c r="A101" t="s">
        <v>86</v>
      </c>
      <c r="B101">
        <v>4</v>
      </c>
      <c r="C101" t="s">
        <v>146</v>
      </c>
      <c r="D101" t="s">
        <v>127</v>
      </c>
      <c r="E101" t="s">
        <v>12</v>
      </c>
      <c r="I101" t="s">
        <v>87</v>
      </c>
      <c r="K101" t="s">
        <v>56</v>
      </c>
      <c r="L101" t="s">
        <v>82</v>
      </c>
      <c r="M101">
        <v>50</v>
      </c>
    </row>
    <row r="102" spans="1:13" x14ac:dyDescent="0.35">
      <c r="A102" t="s">
        <v>86</v>
      </c>
      <c r="B102">
        <v>4</v>
      </c>
      <c r="C102" t="s">
        <v>146</v>
      </c>
      <c r="D102" t="s">
        <v>128</v>
      </c>
      <c r="E102" t="s">
        <v>10</v>
      </c>
      <c r="I102" t="s">
        <v>87</v>
      </c>
      <c r="K102" t="s">
        <v>56</v>
      </c>
      <c r="L102" t="s">
        <v>82</v>
      </c>
      <c r="M102">
        <v>50</v>
      </c>
    </row>
    <row r="103" spans="1:13" x14ac:dyDescent="0.35">
      <c r="A103" t="s">
        <v>86</v>
      </c>
      <c r="B103">
        <v>4</v>
      </c>
      <c r="C103" t="s">
        <v>146</v>
      </c>
      <c r="D103" t="s">
        <v>128</v>
      </c>
      <c r="E103" t="s">
        <v>12</v>
      </c>
      <c r="I103" t="s">
        <v>87</v>
      </c>
      <c r="K103" t="s">
        <v>56</v>
      </c>
      <c r="L103" t="s">
        <v>82</v>
      </c>
      <c r="M103">
        <v>50</v>
      </c>
    </row>
    <row r="104" spans="1:13" x14ac:dyDescent="0.35">
      <c r="A104" t="s">
        <v>86</v>
      </c>
      <c r="B104">
        <v>4</v>
      </c>
      <c r="C104" t="s">
        <v>146</v>
      </c>
      <c r="D104" t="s">
        <v>293</v>
      </c>
      <c r="E104" t="s">
        <v>10</v>
      </c>
      <c r="I104" t="s">
        <v>89</v>
      </c>
      <c r="K104" t="s">
        <v>56</v>
      </c>
      <c r="L104" t="s">
        <v>82</v>
      </c>
      <c r="M104">
        <v>50</v>
      </c>
    </row>
    <row r="105" spans="1:13" x14ac:dyDescent="0.35">
      <c r="A105" t="s">
        <v>86</v>
      </c>
      <c r="B105">
        <v>4</v>
      </c>
      <c r="C105" t="s">
        <v>146</v>
      </c>
      <c r="D105" t="s">
        <v>293</v>
      </c>
      <c r="E105" t="s">
        <v>12</v>
      </c>
      <c r="I105" t="s">
        <v>89</v>
      </c>
      <c r="K105" t="s">
        <v>56</v>
      </c>
      <c r="L105" t="s">
        <v>82</v>
      </c>
      <c r="M105">
        <v>50</v>
      </c>
    </row>
    <row r="106" spans="1:13" x14ac:dyDescent="0.35">
      <c r="A106" t="s">
        <v>86</v>
      </c>
      <c r="B106">
        <v>4</v>
      </c>
      <c r="C106" t="s">
        <v>146</v>
      </c>
      <c r="D106" t="s">
        <v>127</v>
      </c>
      <c r="E106" t="s">
        <v>10</v>
      </c>
      <c r="I106" t="s">
        <v>89</v>
      </c>
      <c r="K106" t="s">
        <v>56</v>
      </c>
      <c r="L106" t="s">
        <v>82</v>
      </c>
      <c r="M106">
        <v>50</v>
      </c>
    </row>
    <row r="107" spans="1:13" x14ac:dyDescent="0.35">
      <c r="A107" t="s">
        <v>86</v>
      </c>
      <c r="B107">
        <v>4</v>
      </c>
      <c r="C107" t="s">
        <v>146</v>
      </c>
      <c r="D107" t="s">
        <v>127</v>
      </c>
      <c r="E107" t="s">
        <v>12</v>
      </c>
      <c r="I107" t="s">
        <v>89</v>
      </c>
      <c r="K107" t="s">
        <v>56</v>
      </c>
      <c r="L107" t="s">
        <v>82</v>
      </c>
      <c r="M107">
        <v>50</v>
      </c>
    </row>
    <row r="108" spans="1:13" x14ac:dyDescent="0.35">
      <c r="A108" t="s">
        <v>86</v>
      </c>
      <c r="B108">
        <v>4</v>
      </c>
      <c r="C108" t="s">
        <v>146</v>
      </c>
      <c r="D108" t="s">
        <v>128</v>
      </c>
      <c r="E108" t="s">
        <v>10</v>
      </c>
      <c r="I108" t="s">
        <v>89</v>
      </c>
      <c r="K108" t="s">
        <v>56</v>
      </c>
      <c r="L108" t="s">
        <v>82</v>
      </c>
      <c r="M108">
        <v>50</v>
      </c>
    </row>
    <row r="109" spans="1:13" x14ac:dyDescent="0.35">
      <c r="A109" t="s">
        <v>86</v>
      </c>
      <c r="B109">
        <v>4</v>
      </c>
      <c r="C109" t="s">
        <v>146</v>
      </c>
      <c r="D109" t="s">
        <v>128</v>
      </c>
      <c r="E109" t="s">
        <v>12</v>
      </c>
      <c r="I109" t="s">
        <v>89</v>
      </c>
      <c r="K109" t="s">
        <v>56</v>
      </c>
      <c r="L109" t="s">
        <v>82</v>
      </c>
      <c r="M109">
        <v>50</v>
      </c>
    </row>
    <row r="110" spans="1:13" x14ac:dyDescent="0.35">
      <c r="A110" t="s">
        <v>90</v>
      </c>
      <c r="B110">
        <v>4</v>
      </c>
      <c r="C110" t="s">
        <v>146</v>
      </c>
      <c r="D110" t="s">
        <v>293</v>
      </c>
      <c r="E110" t="s">
        <v>10</v>
      </c>
      <c r="I110" t="s">
        <v>89</v>
      </c>
      <c r="K110" t="s">
        <v>59</v>
      </c>
      <c r="L110" t="s">
        <v>82</v>
      </c>
      <c r="M110">
        <v>50</v>
      </c>
    </row>
    <row r="111" spans="1:13" x14ac:dyDescent="0.35">
      <c r="A111" t="s">
        <v>90</v>
      </c>
      <c r="B111">
        <v>4</v>
      </c>
      <c r="C111" t="s">
        <v>146</v>
      </c>
      <c r="D111" t="s">
        <v>293</v>
      </c>
      <c r="E111" t="s">
        <v>12</v>
      </c>
      <c r="I111" t="s">
        <v>89</v>
      </c>
      <c r="K111" t="s">
        <v>59</v>
      </c>
      <c r="L111" t="s">
        <v>82</v>
      </c>
      <c r="M111">
        <v>50</v>
      </c>
    </row>
    <row r="112" spans="1:13" x14ac:dyDescent="0.35">
      <c r="A112" t="s">
        <v>90</v>
      </c>
      <c r="B112">
        <v>4</v>
      </c>
      <c r="C112" t="s">
        <v>146</v>
      </c>
      <c r="D112" t="s">
        <v>127</v>
      </c>
      <c r="E112" t="s">
        <v>10</v>
      </c>
      <c r="I112" t="s">
        <v>89</v>
      </c>
      <c r="K112" t="s">
        <v>59</v>
      </c>
      <c r="L112" t="s">
        <v>82</v>
      </c>
      <c r="M112">
        <v>50</v>
      </c>
    </row>
    <row r="113" spans="1:13" x14ac:dyDescent="0.35">
      <c r="A113" t="s">
        <v>90</v>
      </c>
      <c r="B113">
        <v>4</v>
      </c>
      <c r="C113" t="s">
        <v>146</v>
      </c>
      <c r="D113" t="s">
        <v>127</v>
      </c>
      <c r="E113" t="s">
        <v>12</v>
      </c>
      <c r="I113" t="s">
        <v>89</v>
      </c>
      <c r="K113" t="s">
        <v>59</v>
      </c>
      <c r="L113" t="s">
        <v>82</v>
      </c>
      <c r="M113">
        <v>50</v>
      </c>
    </row>
    <row r="114" spans="1:13" x14ac:dyDescent="0.35">
      <c r="A114" t="s">
        <v>90</v>
      </c>
      <c r="B114">
        <v>4</v>
      </c>
      <c r="C114" t="s">
        <v>146</v>
      </c>
      <c r="D114" t="s">
        <v>128</v>
      </c>
      <c r="E114" t="s">
        <v>10</v>
      </c>
      <c r="I114" t="s">
        <v>89</v>
      </c>
      <c r="K114" t="s">
        <v>59</v>
      </c>
      <c r="L114" t="s">
        <v>82</v>
      </c>
      <c r="M114">
        <v>50</v>
      </c>
    </row>
    <row r="115" spans="1:13" x14ac:dyDescent="0.35">
      <c r="A115" t="s">
        <v>90</v>
      </c>
      <c r="B115">
        <v>4</v>
      </c>
      <c r="C115" t="s">
        <v>146</v>
      </c>
      <c r="D115" t="s">
        <v>128</v>
      </c>
      <c r="E115" t="s">
        <v>12</v>
      </c>
      <c r="I115" t="s">
        <v>89</v>
      </c>
      <c r="K115" t="s">
        <v>59</v>
      </c>
      <c r="L115" t="s">
        <v>82</v>
      </c>
      <c r="M115">
        <v>50</v>
      </c>
    </row>
    <row r="116" spans="1:13" x14ac:dyDescent="0.35">
      <c r="A116" t="s">
        <v>90</v>
      </c>
      <c r="B116">
        <v>4</v>
      </c>
      <c r="C116" t="s">
        <v>146</v>
      </c>
      <c r="D116" t="s">
        <v>293</v>
      </c>
      <c r="E116" t="s">
        <v>10</v>
      </c>
      <c r="I116" t="s">
        <v>68</v>
      </c>
      <c r="K116" t="s">
        <v>59</v>
      </c>
      <c r="L116" t="s">
        <v>82</v>
      </c>
      <c r="M116">
        <v>50</v>
      </c>
    </row>
    <row r="117" spans="1:13" x14ac:dyDescent="0.35">
      <c r="A117" t="s">
        <v>90</v>
      </c>
      <c r="B117">
        <v>4</v>
      </c>
      <c r="C117" t="s">
        <v>146</v>
      </c>
      <c r="D117" t="s">
        <v>293</v>
      </c>
      <c r="E117" t="s">
        <v>12</v>
      </c>
      <c r="I117" t="s">
        <v>68</v>
      </c>
      <c r="K117" t="s">
        <v>59</v>
      </c>
      <c r="L117" t="s">
        <v>82</v>
      </c>
      <c r="M117">
        <v>50</v>
      </c>
    </row>
    <row r="118" spans="1:13" x14ac:dyDescent="0.35">
      <c r="A118" t="s">
        <v>90</v>
      </c>
      <c r="B118">
        <v>4</v>
      </c>
      <c r="C118" t="s">
        <v>146</v>
      </c>
      <c r="D118" t="s">
        <v>127</v>
      </c>
      <c r="E118" t="s">
        <v>10</v>
      </c>
      <c r="I118" t="s">
        <v>68</v>
      </c>
      <c r="K118" t="s">
        <v>59</v>
      </c>
      <c r="L118" t="s">
        <v>82</v>
      </c>
      <c r="M118">
        <v>50</v>
      </c>
    </row>
    <row r="119" spans="1:13" x14ac:dyDescent="0.35">
      <c r="A119" t="s">
        <v>90</v>
      </c>
      <c r="B119">
        <v>4</v>
      </c>
      <c r="C119" t="s">
        <v>146</v>
      </c>
      <c r="D119" t="s">
        <v>127</v>
      </c>
      <c r="E119" t="s">
        <v>12</v>
      </c>
      <c r="I119" t="s">
        <v>68</v>
      </c>
      <c r="K119" t="s">
        <v>59</v>
      </c>
      <c r="L119" t="s">
        <v>82</v>
      </c>
      <c r="M119">
        <v>50</v>
      </c>
    </row>
    <row r="120" spans="1:13" x14ac:dyDescent="0.35">
      <c r="A120" t="s">
        <v>90</v>
      </c>
      <c r="B120">
        <v>4</v>
      </c>
      <c r="C120" t="s">
        <v>146</v>
      </c>
      <c r="D120" t="s">
        <v>128</v>
      </c>
      <c r="E120" t="s">
        <v>10</v>
      </c>
      <c r="I120" t="s">
        <v>68</v>
      </c>
      <c r="K120" t="s">
        <v>59</v>
      </c>
      <c r="L120" t="s">
        <v>82</v>
      </c>
      <c r="M120">
        <v>50</v>
      </c>
    </row>
    <row r="121" spans="1:13" x14ac:dyDescent="0.35">
      <c r="A121" t="s">
        <v>90</v>
      </c>
      <c r="B121">
        <v>4</v>
      </c>
      <c r="C121" t="s">
        <v>146</v>
      </c>
      <c r="D121" t="s">
        <v>128</v>
      </c>
      <c r="E121" t="s">
        <v>12</v>
      </c>
      <c r="I121" t="s">
        <v>68</v>
      </c>
      <c r="K121" t="s">
        <v>59</v>
      </c>
      <c r="L121" t="s">
        <v>82</v>
      </c>
      <c r="M121">
        <v>50</v>
      </c>
    </row>
    <row r="122" spans="1:13" x14ac:dyDescent="0.35">
      <c r="A122" t="s">
        <v>93</v>
      </c>
      <c r="B122">
        <v>6</v>
      </c>
      <c r="C122" t="s">
        <v>142</v>
      </c>
      <c r="D122" t="s">
        <v>293</v>
      </c>
      <c r="I122" t="s">
        <v>69</v>
      </c>
      <c r="K122" t="s">
        <v>94</v>
      </c>
      <c r="L122" t="s">
        <v>88</v>
      </c>
      <c r="M122">
        <v>75</v>
      </c>
    </row>
    <row r="123" spans="1:13" x14ac:dyDescent="0.35">
      <c r="A123" t="s">
        <v>93</v>
      </c>
      <c r="B123">
        <v>6</v>
      </c>
      <c r="C123" t="s">
        <v>142</v>
      </c>
      <c r="D123" t="s">
        <v>293</v>
      </c>
      <c r="I123" t="s">
        <v>69</v>
      </c>
      <c r="K123" t="s">
        <v>95</v>
      </c>
      <c r="L123" t="s">
        <v>88</v>
      </c>
      <c r="M123">
        <v>9</v>
      </c>
    </row>
    <row r="124" spans="1:13" x14ac:dyDescent="0.35">
      <c r="A124" t="s">
        <v>93</v>
      </c>
      <c r="B124">
        <v>6</v>
      </c>
      <c r="C124" t="s">
        <v>142</v>
      </c>
      <c r="D124" t="s">
        <v>293</v>
      </c>
      <c r="I124" t="s">
        <v>65</v>
      </c>
      <c r="K124" t="s">
        <v>96</v>
      </c>
      <c r="L124" t="s">
        <v>88</v>
      </c>
      <c r="M124">
        <v>18</v>
      </c>
    </row>
    <row r="125" spans="1:13" x14ac:dyDescent="0.35">
      <c r="A125" t="s">
        <v>93</v>
      </c>
      <c r="B125">
        <v>6</v>
      </c>
      <c r="C125" t="s">
        <v>142</v>
      </c>
      <c r="D125" t="s">
        <v>293</v>
      </c>
      <c r="I125" t="s">
        <v>69</v>
      </c>
      <c r="K125" t="s">
        <v>96</v>
      </c>
      <c r="L125" t="s">
        <v>88</v>
      </c>
      <c r="M125">
        <v>56</v>
      </c>
    </row>
    <row r="126" spans="1:13" x14ac:dyDescent="0.35">
      <c r="A126" t="s">
        <v>93</v>
      </c>
      <c r="B126">
        <v>6</v>
      </c>
      <c r="C126" t="s">
        <v>142</v>
      </c>
      <c r="D126" t="s">
        <v>127</v>
      </c>
      <c r="I126" t="s">
        <v>69</v>
      </c>
      <c r="K126" t="s">
        <v>94</v>
      </c>
      <c r="L126" t="s">
        <v>88</v>
      </c>
      <c r="M126">
        <v>46</v>
      </c>
    </row>
    <row r="127" spans="1:13" x14ac:dyDescent="0.35">
      <c r="A127" t="s">
        <v>93</v>
      </c>
      <c r="B127">
        <v>6</v>
      </c>
      <c r="C127" t="s">
        <v>142</v>
      </c>
      <c r="D127" t="s">
        <v>127</v>
      </c>
      <c r="I127" t="s">
        <v>69</v>
      </c>
      <c r="K127" t="s">
        <v>95</v>
      </c>
      <c r="L127" t="s">
        <v>88</v>
      </c>
      <c r="M127">
        <v>33</v>
      </c>
    </row>
    <row r="128" spans="1:13" x14ac:dyDescent="0.35">
      <c r="A128" t="s">
        <v>93</v>
      </c>
      <c r="B128">
        <v>6</v>
      </c>
      <c r="C128" t="s">
        <v>142</v>
      </c>
      <c r="D128" t="s">
        <v>127</v>
      </c>
      <c r="I128" t="s">
        <v>65</v>
      </c>
      <c r="K128" t="s">
        <v>96</v>
      </c>
      <c r="L128" t="s">
        <v>88</v>
      </c>
      <c r="M128">
        <v>2</v>
      </c>
    </row>
    <row r="129" spans="1:13" x14ac:dyDescent="0.35">
      <c r="A129" t="s">
        <v>93</v>
      </c>
      <c r="B129">
        <v>6</v>
      </c>
      <c r="C129" t="s">
        <v>142</v>
      </c>
      <c r="D129" t="s">
        <v>127</v>
      </c>
      <c r="I129" t="s">
        <v>69</v>
      </c>
      <c r="K129" t="s">
        <v>96</v>
      </c>
      <c r="L129" t="s">
        <v>88</v>
      </c>
      <c r="M129">
        <v>21</v>
      </c>
    </row>
    <row r="130" spans="1:13" x14ac:dyDescent="0.35">
      <c r="A130" t="s">
        <v>93</v>
      </c>
      <c r="B130">
        <v>6</v>
      </c>
      <c r="C130" t="s">
        <v>142</v>
      </c>
      <c r="D130" t="s">
        <v>128</v>
      </c>
      <c r="I130" t="s">
        <v>69</v>
      </c>
      <c r="K130" t="s">
        <v>94</v>
      </c>
      <c r="L130" t="s">
        <v>88</v>
      </c>
      <c r="M130">
        <v>11</v>
      </c>
    </row>
    <row r="131" spans="1:13" x14ac:dyDescent="0.35">
      <c r="A131" t="s">
        <v>93</v>
      </c>
      <c r="B131">
        <v>6</v>
      </c>
      <c r="C131" t="s">
        <v>142</v>
      </c>
      <c r="D131" t="s">
        <v>128</v>
      </c>
      <c r="I131" t="s">
        <v>69</v>
      </c>
      <c r="K131" t="s">
        <v>95</v>
      </c>
      <c r="L131" t="s">
        <v>88</v>
      </c>
      <c r="M131">
        <v>55</v>
      </c>
    </row>
    <row r="132" spans="1:13" x14ac:dyDescent="0.35">
      <c r="A132" t="s">
        <v>93</v>
      </c>
      <c r="B132">
        <v>6</v>
      </c>
      <c r="C132" t="s">
        <v>142</v>
      </c>
      <c r="D132" t="s">
        <v>128</v>
      </c>
      <c r="I132" t="s">
        <v>65</v>
      </c>
      <c r="K132" t="s">
        <v>96</v>
      </c>
      <c r="L132" t="s">
        <v>88</v>
      </c>
      <c r="M132">
        <v>14</v>
      </c>
    </row>
    <row r="133" spans="1:13" x14ac:dyDescent="0.35">
      <c r="A133" t="s">
        <v>93</v>
      </c>
      <c r="B133">
        <v>6</v>
      </c>
      <c r="C133" t="s">
        <v>142</v>
      </c>
      <c r="D133" t="s">
        <v>128</v>
      </c>
      <c r="I133" t="s">
        <v>69</v>
      </c>
      <c r="K133" t="s">
        <v>96</v>
      </c>
      <c r="L133" t="s">
        <v>88</v>
      </c>
      <c r="M133">
        <v>15</v>
      </c>
    </row>
    <row r="134" spans="1:13" x14ac:dyDescent="0.35">
      <c r="A134" s="4" t="s">
        <v>143</v>
      </c>
      <c r="B134" s="4">
        <v>7</v>
      </c>
      <c r="C134" s="4" t="s">
        <v>143</v>
      </c>
      <c r="D134" s="4" t="s">
        <v>293</v>
      </c>
      <c r="E134" s="4"/>
      <c r="F134" s="4"/>
      <c r="G134" s="4"/>
      <c r="H134" s="4"/>
      <c r="I134" s="4"/>
      <c r="J134" s="4"/>
      <c r="K134" s="4"/>
      <c r="L134" s="4" t="s">
        <v>156</v>
      </c>
      <c r="M134" s="4">
        <v>0</v>
      </c>
    </row>
    <row r="135" spans="1:13" x14ac:dyDescent="0.35">
      <c r="A135" s="4" t="s">
        <v>143</v>
      </c>
      <c r="B135" s="4">
        <v>7</v>
      </c>
      <c r="C135" s="4" t="s">
        <v>143</v>
      </c>
      <c r="D135" s="4" t="s">
        <v>127</v>
      </c>
      <c r="E135" s="4"/>
      <c r="F135" s="4"/>
      <c r="G135" s="4"/>
      <c r="H135" s="4"/>
      <c r="I135" s="4"/>
      <c r="J135" s="4"/>
      <c r="K135" s="4"/>
      <c r="L135" s="4" t="s">
        <v>156</v>
      </c>
      <c r="M135" s="4">
        <v>0</v>
      </c>
    </row>
    <row r="136" spans="1:13" x14ac:dyDescent="0.35">
      <c r="A136" s="4" t="s">
        <v>143</v>
      </c>
      <c r="B136" s="4">
        <v>7</v>
      </c>
      <c r="C136" s="4" t="s">
        <v>143</v>
      </c>
      <c r="D136" s="4" t="s">
        <v>128</v>
      </c>
      <c r="E136" s="4"/>
      <c r="F136" s="4"/>
      <c r="G136" s="4"/>
      <c r="H136" s="4"/>
      <c r="I136" s="4"/>
      <c r="J136" s="4"/>
      <c r="K136" s="4"/>
      <c r="L136" s="4" t="s">
        <v>156</v>
      </c>
      <c r="M136" s="4">
        <v>0</v>
      </c>
    </row>
    <row r="137" spans="1:13" x14ac:dyDescent="0.35">
      <c r="A137" s="4" t="s">
        <v>39</v>
      </c>
      <c r="B137" s="4">
        <v>8</v>
      </c>
      <c r="C137" s="4" t="s">
        <v>39</v>
      </c>
      <c r="D137" s="4" t="s">
        <v>293</v>
      </c>
      <c r="E137" s="4"/>
      <c r="F137" s="4"/>
      <c r="G137" s="4"/>
      <c r="H137" s="4"/>
      <c r="I137" s="4"/>
      <c r="J137" s="4"/>
      <c r="K137" s="4"/>
      <c r="L137" s="4" t="s">
        <v>144</v>
      </c>
      <c r="M137" s="4">
        <v>0</v>
      </c>
    </row>
    <row r="138" spans="1:13" x14ac:dyDescent="0.35">
      <c r="A138" s="4" t="s">
        <v>39</v>
      </c>
      <c r="B138" s="4">
        <v>8</v>
      </c>
      <c r="C138" s="4" t="s">
        <v>39</v>
      </c>
      <c r="D138" s="4" t="s">
        <v>127</v>
      </c>
      <c r="E138" s="4"/>
      <c r="F138" s="4"/>
      <c r="G138" s="4"/>
      <c r="H138" s="4"/>
      <c r="I138" s="4"/>
      <c r="J138" s="4"/>
      <c r="K138" s="4"/>
      <c r="L138" s="4" t="s">
        <v>144</v>
      </c>
      <c r="M138" s="4">
        <v>0</v>
      </c>
    </row>
    <row r="139" spans="1:13" x14ac:dyDescent="0.35">
      <c r="A139" s="4" t="s">
        <v>39</v>
      </c>
      <c r="B139" s="4">
        <v>8</v>
      </c>
      <c r="C139" s="4" t="s">
        <v>39</v>
      </c>
      <c r="D139" s="4" t="s">
        <v>128</v>
      </c>
      <c r="E139" s="4"/>
      <c r="F139" s="4"/>
      <c r="G139" s="4"/>
      <c r="H139" s="4"/>
      <c r="I139" s="4"/>
      <c r="J139" s="4"/>
      <c r="K139" s="4"/>
      <c r="L139" s="4" t="s">
        <v>144</v>
      </c>
      <c r="M139" s="4">
        <v>0</v>
      </c>
    </row>
    <row r="140" spans="1:13" x14ac:dyDescent="0.35">
      <c r="A140" t="s">
        <v>84</v>
      </c>
      <c r="B140">
        <v>9</v>
      </c>
      <c r="C140" t="s">
        <v>140</v>
      </c>
      <c r="D140" t="s">
        <v>293</v>
      </c>
      <c r="E140" t="s">
        <v>10</v>
      </c>
      <c r="J140" t="s">
        <v>37</v>
      </c>
      <c r="L140" t="s">
        <v>147</v>
      </c>
      <c r="M140">
        <v>0</v>
      </c>
    </row>
    <row r="141" spans="1:13" x14ac:dyDescent="0.35">
      <c r="A141" t="s">
        <v>84</v>
      </c>
      <c r="B141">
        <v>9</v>
      </c>
      <c r="C141" t="s">
        <v>140</v>
      </c>
      <c r="D141" t="s">
        <v>293</v>
      </c>
      <c r="E141" t="s">
        <v>12</v>
      </c>
      <c r="J141" t="s">
        <v>37</v>
      </c>
      <c r="L141" t="s">
        <v>147</v>
      </c>
      <c r="M141">
        <v>0</v>
      </c>
    </row>
    <row r="142" spans="1:13" x14ac:dyDescent="0.35">
      <c r="A142" t="s">
        <v>84</v>
      </c>
      <c r="B142">
        <v>9</v>
      </c>
      <c r="C142" t="s">
        <v>140</v>
      </c>
      <c r="D142" t="s">
        <v>127</v>
      </c>
      <c r="E142" t="s">
        <v>10</v>
      </c>
      <c r="J142" t="s">
        <v>37</v>
      </c>
      <c r="L142" t="s">
        <v>147</v>
      </c>
      <c r="M142">
        <v>0</v>
      </c>
    </row>
    <row r="143" spans="1:13" x14ac:dyDescent="0.35">
      <c r="A143" t="s">
        <v>84</v>
      </c>
      <c r="B143">
        <v>9</v>
      </c>
      <c r="C143" t="s">
        <v>140</v>
      </c>
      <c r="D143" t="s">
        <v>127</v>
      </c>
      <c r="E143" t="s">
        <v>12</v>
      </c>
      <c r="J143" t="s">
        <v>37</v>
      </c>
      <c r="L143" t="s">
        <v>147</v>
      </c>
      <c r="M143">
        <v>0</v>
      </c>
    </row>
    <row r="144" spans="1:13" x14ac:dyDescent="0.35">
      <c r="A144" t="s">
        <v>84</v>
      </c>
      <c r="B144">
        <v>9</v>
      </c>
      <c r="C144" t="s">
        <v>140</v>
      </c>
      <c r="D144" t="s">
        <v>128</v>
      </c>
      <c r="E144" t="s">
        <v>10</v>
      </c>
      <c r="J144" t="s">
        <v>37</v>
      </c>
      <c r="L144" t="s">
        <v>147</v>
      </c>
      <c r="M144">
        <v>0</v>
      </c>
    </row>
    <row r="145" spans="1:13" x14ac:dyDescent="0.35">
      <c r="A145" t="s">
        <v>84</v>
      </c>
      <c r="B145">
        <v>9</v>
      </c>
      <c r="C145" t="s">
        <v>140</v>
      </c>
      <c r="D145" t="s">
        <v>128</v>
      </c>
      <c r="E145" t="s">
        <v>12</v>
      </c>
      <c r="J145" t="s">
        <v>37</v>
      </c>
      <c r="L145" t="s">
        <v>147</v>
      </c>
      <c r="M145">
        <v>0</v>
      </c>
    </row>
    <row r="146" spans="1:13" x14ac:dyDescent="0.35">
      <c r="A146" t="s">
        <v>84</v>
      </c>
      <c r="B146">
        <v>9</v>
      </c>
      <c r="C146" t="s">
        <v>140</v>
      </c>
      <c r="D146" t="s">
        <v>293</v>
      </c>
      <c r="E146" t="s">
        <v>10</v>
      </c>
      <c r="J146" t="s">
        <v>37</v>
      </c>
      <c r="L146" t="s">
        <v>148</v>
      </c>
      <c r="M146">
        <v>0</v>
      </c>
    </row>
    <row r="147" spans="1:13" x14ac:dyDescent="0.35">
      <c r="A147" t="s">
        <v>84</v>
      </c>
      <c r="B147">
        <v>9</v>
      </c>
      <c r="C147" t="s">
        <v>140</v>
      </c>
      <c r="D147" t="s">
        <v>293</v>
      </c>
      <c r="E147" t="s">
        <v>12</v>
      </c>
      <c r="J147" t="s">
        <v>37</v>
      </c>
      <c r="L147" t="s">
        <v>148</v>
      </c>
      <c r="M147">
        <v>0</v>
      </c>
    </row>
    <row r="148" spans="1:13" x14ac:dyDescent="0.35">
      <c r="A148" t="s">
        <v>84</v>
      </c>
      <c r="B148">
        <v>9</v>
      </c>
      <c r="C148" t="s">
        <v>140</v>
      </c>
      <c r="D148" t="s">
        <v>127</v>
      </c>
      <c r="E148" t="s">
        <v>10</v>
      </c>
      <c r="J148" t="s">
        <v>37</v>
      </c>
      <c r="L148" t="s">
        <v>148</v>
      </c>
      <c r="M148">
        <v>0</v>
      </c>
    </row>
    <row r="149" spans="1:13" x14ac:dyDescent="0.35">
      <c r="A149" t="s">
        <v>84</v>
      </c>
      <c r="B149">
        <v>9</v>
      </c>
      <c r="C149" t="s">
        <v>140</v>
      </c>
      <c r="D149" t="s">
        <v>127</v>
      </c>
      <c r="E149" t="s">
        <v>12</v>
      </c>
      <c r="J149" t="s">
        <v>37</v>
      </c>
      <c r="L149" t="s">
        <v>148</v>
      </c>
      <c r="M149">
        <v>0</v>
      </c>
    </row>
    <row r="150" spans="1:13" x14ac:dyDescent="0.35">
      <c r="A150" t="s">
        <v>84</v>
      </c>
      <c r="B150">
        <v>9</v>
      </c>
      <c r="C150" t="s">
        <v>140</v>
      </c>
      <c r="D150" t="s">
        <v>128</v>
      </c>
      <c r="E150" t="s">
        <v>10</v>
      </c>
      <c r="J150" t="s">
        <v>37</v>
      </c>
      <c r="L150" t="s">
        <v>148</v>
      </c>
      <c r="M150">
        <v>0</v>
      </c>
    </row>
    <row r="151" spans="1:13" x14ac:dyDescent="0.35">
      <c r="A151" t="s">
        <v>84</v>
      </c>
      <c r="B151">
        <v>9</v>
      </c>
      <c r="C151" t="s">
        <v>140</v>
      </c>
      <c r="D151" t="s">
        <v>128</v>
      </c>
      <c r="E151" t="s">
        <v>12</v>
      </c>
      <c r="J151" t="s">
        <v>37</v>
      </c>
      <c r="L151" t="s">
        <v>148</v>
      </c>
      <c r="M151">
        <v>0</v>
      </c>
    </row>
    <row r="152" spans="1:13" x14ac:dyDescent="0.35">
      <c r="A152" t="s">
        <v>22</v>
      </c>
      <c r="B152">
        <v>10</v>
      </c>
      <c r="C152" t="s">
        <v>22</v>
      </c>
      <c r="D152" t="s">
        <v>293</v>
      </c>
      <c r="H152" t="s">
        <v>23</v>
      </c>
      <c r="I152" t="s">
        <v>70</v>
      </c>
      <c r="L152" t="s">
        <v>82</v>
      </c>
      <c r="M152">
        <v>105</v>
      </c>
    </row>
    <row r="153" spans="1:13" x14ac:dyDescent="0.35">
      <c r="A153" t="s">
        <v>22</v>
      </c>
      <c r="B153">
        <v>10</v>
      </c>
      <c r="C153" t="s">
        <v>22</v>
      </c>
      <c r="D153" t="s">
        <v>293</v>
      </c>
      <c r="H153" t="s">
        <v>25</v>
      </c>
      <c r="I153" t="s">
        <v>70</v>
      </c>
      <c r="L153" t="s">
        <v>82</v>
      </c>
      <c r="M153">
        <v>156</v>
      </c>
    </row>
    <row r="154" spans="1:13" x14ac:dyDescent="0.35">
      <c r="A154" t="s">
        <v>22</v>
      </c>
      <c r="B154">
        <v>10</v>
      </c>
      <c r="C154" t="s">
        <v>22</v>
      </c>
      <c r="D154" t="s">
        <v>293</v>
      </c>
      <c r="H154" t="s">
        <v>25</v>
      </c>
      <c r="I154" t="s">
        <v>65</v>
      </c>
      <c r="L154" t="s">
        <v>82</v>
      </c>
      <c r="M154">
        <v>50</v>
      </c>
    </row>
    <row r="155" spans="1:13" x14ac:dyDescent="0.35">
      <c r="A155" t="s">
        <v>22</v>
      </c>
      <c r="B155">
        <v>10</v>
      </c>
      <c r="C155" t="s">
        <v>22</v>
      </c>
      <c r="D155" t="s">
        <v>293</v>
      </c>
      <c r="H155" t="s">
        <v>26</v>
      </c>
      <c r="I155" t="s">
        <v>65</v>
      </c>
      <c r="L155" t="s">
        <v>82</v>
      </c>
      <c r="M155">
        <v>11</v>
      </c>
    </row>
    <row r="156" spans="1:13" x14ac:dyDescent="0.35">
      <c r="A156" t="s">
        <v>22</v>
      </c>
      <c r="B156">
        <v>10</v>
      </c>
      <c r="C156" t="s">
        <v>22</v>
      </c>
      <c r="D156" t="s">
        <v>293</v>
      </c>
      <c r="H156" t="s">
        <v>27</v>
      </c>
      <c r="I156" t="s">
        <v>65</v>
      </c>
      <c r="L156" t="s">
        <v>82</v>
      </c>
      <c r="M156">
        <v>222</v>
      </c>
    </row>
    <row r="157" spans="1:13" x14ac:dyDescent="0.35">
      <c r="A157" t="s">
        <v>22</v>
      </c>
      <c r="B157">
        <v>10</v>
      </c>
      <c r="C157" t="s">
        <v>22</v>
      </c>
      <c r="D157" t="s">
        <v>127</v>
      </c>
      <c r="H157" t="s">
        <v>23</v>
      </c>
      <c r="I157" t="s">
        <v>70</v>
      </c>
      <c r="L157" t="s">
        <v>82</v>
      </c>
      <c r="M157">
        <v>105</v>
      </c>
    </row>
    <row r="158" spans="1:13" x14ac:dyDescent="0.35">
      <c r="A158" t="s">
        <v>22</v>
      </c>
      <c r="B158">
        <v>10</v>
      </c>
      <c r="C158" t="s">
        <v>22</v>
      </c>
      <c r="D158" t="s">
        <v>127</v>
      </c>
      <c r="H158" t="s">
        <v>25</v>
      </c>
      <c r="I158" t="s">
        <v>70</v>
      </c>
      <c r="L158" t="s">
        <v>82</v>
      </c>
      <c r="M158">
        <v>156</v>
      </c>
    </row>
    <row r="159" spans="1:13" x14ac:dyDescent="0.35">
      <c r="A159" t="s">
        <v>22</v>
      </c>
      <c r="B159">
        <v>10</v>
      </c>
      <c r="C159" t="s">
        <v>22</v>
      </c>
      <c r="D159" t="s">
        <v>127</v>
      </c>
      <c r="H159" t="s">
        <v>25</v>
      </c>
      <c r="I159" t="s">
        <v>65</v>
      </c>
      <c r="L159" t="s">
        <v>82</v>
      </c>
      <c r="M159">
        <v>50</v>
      </c>
    </row>
    <row r="160" spans="1:13" x14ac:dyDescent="0.35">
      <c r="A160" t="s">
        <v>22</v>
      </c>
      <c r="B160">
        <v>10</v>
      </c>
      <c r="C160" t="s">
        <v>22</v>
      </c>
      <c r="D160" t="s">
        <v>127</v>
      </c>
      <c r="H160" t="s">
        <v>26</v>
      </c>
      <c r="I160" t="s">
        <v>65</v>
      </c>
      <c r="L160" t="s">
        <v>82</v>
      </c>
      <c r="M160">
        <v>11</v>
      </c>
    </row>
    <row r="161" spans="1:13" x14ac:dyDescent="0.35">
      <c r="A161" t="s">
        <v>22</v>
      </c>
      <c r="B161">
        <v>10</v>
      </c>
      <c r="C161" t="s">
        <v>22</v>
      </c>
      <c r="D161" t="s">
        <v>127</v>
      </c>
      <c r="H161" t="s">
        <v>27</v>
      </c>
      <c r="I161" t="s">
        <v>65</v>
      </c>
      <c r="L161" t="s">
        <v>82</v>
      </c>
      <c r="M161">
        <v>222</v>
      </c>
    </row>
    <row r="162" spans="1:13" x14ac:dyDescent="0.35">
      <c r="A162" t="s">
        <v>22</v>
      </c>
      <c r="B162">
        <v>10</v>
      </c>
      <c r="C162" t="s">
        <v>22</v>
      </c>
      <c r="D162" t="s">
        <v>128</v>
      </c>
      <c r="H162" t="s">
        <v>23</v>
      </c>
      <c r="I162" t="s">
        <v>70</v>
      </c>
      <c r="L162" t="s">
        <v>82</v>
      </c>
      <c r="M162">
        <v>105</v>
      </c>
    </row>
    <row r="163" spans="1:13" x14ac:dyDescent="0.35">
      <c r="A163" t="s">
        <v>22</v>
      </c>
      <c r="B163">
        <v>10</v>
      </c>
      <c r="C163" t="s">
        <v>22</v>
      </c>
      <c r="D163" t="s">
        <v>128</v>
      </c>
      <c r="H163" t="s">
        <v>25</v>
      </c>
      <c r="I163" t="s">
        <v>70</v>
      </c>
      <c r="L163" t="s">
        <v>82</v>
      </c>
      <c r="M163">
        <v>156</v>
      </c>
    </row>
    <row r="164" spans="1:13" x14ac:dyDescent="0.35">
      <c r="A164" t="s">
        <v>22</v>
      </c>
      <c r="B164">
        <v>10</v>
      </c>
      <c r="C164" t="s">
        <v>22</v>
      </c>
      <c r="D164" t="s">
        <v>128</v>
      </c>
      <c r="H164" t="s">
        <v>25</v>
      </c>
      <c r="I164" t="s">
        <v>65</v>
      </c>
      <c r="L164" t="s">
        <v>82</v>
      </c>
      <c r="M164">
        <v>50</v>
      </c>
    </row>
    <row r="165" spans="1:13" x14ac:dyDescent="0.35">
      <c r="A165" t="s">
        <v>22</v>
      </c>
      <c r="B165">
        <v>10</v>
      </c>
      <c r="C165" t="s">
        <v>22</v>
      </c>
      <c r="D165" t="s">
        <v>128</v>
      </c>
      <c r="H165" t="s">
        <v>26</v>
      </c>
      <c r="I165" t="s">
        <v>65</v>
      </c>
      <c r="L165" t="s">
        <v>82</v>
      </c>
      <c r="M165">
        <v>11</v>
      </c>
    </row>
    <row r="166" spans="1:13" x14ac:dyDescent="0.35">
      <c r="A166" t="s">
        <v>22</v>
      </c>
      <c r="B166">
        <v>10</v>
      </c>
      <c r="C166" t="s">
        <v>22</v>
      </c>
      <c r="D166" t="s">
        <v>128</v>
      </c>
      <c r="H166" t="s">
        <v>27</v>
      </c>
      <c r="I166" t="s">
        <v>65</v>
      </c>
      <c r="L166" t="s">
        <v>82</v>
      </c>
      <c r="M166">
        <v>222</v>
      </c>
    </row>
    <row r="167" spans="1:13" x14ac:dyDescent="0.35">
      <c r="A167" s="4" t="s">
        <v>20</v>
      </c>
      <c r="B167" s="4">
        <v>11</v>
      </c>
      <c r="C167" s="4" t="s">
        <v>20</v>
      </c>
      <c r="D167" s="4" t="s">
        <v>293</v>
      </c>
      <c r="E167" s="4"/>
      <c r="F167" s="4"/>
      <c r="G167" s="4"/>
      <c r="H167" s="4"/>
      <c r="I167" s="4"/>
      <c r="J167" s="4"/>
      <c r="K167" s="4"/>
      <c r="L167" s="4" t="s">
        <v>211</v>
      </c>
      <c r="M167" s="4">
        <v>0</v>
      </c>
    </row>
    <row r="168" spans="1:13" x14ac:dyDescent="0.35">
      <c r="A168" s="4" t="s">
        <v>20</v>
      </c>
      <c r="B168" s="4">
        <v>11</v>
      </c>
      <c r="C168" s="4" t="s">
        <v>20</v>
      </c>
      <c r="D168" s="4" t="s">
        <v>127</v>
      </c>
      <c r="E168" s="4"/>
      <c r="F168" s="4"/>
      <c r="G168" s="4"/>
      <c r="H168" s="4"/>
      <c r="I168" s="4"/>
      <c r="J168" s="4"/>
      <c r="K168" s="4"/>
      <c r="L168" s="4" t="s">
        <v>211</v>
      </c>
      <c r="M168" s="4">
        <v>0</v>
      </c>
    </row>
    <row r="169" spans="1:13" x14ac:dyDescent="0.35">
      <c r="A169" s="4" t="s">
        <v>20</v>
      </c>
      <c r="B169" s="4">
        <v>11</v>
      </c>
      <c r="C169" s="4" t="s">
        <v>20</v>
      </c>
      <c r="D169" s="4" t="s">
        <v>128</v>
      </c>
      <c r="E169" s="4"/>
      <c r="F169" s="4"/>
      <c r="G169" s="4"/>
      <c r="H169" s="4"/>
      <c r="I169" s="4"/>
      <c r="J169" s="4"/>
      <c r="K169" s="4"/>
      <c r="L169" s="4" t="s">
        <v>211</v>
      </c>
      <c r="M169" s="4">
        <v>0</v>
      </c>
    </row>
    <row r="170" spans="1:13" x14ac:dyDescent="0.35">
      <c r="A170" t="s">
        <v>80</v>
      </c>
      <c r="B170">
        <v>12</v>
      </c>
      <c r="C170" t="s">
        <v>80</v>
      </c>
      <c r="D170" t="s">
        <v>293</v>
      </c>
      <c r="G170" t="s">
        <v>14</v>
      </c>
      <c r="L170" t="s">
        <v>81</v>
      </c>
      <c r="M170">
        <v>44</v>
      </c>
    </row>
    <row r="171" spans="1:13" x14ac:dyDescent="0.35">
      <c r="A171" t="s">
        <v>80</v>
      </c>
      <c r="B171">
        <v>12</v>
      </c>
      <c r="C171" t="s">
        <v>80</v>
      </c>
      <c r="D171" t="s">
        <v>293</v>
      </c>
      <c r="G171" t="s">
        <v>16</v>
      </c>
      <c r="L171" t="s">
        <v>81</v>
      </c>
      <c r="M171">
        <v>78</v>
      </c>
    </row>
    <row r="172" spans="1:13" x14ac:dyDescent="0.35">
      <c r="A172" t="s">
        <v>80</v>
      </c>
      <c r="B172">
        <v>12</v>
      </c>
      <c r="C172" t="s">
        <v>80</v>
      </c>
      <c r="D172" t="s">
        <v>293</v>
      </c>
      <c r="G172" t="s">
        <v>17</v>
      </c>
      <c r="L172" t="s">
        <v>81</v>
      </c>
      <c r="M172">
        <v>14</v>
      </c>
    </row>
    <row r="173" spans="1:13" x14ac:dyDescent="0.35">
      <c r="A173" t="s">
        <v>80</v>
      </c>
      <c r="B173">
        <v>12</v>
      </c>
      <c r="C173" t="s">
        <v>80</v>
      </c>
      <c r="D173" t="s">
        <v>293</v>
      </c>
      <c r="G173" t="s">
        <v>18</v>
      </c>
      <c r="L173" t="s">
        <v>81</v>
      </c>
      <c r="M173">
        <v>70</v>
      </c>
    </row>
    <row r="174" spans="1:13" x14ac:dyDescent="0.35">
      <c r="A174" t="s">
        <v>80</v>
      </c>
      <c r="B174">
        <v>12</v>
      </c>
      <c r="C174" t="s">
        <v>80</v>
      </c>
      <c r="D174" t="s">
        <v>293</v>
      </c>
      <c r="G174" t="s">
        <v>19</v>
      </c>
      <c r="L174" t="s">
        <v>81</v>
      </c>
      <c r="M174">
        <v>45</v>
      </c>
    </row>
    <row r="175" spans="1:13" x14ac:dyDescent="0.35">
      <c r="A175" t="s">
        <v>80</v>
      </c>
      <c r="B175">
        <v>12</v>
      </c>
      <c r="C175" t="s">
        <v>80</v>
      </c>
      <c r="D175" t="s">
        <v>127</v>
      </c>
      <c r="G175" t="s">
        <v>14</v>
      </c>
      <c r="L175" t="s">
        <v>81</v>
      </c>
      <c r="M175">
        <v>44</v>
      </c>
    </row>
    <row r="176" spans="1:13" x14ac:dyDescent="0.35">
      <c r="A176" t="s">
        <v>80</v>
      </c>
      <c r="B176">
        <v>12</v>
      </c>
      <c r="C176" t="s">
        <v>80</v>
      </c>
      <c r="D176" t="s">
        <v>127</v>
      </c>
      <c r="G176" t="s">
        <v>16</v>
      </c>
      <c r="L176" t="s">
        <v>81</v>
      </c>
      <c r="M176">
        <v>78</v>
      </c>
    </row>
    <row r="177" spans="1:13" x14ac:dyDescent="0.35">
      <c r="A177" t="s">
        <v>80</v>
      </c>
      <c r="B177">
        <v>12</v>
      </c>
      <c r="C177" t="s">
        <v>80</v>
      </c>
      <c r="D177" t="s">
        <v>127</v>
      </c>
      <c r="G177" t="s">
        <v>17</v>
      </c>
      <c r="L177" t="s">
        <v>81</v>
      </c>
      <c r="M177">
        <v>14</v>
      </c>
    </row>
    <row r="178" spans="1:13" x14ac:dyDescent="0.35">
      <c r="A178" t="s">
        <v>80</v>
      </c>
      <c r="B178">
        <v>12</v>
      </c>
      <c r="C178" t="s">
        <v>80</v>
      </c>
      <c r="D178" t="s">
        <v>127</v>
      </c>
      <c r="G178" t="s">
        <v>18</v>
      </c>
      <c r="L178" t="s">
        <v>81</v>
      </c>
      <c r="M178">
        <v>70</v>
      </c>
    </row>
    <row r="179" spans="1:13" x14ac:dyDescent="0.35">
      <c r="A179" t="s">
        <v>80</v>
      </c>
      <c r="B179">
        <v>12</v>
      </c>
      <c r="C179" t="s">
        <v>80</v>
      </c>
      <c r="D179" t="s">
        <v>127</v>
      </c>
      <c r="G179" t="s">
        <v>19</v>
      </c>
      <c r="L179" t="s">
        <v>81</v>
      </c>
      <c r="M179">
        <v>45</v>
      </c>
    </row>
    <row r="180" spans="1:13" x14ac:dyDescent="0.35">
      <c r="A180" t="s">
        <v>80</v>
      </c>
      <c r="B180">
        <v>12</v>
      </c>
      <c r="C180" t="s">
        <v>80</v>
      </c>
      <c r="D180" t="s">
        <v>128</v>
      </c>
      <c r="G180" t="s">
        <v>14</v>
      </c>
      <c r="L180" t="s">
        <v>81</v>
      </c>
      <c r="M180">
        <v>44</v>
      </c>
    </row>
    <row r="181" spans="1:13" x14ac:dyDescent="0.35">
      <c r="A181" t="s">
        <v>80</v>
      </c>
      <c r="B181">
        <v>12</v>
      </c>
      <c r="C181" t="s">
        <v>80</v>
      </c>
      <c r="D181" t="s">
        <v>128</v>
      </c>
      <c r="G181" t="s">
        <v>16</v>
      </c>
      <c r="L181" t="s">
        <v>81</v>
      </c>
      <c r="M181">
        <v>78</v>
      </c>
    </row>
    <row r="182" spans="1:13" x14ac:dyDescent="0.35">
      <c r="A182" t="s">
        <v>80</v>
      </c>
      <c r="B182">
        <v>12</v>
      </c>
      <c r="C182" t="s">
        <v>80</v>
      </c>
      <c r="D182" t="s">
        <v>128</v>
      </c>
      <c r="G182" t="s">
        <v>17</v>
      </c>
      <c r="L182" t="s">
        <v>81</v>
      </c>
      <c r="M182">
        <v>14</v>
      </c>
    </row>
    <row r="183" spans="1:13" x14ac:dyDescent="0.35">
      <c r="A183" t="s">
        <v>80</v>
      </c>
      <c r="B183">
        <v>12</v>
      </c>
      <c r="C183" t="s">
        <v>80</v>
      </c>
      <c r="D183" t="s">
        <v>128</v>
      </c>
      <c r="G183" t="s">
        <v>18</v>
      </c>
      <c r="L183" t="s">
        <v>81</v>
      </c>
      <c r="M183">
        <v>70</v>
      </c>
    </row>
    <row r="184" spans="1:13" x14ac:dyDescent="0.35">
      <c r="A184" t="s">
        <v>80</v>
      </c>
      <c r="B184">
        <v>12</v>
      </c>
      <c r="C184" t="s">
        <v>80</v>
      </c>
      <c r="D184" t="s">
        <v>128</v>
      </c>
      <c r="G184" t="s">
        <v>19</v>
      </c>
      <c r="L184" t="s">
        <v>81</v>
      </c>
      <c r="M184">
        <v>45</v>
      </c>
    </row>
    <row r="185" spans="1:13" x14ac:dyDescent="0.35">
      <c r="A185" t="s">
        <v>134</v>
      </c>
      <c r="B185">
        <v>13</v>
      </c>
      <c r="C185" t="s">
        <v>134</v>
      </c>
      <c r="D185" t="s">
        <v>293</v>
      </c>
      <c r="L185" t="s">
        <v>150</v>
      </c>
      <c r="M185">
        <v>42</v>
      </c>
    </row>
    <row r="186" spans="1:13" x14ac:dyDescent="0.35">
      <c r="A186" t="s">
        <v>134</v>
      </c>
      <c r="B186">
        <v>13</v>
      </c>
      <c r="C186" t="s">
        <v>134</v>
      </c>
      <c r="D186" t="s">
        <v>127</v>
      </c>
      <c r="L186" t="s">
        <v>150</v>
      </c>
      <c r="M186">
        <v>43</v>
      </c>
    </row>
    <row r="187" spans="1:13" x14ac:dyDescent="0.35">
      <c r="A187" t="s">
        <v>134</v>
      </c>
      <c r="B187">
        <v>13</v>
      </c>
      <c r="C187" t="s">
        <v>134</v>
      </c>
      <c r="D187" t="s">
        <v>128</v>
      </c>
      <c r="L187" t="s">
        <v>150</v>
      </c>
      <c r="M187">
        <v>44</v>
      </c>
    </row>
    <row r="188" spans="1:13" x14ac:dyDescent="0.35">
      <c r="A188" t="s">
        <v>145</v>
      </c>
      <c r="B188">
        <v>14</v>
      </c>
      <c r="C188" t="s">
        <v>101</v>
      </c>
      <c r="D188" t="s">
        <v>293</v>
      </c>
      <c r="E188" t="s">
        <v>10</v>
      </c>
      <c r="J188" t="s">
        <v>34</v>
      </c>
      <c r="L188" t="s">
        <v>85</v>
      </c>
      <c r="M188">
        <v>100</v>
      </c>
    </row>
    <row r="189" spans="1:13" x14ac:dyDescent="0.35">
      <c r="A189" t="s">
        <v>145</v>
      </c>
      <c r="B189">
        <v>14</v>
      </c>
      <c r="C189" t="s">
        <v>101</v>
      </c>
      <c r="D189" t="s">
        <v>293</v>
      </c>
      <c r="E189" t="s">
        <v>12</v>
      </c>
      <c r="J189" t="s">
        <v>34</v>
      </c>
      <c r="L189" t="s">
        <v>85</v>
      </c>
      <c r="M189">
        <v>100</v>
      </c>
    </row>
    <row r="190" spans="1:13" x14ac:dyDescent="0.35">
      <c r="A190" t="s">
        <v>145</v>
      </c>
      <c r="B190">
        <v>14</v>
      </c>
      <c r="C190" t="s">
        <v>101</v>
      </c>
      <c r="D190" t="s">
        <v>293</v>
      </c>
      <c r="E190" t="s">
        <v>10</v>
      </c>
      <c r="J190" t="s">
        <v>37</v>
      </c>
      <c r="L190" t="s">
        <v>85</v>
      </c>
      <c r="M190">
        <v>100</v>
      </c>
    </row>
    <row r="191" spans="1:13" x14ac:dyDescent="0.35">
      <c r="A191" t="s">
        <v>145</v>
      </c>
      <c r="B191">
        <v>14</v>
      </c>
      <c r="C191" t="s">
        <v>101</v>
      </c>
      <c r="D191" t="s">
        <v>293</v>
      </c>
      <c r="E191" t="s">
        <v>12</v>
      </c>
      <c r="J191" t="s">
        <v>37</v>
      </c>
      <c r="L191" t="s">
        <v>85</v>
      </c>
      <c r="M191">
        <v>100</v>
      </c>
    </row>
    <row r="192" spans="1:13" x14ac:dyDescent="0.35">
      <c r="A192" t="s">
        <v>145</v>
      </c>
      <c r="B192">
        <v>14</v>
      </c>
      <c r="C192" t="s">
        <v>101</v>
      </c>
      <c r="D192" t="s">
        <v>127</v>
      </c>
      <c r="E192" t="s">
        <v>10</v>
      </c>
      <c r="J192" t="s">
        <v>34</v>
      </c>
      <c r="L192" t="s">
        <v>85</v>
      </c>
      <c r="M192">
        <v>100</v>
      </c>
    </row>
    <row r="193" spans="1:13" x14ac:dyDescent="0.35">
      <c r="A193" t="s">
        <v>145</v>
      </c>
      <c r="B193">
        <v>14</v>
      </c>
      <c r="C193" t="s">
        <v>101</v>
      </c>
      <c r="D193" t="s">
        <v>127</v>
      </c>
      <c r="E193" t="s">
        <v>12</v>
      </c>
      <c r="J193" t="s">
        <v>34</v>
      </c>
      <c r="L193" t="s">
        <v>85</v>
      </c>
      <c r="M193">
        <v>100</v>
      </c>
    </row>
    <row r="194" spans="1:13" x14ac:dyDescent="0.35">
      <c r="A194" t="s">
        <v>145</v>
      </c>
      <c r="B194">
        <v>14</v>
      </c>
      <c r="C194" t="s">
        <v>101</v>
      </c>
      <c r="D194" t="s">
        <v>127</v>
      </c>
      <c r="E194" t="s">
        <v>10</v>
      </c>
      <c r="J194" t="s">
        <v>37</v>
      </c>
      <c r="L194" t="s">
        <v>85</v>
      </c>
      <c r="M194">
        <v>100</v>
      </c>
    </row>
    <row r="195" spans="1:13" x14ac:dyDescent="0.35">
      <c r="A195" t="s">
        <v>145</v>
      </c>
      <c r="B195">
        <v>14</v>
      </c>
      <c r="C195" t="s">
        <v>101</v>
      </c>
      <c r="D195" t="s">
        <v>127</v>
      </c>
      <c r="E195" t="s">
        <v>12</v>
      </c>
      <c r="J195" t="s">
        <v>37</v>
      </c>
      <c r="L195" t="s">
        <v>85</v>
      </c>
      <c r="M195">
        <v>100</v>
      </c>
    </row>
    <row r="196" spans="1:13" x14ac:dyDescent="0.35">
      <c r="A196" t="s">
        <v>145</v>
      </c>
      <c r="B196">
        <v>14</v>
      </c>
      <c r="C196" t="s">
        <v>101</v>
      </c>
      <c r="D196" t="s">
        <v>128</v>
      </c>
      <c r="E196" t="s">
        <v>10</v>
      </c>
      <c r="J196" t="s">
        <v>34</v>
      </c>
      <c r="L196" t="s">
        <v>85</v>
      </c>
      <c r="M196">
        <v>100</v>
      </c>
    </row>
    <row r="197" spans="1:13" x14ac:dyDescent="0.35">
      <c r="A197" t="s">
        <v>145</v>
      </c>
      <c r="B197">
        <v>14</v>
      </c>
      <c r="C197" t="s">
        <v>101</v>
      </c>
      <c r="D197" t="s">
        <v>128</v>
      </c>
      <c r="E197" t="s">
        <v>12</v>
      </c>
      <c r="J197" t="s">
        <v>34</v>
      </c>
      <c r="L197" t="s">
        <v>85</v>
      </c>
      <c r="M197">
        <v>100</v>
      </c>
    </row>
    <row r="198" spans="1:13" x14ac:dyDescent="0.35">
      <c r="A198" t="s">
        <v>145</v>
      </c>
      <c r="B198">
        <v>14</v>
      </c>
      <c r="C198" t="s">
        <v>101</v>
      </c>
      <c r="D198" t="s">
        <v>128</v>
      </c>
      <c r="E198" t="s">
        <v>10</v>
      </c>
      <c r="J198" t="s">
        <v>37</v>
      </c>
      <c r="L198" t="s">
        <v>85</v>
      </c>
      <c r="M198">
        <v>100</v>
      </c>
    </row>
    <row r="199" spans="1:13" x14ac:dyDescent="0.35">
      <c r="A199" t="s">
        <v>145</v>
      </c>
      <c r="B199">
        <v>14</v>
      </c>
      <c r="C199" t="s">
        <v>101</v>
      </c>
      <c r="D199" t="s">
        <v>128</v>
      </c>
      <c r="E199" t="s">
        <v>12</v>
      </c>
      <c r="J199" t="s">
        <v>37</v>
      </c>
      <c r="L199" t="s">
        <v>85</v>
      </c>
      <c r="M199">
        <v>100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M91"/>
  <sheetViews>
    <sheetView showGridLines="0" tabSelected="1" zoomScaleNormal="100" workbookViewId="0">
      <selection activeCell="O59" sqref="O59"/>
    </sheetView>
  </sheetViews>
  <sheetFormatPr defaultRowHeight="14.5" x14ac:dyDescent="0.35"/>
  <cols>
    <col min="1" max="1" width="39.54296875" bestFit="1" customWidth="1"/>
    <col min="2" max="4" width="39.54296875" customWidth="1"/>
    <col min="5" max="5" width="11.54296875" customWidth="1"/>
    <col min="6" max="6" width="30.54296875" customWidth="1"/>
    <col min="7" max="7" width="12.54296875" customWidth="1"/>
    <col min="8" max="8" width="17.36328125" customWidth="1"/>
    <col min="9" max="9" width="14.54296875" customWidth="1"/>
    <col min="10" max="10" width="16.36328125" customWidth="1"/>
    <col min="11" max="12" width="11" customWidth="1"/>
    <col min="13" max="13" width="30.08984375" bestFit="1" customWidth="1"/>
  </cols>
  <sheetData>
    <row r="1" spans="1:13" x14ac:dyDescent="0.35">
      <c r="A1" s="1" t="s">
        <v>0</v>
      </c>
      <c r="B1" s="1" t="s">
        <v>149</v>
      </c>
      <c r="C1" s="1" t="s">
        <v>137</v>
      </c>
      <c r="D1" s="1" t="s">
        <v>189</v>
      </c>
      <c r="E1" s="1" t="s">
        <v>1</v>
      </c>
      <c r="F1" s="1" t="s">
        <v>2</v>
      </c>
      <c r="G1" s="1" t="s">
        <v>281</v>
      </c>
      <c r="H1" s="1" t="s">
        <v>4</v>
      </c>
      <c r="I1" s="1" t="s">
        <v>5</v>
      </c>
      <c r="J1" s="1" t="s">
        <v>6</v>
      </c>
      <c r="K1" s="1" t="s">
        <v>7</v>
      </c>
      <c r="L1" s="5" t="s">
        <v>177</v>
      </c>
      <c r="M1" t="s">
        <v>98</v>
      </c>
    </row>
    <row r="2" spans="1:13" x14ac:dyDescent="0.35">
      <c r="A2" t="s">
        <v>8</v>
      </c>
      <c r="B2">
        <v>1</v>
      </c>
      <c r="C2" t="s">
        <v>8</v>
      </c>
      <c r="G2" t="s">
        <v>287</v>
      </c>
      <c r="L2" t="s">
        <v>48</v>
      </c>
      <c r="M2">
        <v>365</v>
      </c>
    </row>
    <row r="3" spans="1:13" x14ac:dyDescent="0.35">
      <c r="A3" t="s">
        <v>8</v>
      </c>
      <c r="B3">
        <v>1</v>
      </c>
      <c r="C3" t="s">
        <v>8</v>
      </c>
      <c r="G3" t="s">
        <v>71</v>
      </c>
      <c r="L3" t="s">
        <v>43</v>
      </c>
      <c r="M3">
        <v>0.7</v>
      </c>
    </row>
    <row r="4" spans="1:13" x14ac:dyDescent="0.35">
      <c r="A4" t="s">
        <v>8</v>
      </c>
      <c r="B4">
        <v>1</v>
      </c>
      <c r="C4" t="s">
        <v>8</v>
      </c>
      <c r="G4" t="s">
        <v>72</v>
      </c>
      <c r="L4" t="s">
        <v>43</v>
      </c>
      <c r="M4">
        <v>2.2999999999999998</v>
      </c>
    </row>
    <row r="5" spans="1:13" x14ac:dyDescent="0.35">
      <c r="A5" t="s">
        <v>8</v>
      </c>
      <c r="B5">
        <v>1</v>
      </c>
      <c r="C5" t="s">
        <v>8</v>
      </c>
      <c r="G5" t="s">
        <v>283</v>
      </c>
      <c r="L5" t="s">
        <v>9</v>
      </c>
      <c r="M5">
        <v>0.47249999999999998</v>
      </c>
    </row>
    <row r="6" spans="1:13" x14ac:dyDescent="0.35">
      <c r="A6" t="s">
        <v>8</v>
      </c>
      <c r="B6">
        <v>1</v>
      </c>
      <c r="C6" t="s">
        <v>8</v>
      </c>
      <c r="G6" t="s">
        <v>284</v>
      </c>
      <c r="L6" t="s">
        <v>9</v>
      </c>
      <c r="M6">
        <v>0.59249999999999992</v>
      </c>
    </row>
    <row r="7" spans="1:13" x14ac:dyDescent="0.35">
      <c r="A7" t="s">
        <v>8</v>
      </c>
      <c r="B7">
        <v>1</v>
      </c>
      <c r="C7" t="s">
        <v>8</v>
      </c>
      <c r="G7" t="s">
        <v>285</v>
      </c>
      <c r="L7" t="s">
        <v>9</v>
      </c>
      <c r="M7">
        <v>0.6</v>
      </c>
    </row>
    <row r="8" spans="1:13" x14ac:dyDescent="0.35">
      <c r="A8" t="s">
        <v>8</v>
      </c>
      <c r="B8">
        <v>1</v>
      </c>
      <c r="C8" t="s">
        <v>8</v>
      </c>
      <c r="G8" t="s">
        <v>286</v>
      </c>
      <c r="L8" t="s">
        <v>9</v>
      </c>
      <c r="M8">
        <v>0.75</v>
      </c>
    </row>
    <row r="9" spans="1:13" x14ac:dyDescent="0.35">
      <c r="A9" t="s">
        <v>45</v>
      </c>
      <c r="B9">
        <v>3</v>
      </c>
      <c r="C9" t="s">
        <v>160</v>
      </c>
      <c r="G9" t="s">
        <v>291</v>
      </c>
      <c r="L9" t="s">
        <v>48</v>
      </c>
      <c r="M9">
        <v>250</v>
      </c>
    </row>
    <row r="10" spans="1:13" x14ac:dyDescent="0.35">
      <c r="A10" t="s">
        <v>45</v>
      </c>
      <c r="B10">
        <v>3</v>
      </c>
      <c r="C10" t="s">
        <v>160</v>
      </c>
      <c r="G10" t="s">
        <v>291</v>
      </c>
      <c r="L10" t="s">
        <v>46</v>
      </c>
      <c r="M10">
        <v>0.05</v>
      </c>
    </row>
    <row r="11" spans="1:13" x14ac:dyDescent="0.35">
      <c r="A11" t="s">
        <v>45</v>
      </c>
      <c r="B11">
        <v>3</v>
      </c>
      <c r="C11" t="s">
        <v>160</v>
      </c>
      <c r="G11" t="s">
        <v>291</v>
      </c>
      <c r="L11" t="s">
        <v>47</v>
      </c>
      <c r="M11">
        <v>12.7</v>
      </c>
    </row>
    <row r="12" spans="1:13" x14ac:dyDescent="0.35">
      <c r="A12" t="s">
        <v>39</v>
      </c>
      <c r="B12">
        <v>4</v>
      </c>
      <c r="C12" t="s">
        <v>39</v>
      </c>
      <c r="G12" t="s">
        <v>155</v>
      </c>
      <c r="L12" t="s">
        <v>43</v>
      </c>
      <c r="M12">
        <v>9.3000000000000007</v>
      </c>
    </row>
    <row r="13" spans="1:13" x14ac:dyDescent="0.35">
      <c r="A13" t="s">
        <v>39</v>
      </c>
      <c r="B13">
        <v>4</v>
      </c>
      <c r="C13" t="s">
        <v>39</v>
      </c>
      <c r="G13" t="s">
        <v>155</v>
      </c>
      <c r="L13" t="s">
        <v>42</v>
      </c>
      <c r="M13">
        <v>5.74</v>
      </c>
    </row>
    <row r="14" spans="1:13" x14ac:dyDescent="0.35">
      <c r="A14" t="s">
        <v>39</v>
      </c>
      <c r="B14">
        <v>4</v>
      </c>
      <c r="C14" t="s">
        <v>39</v>
      </c>
      <c r="G14" t="s">
        <v>155</v>
      </c>
      <c r="L14" t="s">
        <v>40</v>
      </c>
      <c r="M14">
        <v>1500</v>
      </c>
    </row>
    <row r="15" spans="1:13" x14ac:dyDescent="0.35">
      <c r="A15" t="s">
        <v>39</v>
      </c>
      <c r="B15">
        <v>4</v>
      </c>
      <c r="C15" t="s">
        <v>39</v>
      </c>
      <c r="G15" t="s">
        <v>155</v>
      </c>
      <c r="L15" t="s">
        <v>44</v>
      </c>
      <c r="M15">
        <v>0.27700000000000002</v>
      </c>
    </row>
    <row r="16" spans="1:13" x14ac:dyDescent="0.35">
      <c r="A16" t="s">
        <v>39</v>
      </c>
      <c r="B16">
        <v>4</v>
      </c>
      <c r="C16" t="s">
        <v>39</v>
      </c>
      <c r="G16" t="s">
        <v>155</v>
      </c>
      <c r="L16" t="s">
        <v>41</v>
      </c>
      <c r="M16">
        <v>0.5</v>
      </c>
    </row>
    <row r="17" spans="1:13" x14ac:dyDescent="0.35">
      <c r="A17" t="s">
        <v>28</v>
      </c>
      <c r="B17">
        <v>5</v>
      </c>
      <c r="C17" t="s">
        <v>169</v>
      </c>
      <c r="E17" t="s">
        <v>10</v>
      </c>
      <c r="I17" t="s">
        <v>29</v>
      </c>
      <c r="L17" t="s">
        <v>30</v>
      </c>
      <c r="M17">
        <v>28835.152377985909</v>
      </c>
    </row>
    <row r="18" spans="1:13" x14ac:dyDescent="0.35">
      <c r="A18" t="s">
        <v>28</v>
      </c>
      <c r="B18">
        <v>5</v>
      </c>
      <c r="C18" t="s">
        <v>169</v>
      </c>
      <c r="E18" t="s">
        <v>12</v>
      </c>
      <c r="I18" t="s">
        <v>29</v>
      </c>
      <c r="L18" t="s">
        <v>30</v>
      </c>
      <c r="M18">
        <v>17447.589560403594</v>
      </c>
    </row>
    <row r="19" spans="1:13" x14ac:dyDescent="0.35">
      <c r="A19" t="s">
        <v>28</v>
      </c>
      <c r="B19">
        <v>5</v>
      </c>
      <c r="C19" t="s">
        <v>169</v>
      </c>
      <c r="E19" t="s">
        <v>10</v>
      </c>
      <c r="I19" t="s">
        <v>29</v>
      </c>
      <c r="L19" t="s">
        <v>32</v>
      </c>
      <c r="M19">
        <v>43</v>
      </c>
    </row>
    <row r="20" spans="1:13" x14ac:dyDescent="0.35">
      <c r="A20" t="s">
        <v>28</v>
      </c>
      <c r="B20">
        <v>5</v>
      </c>
      <c r="C20" t="s">
        <v>169</v>
      </c>
      <c r="E20" t="s">
        <v>12</v>
      </c>
      <c r="I20" t="s">
        <v>29</v>
      </c>
      <c r="L20" t="s">
        <v>32</v>
      </c>
      <c r="M20">
        <v>60</v>
      </c>
    </row>
    <row r="21" spans="1:13" x14ac:dyDescent="0.35">
      <c r="A21" t="s">
        <v>28</v>
      </c>
      <c r="B21">
        <v>5</v>
      </c>
      <c r="C21" t="s">
        <v>169</v>
      </c>
      <c r="E21" t="s">
        <v>10</v>
      </c>
      <c r="I21" t="s">
        <v>34</v>
      </c>
      <c r="L21" t="s">
        <v>32</v>
      </c>
      <c r="M21">
        <v>71</v>
      </c>
    </row>
    <row r="22" spans="1:13" x14ac:dyDescent="0.35">
      <c r="A22" t="s">
        <v>28</v>
      </c>
      <c r="B22">
        <v>5</v>
      </c>
      <c r="C22" t="s">
        <v>169</v>
      </c>
      <c r="E22" t="s">
        <v>12</v>
      </c>
      <c r="I22" t="s">
        <v>34</v>
      </c>
      <c r="L22" t="s">
        <v>32</v>
      </c>
      <c r="M22">
        <v>72</v>
      </c>
    </row>
    <row r="23" spans="1:13" x14ac:dyDescent="0.35">
      <c r="A23" t="s">
        <v>28</v>
      </c>
      <c r="B23">
        <v>5</v>
      </c>
      <c r="C23" t="s">
        <v>169</v>
      </c>
      <c r="E23" t="s">
        <v>33</v>
      </c>
      <c r="I23" t="s">
        <v>34</v>
      </c>
      <c r="L23" t="s">
        <v>35</v>
      </c>
      <c r="M23">
        <v>0.18</v>
      </c>
    </row>
    <row r="24" spans="1:13" x14ac:dyDescent="0.35">
      <c r="A24" t="s">
        <v>28</v>
      </c>
      <c r="B24">
        <v>5</v>
      </c>
      <c r="C24" t="s">
        <v>169</v>
      </c>
      <c r="E24" t="s">
        <v>33</v>
      </c>
      <c r="I24" t="s">
        <v>37</v>
      </c>
      <c r="L24" t="s">
        <v>35</v>
      </c>
      <c r="M24">
        <v>0.1</v>
      </c>
    </row>
    <row r="25" spans="1:13" x14ac:dyDescent="0.35">
      <c r="A25" t="s">
        <v>28</v>
      </c>
      <c r="B25">
        <v>5</v>
      </c>
      <c r="C25" t="s">
        <v>169</v>
      </c>
      <c r="E25" t="s">
        <v>33</v>
      </c>
      <c r="I25" t="s">
        <v>34</v>
      </c>
      <c r="L25" t="s">
        <v>36</v>
      </c>
      <c r="M25">
        <v>1</v>
      </c>
    </row>
    <row r="26" spans="1:13" x14ac:dyDescent="0.35">
      <c r="A26" t="s">
        <v>28</v>
      </c>
      <c r="B26">
        <v>5</v>
      </c>
      <c r="C26" t="s">
        <v>169</v>
      </c>
      <c r="E26" t="s">
        <v>33</v>
      </c>
      <c r="I26" t="s">
        <v>37</v>
      </c>
      <c r="L26" t="s">
        <v>36</v>
      </c>
      <c r="M26">
        <v>0.75</v>
      </c>
    </row>
    <row r="27" spans="1:13" x14ac:dyDescent="0.35">
      <c r="A27" t="s">
        <v>28</v>
      </c>
      <c r="B27">
        <v>5</v>
      </c>
      <c r="C27" t="s">
        <v>169</v>
      </c>
      <c r="E27" t="s">
        <v>10</v>
      </c>
      <c r="I27" t="s">
        <v>33</v>
      </c>
      <c r="L27" t="s">
        <v>38</v>
      </c>
      <c r="M27">
        <v>-0.3</v>
      </c>
    </row>
    <row r="28" spans="1:13" x14ac:dyDescent="0.35">
      <c r="A28" t="s">
        <v>28</v>
      </c>
      <c r="B28">
        <v>5</v>
      </c>
      <c r="C28" t="s">
        <v>169</v>
      </c>
      <c r="E28" t="s">
        <v>12</v>
      </c>
      <c r="I28" t="s">
        <v>33</v>
      </c>
      <c r="L28" t="s">
        <v>38</v>
      </c>
      <c r="M28">
        <v>-0.3</v>
      </c>
    </row>
    <row r="29" spans="1:13" x14ac:dyDescent="0.35">
      <c r="A29" t="s">
        <v>28</v>
      </c>
      <c r="B29">
        <v>5</v>
      </c>
      <c r="C29" t="s">
        <v>169</v>
      </c>
      <c r="E29" t="s">
        <v>10</v>
      </c>
      <c r="I29" t="s">
        <v>29</v>
      </c>
      <c r="L29" t="s">
        <v>31</v>
      </c>
      <c r="M29">
        <v>5454.1490292354583</v>
      </c>
    </row>
    <row r="30" spans="1:13" x14ac:dyDescent="0.35">
      <c r="A30" t="s">
        <v>28</v>
      </c>
      <c r="B30">
        <v>5</v>
      </c>
      <c r="C30" t="s">
        <v>169</v>
      </c>
      <c r="E30" t="s">
        <v>12</v>
      </c>
      <c r="I30" t="s">
        <v>29</v>
      </c>
      <c r="L30" t="s">
        <v>31</v>
      </c>
      <c r="M30">
        <v>2265.3440244453095</v>
      </c>
    </row>
    <row r="31" spans="1:13" x14ac:dyDescent="0.35">
      <c r="A31" t="s">
        <v>28</v>
      </c>
      <c r="B31">
        <v>5</v>
      </c>
      <c r="C31" t="s">
        <v>169</v>
      </c>
      <c r="E31" t="s">
        <v>10</v>
      </c>
      <c r="I31" t="s">
        <v>34</v>
      </c>
      <c r="L31" t="s">
        <v>31</v>
      </c>
      <c r="M31">
        <v>20213.868050974328</v>
      </c>
    </row>
    <row r="32" spans="1:13" x14ac:dyDescent="0.35">
      <c r="A32" t="s">
        <v>28</v>
      </c>
      <c r="B32">
        <v>5</v>
      </c>
      <c r="C32" t="s">
        <v>169</v>
      </c>
      <c r="E32" t="s">
        <v>12</v>
      </c>
      <c r="I32" t="s">
        <v>34</v>
      </c>
      <c r="L32" t="s">
        <v>31</v>
      </c>
      <c r="M32">
        <v>8617.6405996773447</v>
      </c>
    </row>
    <row r="33" spans="1:13" x14ac:dyDescent="0.35">
      <c r="A33" t="s">
        <v>22</v>
      </c>
      <c r="B33">
        <v>6</v>
      </c>
      <c r="C33" t="s">
        <v>22</v>
      </c>
      <c r="H33" t="s">
        <v>23</v>
      </c>
      <c r="L33" t="s">
        <v>24</v>
      </c>
      <c r="M33">
        <v>10332.716678401948</v>
      </c>
    </row>
    <row r="34" spans="1:13" x14ac:dyDescent="0.35">
      <c r="A34" t="s">
        <v>22</v>
      </c>
      <c r="B34">
        <v>6</v>
      </c>
      <c r="C34" t="s">
        <v>22</v>
      </c>
      <c r="H34" t="s">
        <v>25</v>
      </c>
      <c r="L34" t="s">
        <v>24</v>
      </c>
      <c r="M34">
        <v>15008.384525421716</v>
      </c>
    </row>
    <row r="35" spans="1:13" x14ac:dyDescent="0.35">
      <c r="A35" t="s">
        <v>22</v>
      </c>
      <c r="B35">
        <v>6</v>
      </c>
      <c r="C35" t="s">
        <v>22</v>
      </c>
      <c r="H35" t="s">
        <v>26</v>
      </c>
      <c r="L35" t="s">
        <v>24</v>
      </c>
      <c r="M35">
        <v>33694.611571910202</v>
      </c>
    </row>
    <row r="36" spans="1:13" x14ac:dyDescent="0.35">
      <c r="A36" t="s">
        <v>22</v>
      </c>
      <c r="B36">
        <v>6</v>
      </c>
      <c r="C36" t="s">
        <v>22</v>
      </c>
      <c r="H36" t="s">
        <v>27</v>
      </c>
      <c r="L36" t="s">
        <v>24</v>
      </c>
      <c r="M36">
        <v>12000</v>
      </c>
    </row>
    <row r="37" spans="1:13" x14ac:dyDescent="0.35">
      <c r="A37" t="s">
        <v>20</v>
      </c>
      <c r="B37">
        <v>7</v>
      </c>
      <c r="C37" t="s">
        <v>179</v>
      </c>
      <c r="L37" t="s">
        <v>21</v>
      </c>
      <c r="M37">
        <v>0.25</v>
      </c>
    </row>
    <row r="38" spans="1:13" x14ac:dyDescent="0.35">
      <c r="A38" t="s">
        <v>13</v>
      </c>
      <c r="B38">
        <v>8</v>
      </c>
      <c r="C38" t="s">
        <v>80</v>
      </c>
      <c r="F38" t="s">
        <v>14</v>
      </c>
      <c r="L38" t="s">
        <v>15</v>
      </c>
      <c r="M38">
        <v>1</v>
      </c>
    </row>
    <row r="39" spans="1:13" x14ac:dyDescent="0.35">
      <c r="A39" t="s">
        <v>13</v>
      </c>
      <c r="B39">
        <v>8</v>
      </c>
      <c r="C39" t="s">
        <v>80</v>
      </c>
      <c r="F39" t="s">
        <v>16</v>
      </c>
      <c r="L39" t="s">
        <v>15</v>
      </c>
      <c r="M39">
        <v>5</v>
      </c>
    </row>
    <row r="40" spans="1:13" x14ac:dyDescent="0.35">
      <c r="A40" t="s">
        <v>13</v>
      </c>
      <c r="B40">
        <v>8</v>
      </c>
      <c r="C40" t="s">
        <v>80</v>
      </c>
      <c r="F40" t="s">
        <v>17</v>
      </c>
      <c r="L40" t="s">
        <v>15</v>
      </c>
      <c r="M40">
        <v>5</v>
      </c>
    </row>
    <row r="41" spans="1:13" x14ac:dyDescent="0.35">
      <c r="A41" t="s">
        <v>13</v>
      </c>
      <c r="B41">
        <v>8</v>
      </c>
      <c r="C41" t="s">
        <v>80</v>
      </c>
      <c r="F41" t="s">
        <v>18</v>
      </c>
      <c r="L41" t="s">
        <v>15</v>
      </c>
      <c r="M41">
        <v>2</v>
      </c>
    </row>
    <row r="42" spans="1:13" x14ac:dyDescent="0.35">
      <c r="A42" t="s">
        <v>13</v>
      </c>
      <c r="B42">
        <v>8</v>
      </c>
      <c r="C42" t="s">
        <v>80</v>
      </c>
      <c r="F42" t="s">
        <v>19</v>
      </c>
      <c r="L42" t="s">
        <v>15</v>
      </c>
      <c r="M42">
        <v>2</v>
      </c>
    </row>
    <row r="43" spans="1:13" x14ac:dyDescent="0.35">
      <c r="A43" t="s">
        <v>49</v>
      </c>
      <c r="B43">
        <v>2</v>
      </c>
      <c r="C43" t="s">
        <v>49</v>
      </c>
      <c r="D43" t="s">
        <v>193</v>
      </c>
      <c r="E43" t="s">
        <v>10</v>
      </c>
      <c r="J43" t="s">
        <v>56</v>
      </c>
      <c r="L43" t="s">
        <v>57</v>
      </c>
      <c r="M43">
        <v>8.7064741214944306</v>
      </c>
    </row>
    <row r="44" spans="1:13" x14ac:dyDescent="0.35">
      <c r="A44" t="s">
        <v>49</v>
      </c>
      <c r="B44">
        <v>2</v>
      </c>
      <c r="C44" t="s">
        <v>49</v>
      </c>
      <c r="D44" t="s">
        <v>193</v>
      </c>
      <c r="E44" t="s">
        <v>12</v>
      </c>
      <c r="J44" t="s">
        <v>56</v>
      </c>
      <c r="L44" t="s">
        <v>57</v>
      </c>
      <c r="M44">
        <v>5.9971295125527684</v>
      </c>
    </row>
    <row r="45" spans="1:13" x14ac:dyDescent="0.35">
      <c r="A45" t="s">
        <v>49</v>
      </c>
      <c r="B45">
        <v>2</v>
      </c>
      <c r="C45" t="s">
        <v>49</v>
      </c>
      <c r="D45" t="s">
        <v>193</v>
      </c>
      <c r="E45" t="s">
        <v>10</v>
      </c>
      <c r="J45" t="s">
        <v>59</v>
      </c>
      <c r="L45" t="s">
        <v>57</v>
      </c>
      <c r="M45">
        <v>1.1264220020975759</v>
      </c>
    </row>
    <row r="46" spans="1:13" x14ac:dyDescent="0.35">
      <c r="A46" t="s">
        <v>49</v>
      </c>
      <c r="B46">
        <v>2</v>
      </c>
      <c r="C46" t="s">
        <v>49</v>
      </c>
      <c r="D46" t="s">
        <v>193</v>
      </c>
      <c r="E46" t="s">
        <v>12</v>
      </c>
      <c r="J46" t="s">
        <v>59</v>
      </c>
      <c r="L46" t="s">
        <v>57</v>
      </c>
      <c r="M46">
        <v>1.6007310428935415</v>
      </c>
    </row>
    <row r="47" spans="1:13" x14ac:dyDescent="0.35">
      <c r="A47" t="s">
        <v>49</v>
      </c>
      <c r="B47">
        <v>2</v>
      </c>
      <c r="C47" t="s">
        <v>49</v>
      </c>
      <c r="D47" t="s">
        <v>193</v>
      </c>
      <c r="E47" t="s">
        <v>33</v>
      </c>
      <c r="J47" t="s">
        <v>60</v>
      </c>
      <c r="L47" t="s">
        <v>57</v>
      </c>
      <c r="M47">
        <v>15.699592556616064</v>
      </c>
    </row>
    <row r="48" spans="1:13" x14ac:dyDescent="0.35">
      <c r="A48" t="s">
        <v>49</v>
      </c>
      <c r="B48">
        <v>2</v>
      </c>
      <c r="C48" t="s">
        <v>49</v>
      </c>
      <c r="D48" t="s">
        <v>193</v>
      </c>
      <c r="E48" t="s">
        <v>33</v>
      </c>
      <c r="J48" t="s">
        <v>61</v>
      </c>
      <c r="L48" t="s">
        <v>57</v>
      </c>
      <c r="M48">
        <v>13.186207999692673</v>
      </c>
    </row>
    <row r="49" spans="1:13" x14ac:dyDescent="0.35">
      <c r="A49" t="s">
        <v>49</v>
      </c>
      <c r="B49">
        <v>2</v>
      </c>
      <c r="C49" t="s">
        <v>49</v>
      </c>
      <c r="D49" t="s">
        <v>193</v>
      </c>
      <c r="E49" t="s">
        <v>33</v>
      </c>
      <c r="J49" t="s">
        <v>62</v>
      </c>
      <c r="L49" t="s">
        <v>57</v>
      </c>
      <c r="M49">
        <v>7.4129098007451137</v>
      </c>
    </row>
    <row r="50" spans="1:13" x14ac:dyDescent="0.35">
      <c r="A50" t="s">
        <v>49</v>
      </c>
      <c r="B50">
        <v>2</v>
      </c>
      <c r="C50" t="s">
        <v>49</v>
      </c>
      <c r="D50" t="s">
        <v>193</v>
      </c>
      <c r="E50" t="s">
        <v>33</v>
      </c>
      <c r="J50" t="s">
        <v>63</v>
      </c>
      <c r="L50" t="s">
        <v>57</v>
      </c>
      <c r="M50">
        <v>40.797256605599621</v>
      </c>
    </row>
    <row r="51" spans="1:13" x14ac:dyDescent="0.35">
      <c r="A51" t="s">
        <v>49</v>
      </c>
      <c r="B51">
        <v>2</v>
      </c>
      <c r="C51" t="s">
        <v>49</v>
      </c>
      <c r="D51" t="s">
        <v>192</v>
      </c>
      <c r="E51" t="s">
        <v>10</v>
      </c>
      <c r="J51" t="s">
        <v>56</v>
      </c>
      <c r="L51" t="s">
        <v>43</v>
      </c>
      <c r="M51">
        <v>4.1328553316289787</v>
      </c>
    </row>
    <row r="52" spans="1:13" x14ac:dyDescent="0.35">
      <c r="A52" t="s">
        <v>49</v>
      </c>
      <c r="B52">
        <v>2</v>
      </c>
      <c r="C52" t="s">
        <v>49</v>
      </c>
      <c r="D52" t="s">
        <v>192</v>
      </c>
      <c r="E52" t="s">
        <v>12</v>
      </c>
      <c r="J52" t="s">
        <v>56</v>
      </c>
      <c r="L52" t="s">
        <v>43</v>
      </c>
      <c r="M52">
        <v>4.1328553316289787</v>
      </c>
    </row>
    <row r="53" spans="1:13" x14ac:dyDescent="0.35">
      <c r="A53" t="s">
        <v>49</v>
      </c>
      <c r="B53">
        <v>2</v>
      </c>
      <c r="C53" t="s">
        <v>49</v>
      </c>
      <c r="D53" t="s">
        <v>192</v>
      </c>
      <c r="E53" t="s">
        <v>10</v>
      </c>
      <c r="J53" t="s">
        <v>59</v>
      </c>
      <c r="L53" t="s">
        <v>43</v>
      </c>
      <c r="M53">
        <v>9.937972153462713</v>
      </c>
    </row>
    <row r="54" spans="1:13" x14ac:dyDescent="0.35">
      <c r="A54" t="s">
        <v>49</v>
      </c>
      <c r="B54">
        <v>2</v>
      </c>
      <c r="C54" t="s">
        <v>49</v>
      </c>
      <c r="D54" t="s">
        <v>192</v>
      </c>
      <c r="E54" t="s">
        <v>12</v>
      </c>
      <c r="J54" t="s">
        <v>59</v>
      </c>
      <c r="L54" t="s">
        <v>43</v>
      </c>
      <c r="M54">
        <v>9.937972153462713</v>
      </c>
    </row>
    <row r="55" spans="1:13" x14ac:dyDescent="0.35">
      <c r="A55" t="s">
        <v>49</v>
      </c>
      <c r="B55">
        <v>2</v>
      </c>
      <c r="C55" t="s">
        <v>49</v>
      </c>
      <c r="D55" t="s">
        <v>192</v>
      </c>
      <c r="E55" t="s">
        <v>33</v>
      </c>
      <c r="J55" t="s">
        <v>60</v>
      </c>
      <c r="L55" t="s">
        <v>43</v>
      </c>
      <c r="M55">
        <v>28.751266631655319</v>
      </c>
    </row>
    <row r="56" spans="1:13" x14ac:dyDescent="0.35">
      <c r="A56" s="6" t="s">
        <v>49</v>
      </c>
      <c r="B56">
        <v>2</v>
      </c>
      <c r="C56" t="s">
        <v>49</v>
      </c>
      <c r="D56" t="s">
        <v>192</v>
      </c>
      <c r="E56" s="6" t="s">
        <v>33</v>
      </c>
      <c r="F56" s="6"/>
      <c r="G56" s="6"/>
      <c r="H56" s="6"/>
      <c r="I56" s="6"/>
      <c r="J56" s="6" t="s">
        <v>295</v>
      </c>
      <c r="K56" s="6"/>
      <c r="L56" s="6" t="s">
        <v>43</v>
      </c>
      <c r="M56">
        <v>198.354755374798</v>
      </c>
    </row>
    <row r="57" spans="1:13" x14ac:dyDescent="0.35">
      <c r="A57" t="s">
        <v>49</v>
      </c>
      <c r="B57">
        <v>2</v>
      </c>
      <c r="C57" t="s">
        <v>49</v>
      </c>
      <c r="D57" t="s">
        <v>192</v>
      </c>
      <c r="E57" t="s">
        <v>33</v>
      </c>
      <c r="J57" t="s">
        <v>61</v>
      </c>
      <c r="L57" t="s">
        <v>43</v>
      </c>
      <c r="M57">
        <v>5.7158402899079999</v>
      </c>
    </row>
    <row r="58" spans="1:13" x14ac:dyDescent="0.35">
      <c r="A58" t="s">
        <v>49</v>
      </c>
      <c r="B58">
        <v>2</v>
      </c>
      <c r="C58" t="s">
        <v>49</v>
      </c>
      <c r="D58" t="s">
        <v>192</v>
      </c>
      <c r="E58" t="s">
        <v>33</v>
      </c>
      <c r="J58" t="s">
        <v>62</v>
      </c>
      <c r="L58" t="s">
        <v>43</v>
      </c>
      <c r="M58">
        <v>4.5815735448855488</v>
      </c>
    </row>
    <row r="59" spans="1:13" x14ac:dyDescent="0.35">
      <c r="A59" t="s">
        <v>49</v>
      </c>
      <c r="B59">
        <v>2</v>
      </c>
      <c r="C59" t="s">
        <v>49</v>
      </c>
      <c r="D59" t="s">
        <v>192</v>
      </c>
      <c r="E59" t="s">
        <v>33</v>
      </c>
      <c r="J59" t="s">
        <v>63</v>
      </c>
      <c r="L59" t="s">
        <v>43</v>
      </c>
      <c r="M59">
        <v>29.528319416465337</v>
      </c>
    </row>
    <row r="60" spans="1:13" x14ac:dyDescent="0.35">
      <c r="A60" t="s">
        <v>49</v>
      </c>
      <c r="B60">
        <v>2</v>
      </c>
      <c r="C60" t="s">
        <v>49</v>
      </c>
      <c r="D60" t="s">
        <v>190</v>
      </c>
      <c r="L60" t="s">
        <v>51</v>
      </c>
      <c r="M60">
        <v>-0.4</v>
      </c>
    </row>
    <row r="61" spans="1:13" x14ac:dyDescent="0.35">
      <c r="A61" t="s">
        <v>49</v>
      </c>
      <c r="B61">
        <v>2</v>
      </c>
      <c r="C61" t="s">
        <v>49</v>
      </c>
      <c r="D61" t="s">
        <v>190</v>
      </c>
      <c r="L61" t="s">
        <v>50</v>
      </c>
      <c r="M61">
        <v>-0.1</v>
      </c>
    </row>
    <row r="62" spans="1:13" x14ac:dyDescent="0.35">
      <c r="A62" t="s">
        <v>49</v>
      </c>
      <c r="B62">
        <v>2</v>
      </c>
      <c r="C62" t="s">
        <v>49</v>
      </c>
      <c r="D62" t="s">
        <v>190</v>
      </c>
      <c r="L62" t="s">
        <v>53</v>
      </c>
      <c r="M62">
        <v>44</v>
      </c>
    </row>
    <row r="63" spans="1:13" x14ac:dyDescent="0.35">
      <c r="A63" t="s">
        <v>49</v>
      </c>
      <c r="B63">
        <v>2</v>
      </c>
      <c r="C63" t="s">
        <v>49</v>
      </c>
      <c r="D63" t="s">
        <v>194</v>
      </c>
      <c r="E63" t="s">
        <v>10</v>
      </c>
      <c r="J63" t="s">
        <v>56</v>
      </c>
      <c r="L63" t="s">
        <v>44</v>
      </c>
      <c r="M63">
        <v>0.47</v>
      </c>
    </row>
    <row r="64" spans="1:13" x14ac:dyDescent="0.35">
      <c r="A64" t="s">
        <v>49</v>
      </c>
      <c r="B64">
        <v>2</v>
      </c>
      <c r="C64" t="s">
        <v>49</v>
      </c>
      <c r="D64" t="s">
        <v>194</v>
      </c>
      <c r="E64" t="s">
        <v>12</v>
      </c>
      <c r="J64" t="s">
        <v>56</v>
      </c>
      <c r="L64" t="s">
        <v>44</v>
      </c>
      <c r="M64">
        <v>0.6</v>
      </c>
    </row>
    <row r="65" spans="1:13" x14ac:dyDescent="0.35">
      <c r="A65" t="s">
        <v>49</v>
      </c>
      <c r="B65">
        <v>2</v>
      </c>
      <c r="C65" t="s">
        <v>49</v>
      </c>
      <c r="D65" t="s">
        <v>194</v>
      </c>
      <c r="E65" t="s">
        <v>10</v>
      </c>
      <c r="J65" t="s">
        <v>59</v>
      </c>
      <c r="L65" t="s">
        <v>44</v>
      </c>
      <c r="M65">
        <v>0.47</v>
      </c>
    </row>
    <row r="66" spans="1:13" x14ac:dyDescent="0.35">
      <c r="A66" t="s">
        <v>49</v>
      </c>
      <c r="B66">
        <v>2</v>
      </c>
      <c r="C66" t="s">
        <v>49</v>
      </c>
      <c r="D66" t="s">
        <v>194</v>
      </c>
      <c r="E66" t="s">
        <v>12</v>
      </c>
      <c r="J66" t="s">
        <v>59</v>
      </c>
      <c r="L66" t="s">
        <v>44</v>
      </c>
      <c r="M66">
        <v>0.6</v>
      </c>
    </row>
    <row r="67" spans="1:13" x14ac:dyDescent="0.35">
      <c r="A67" t="s">
        <v>49</v>
      </c>
      <c r="B67">
        <v>2</v>
      </c>
      <c r="C67" t="s">
        <v>49</v>
      </c>
      <c r="D67" t="s">
        <v>194</v>
      </c>
      <c r="E67" t="s">
        <v>33</v>
      </c>
      <c r="J67" t="s">
        <v>60</v>
      </c>
      <c r="L67" t="s">
        <v>44</v>
      </c>
      <c r="M67">
        <v>0.8</v>
      </c>
    </row>
    <row r="68" spans="1:13" x14ac:dyDescent="0.35">
      <c r="A68" t="s">
        <v>49</v>
      </c>
      <c r="B68">
        <v>2</v>
      </c>
      <c r="C68" t="s">
        <v>49</v>
      </c>
      <c r="D68" t="s">
        <v>194</v>
      </c>
      <c r="E68" t="s">
        <v>33</v>
      </c>
      <c r="J68" t="s">
        <v>61</v>
      </c>
      <c r="L68" t="s">
        <v>44</v>
      </c>
      <c r="M68">
        <v>0.47</v>
      </c>
    </row>
    <row r="69" spans="1:13" x14ac:dyDescent="0.35">
      <c r="A69" t="s">
        <v>49</v>
      </c>
      <c r="B69">
        <v>2</v>
      </c>
      <c r="C69" t="s">
        <v>49</v>
      </c>
      <c r="D69" t="s">
        <v>194</v>
      </c>
      <c r="E69" t="s">
        <v>33</v>
      </c>
      <c r="J69" t="s">
        <v>62</v>
      </c>
      <c r="L69" t="s">
        <v>44</v>
      </c>
      <c r="M69">
        <v>0.47</v>
      </c>
    </row>
    <row r="70" spans="1:13" x14ac:dyDescent="0.35">
      <c r="A70" t="s">
        <v>49</v>
      </c>
      <c r="B70">
        <v>2</v>
      </c>
      <c r="C70" t="s">
        <v>49</v>
      </c>
      <c r="D70" t="s">
        <v>194</v>
      </c>
      <c r="E70" t="s">
        <v>33</v>
      </c>
      <c r="J70" t="s">
        <v>63</v>
      </c>
      <c r="L70" t="s">
        <v>44</v>
      </c>
      <c r="M70">
        <v>0.75</v>
      </c>
    </row>
    <row r="71" spans="1:13" x14ac:dyDescent="0.35">
      <c r="A71" t="s">
        <v>49</v>
      </c>
      <c r="B71">
        <v>2</v>
      </c>
      <c r="C71" t="s">
        <v>49</v>
      </c>
      <c r="D71" t="s">
        <v>194</v>
      </c>
      <c r="E71" t="s">
        <v>33</v>
      </c>
      <c r="J71" t="s">
        <v>64</v>
      </c>
      <c r="L71" t="s">
        <v>44</v>
      </c>
      <c r="M71">
        <v>0.75</v>
      </c>
    </row>
    <row r="72" spans="1:13" x14ac:dyDescent="0.35">
      <c r="A72" t="s">
        <v>49</v>
      </c>
      <c r="B72">
        <v>2</v>
      </c>
      <c r="C72" t="s">
        <v>49</v>
      </c>
      <c r="D72" t="s">
        <v>195</v>
      </c>
      <c r="E72" t="s">
        <v>10</v>
      </c>
      <c r="J72" t="s">
        <v>56</v>
      </c>
      <c r="L72" t="s">
        <v>58</v>
      </c>
      <c r="M72">
        <v>39214.140781108086</v>
      </c>
    </row>
    <row r="73" spans="1:13" x14ac:dyDescent="0.35">
      <c r="A73" t="s">
        <v>49</v>
      </c>
      <c r="B73">
        <v>2</v>
      </c>
      <c r="C73" t="s">
        <v>49</v>
      </c>
      <c r="D73" t="s">
        <v>195</v>
      </c>
      <c r="E73" t="s">
        <v>12</v>
      </c>
      <c r="J73" t="s">
        <v>56</v>
      </c>
      <c r="L73" t="s">
        <v>58</v>
      </c>
      <c r="M73">
        <v>20740.464285714286</v>
      </c>
    </row>
    <row r="74" spans="1:13" x14ac:dyDescent="0.35">
      <c r="A74" t="s">
        <v>49</v>
      </c>
      <c r="B74">
        <v>2</v>
      </c>
      <c r="C74" t="s">
        <v>49</v>
      </c>
      <c r="D74" t="s">
        <v>195</v>
      </c>
      <c r="E74" t="s">
        <v>10</v>
      </c>
      <c r="J74" t="s">
        <v>59</v>
      </c>
      <c r="L74" t="s">
        <v>58</v>
      </c>
      <c r="M74">
        <v>37760.397350993378</v>
      </c>
    </row>
    <row r="75" spans="1:13" x14ac:dyDescent="0.35">
      <c r="A75" t="s">
        <v>49</v>
      </c>
      <c r="B75">
        <v>2</v>
      </c>
      <c r="C75" t="s">
        <v>49</v>
      </c>
      <c r="D75" t="s">
        <v>195</v>
      </c>
      <c r="E75" t="s">
        <v>12</v>
      </c>
      <c r="J75" t="s">
        <v>59</v>
      </c>
      <c r="L75" t="s">
        <v>58</v>
      </c>
      <c r="M75">
        <v>14393.643564356436</v>
      </c>
    </row>
    <row r="76" spans="1:13" x14ac:dyDescent="0.35">
      <c r="A76" t="s">
        <v>49</v>
      </c>
      <c r="B76">
        <v>2</v>
      </c>
      <c r="C76" t="s">
        <v>49</v>
      </c>
      <c r="D76" t="s">
        <v>195</v>
      </c>
      <c r="E76" t="s">
        <v>33</v>
      </c>
      <c r="J76" t="s">
        <v>60</v>
      </c>
      <c r="L76" t="s">
        <v>58</v>
      </c>
      <c r="M76">
        <v>23700.05</v>
      </c>
    </row>
    <row r="77" spans="1:13" x14ac:dyDescent="0.35">
      <c r="A77" t="s">
        <v>49</v>
      </c>
      <c r="B77">
        <v>2</v>
      </c>
      <c r="C77" t="s">
        <v>49</v>
      </c>
      <c r="D77" t="s">
        <v>195</v>
      </c>
      <c r="E77" t="s">
        <v>33</v>
      </c>
      <c r="J77" t="s">
        <v>61</v>
      </c>
      <c r="L77" t="s">
        <v>58</v>
      </c>
      <c r="M77">
        <v>79462.921052631573</v>
      </c>
    </row>
    <row r="78" spans="1:13" x14ac:dyDescent="0.35">
      <c r="A78" t="s">
        <v>49</v>
      </c>
      <c r="B78">
        <v>2</v>
      </c>
      <c r="C78" t="s">
        <v>49</v>
      </c>
      <c r="D78" t="s">
        <v>195</v>
      </c>
      <c r="E78" t="s">
        <v>33</v>
      </c>
      <c r="J78" t="s">
        <v>62</v>
      </c>
      <c r="L78" t="s">
        <v>58</v>
      </c>
      <c r="M78">
        <v>81116.092592592599</v>
      </c>
    </row>
    <row r="79" spans="1:13" x14ac:dyDescent="0.35">
      <c r="A79" t="s">
        <v>49</v>
      </c>
      <c r="B79">
        <v>2</v>
      </c>
      <c r="C79" t="s">
        <v>49</v>
      </c>
      <c r="D79" t="s">
        <v>195</v>
      </c>
      <c r="E79" t="s">
        <v>33</v>
      </c>
      <c r="J79" t="s">
        <v>63</v>
      </c>
      <c r="L79" t="s">
        <v>58</v>
      </c>
      <c r="M79">
        <v>44645.617449664431</v>
      </c>
    </row>
    <row r="80" spans="1:13" x14ac:dyDescent="0.35">
      <c r="A80" t="s">
        <v>49</v>
      </c>
      <c r="B80">
        <v>2</v>
      </c>
      <c r="C80" t="s">
        <v>49</v>
      </c>
      <c r="D80" t="s">
        <v>190</v>
      </c>
      <c r="L80" t="s">
        <v>54</v>
      </c>
      <c r="M80">
        <v>0.54545454545454541</v>
      </c>
    </row>
    <row r="81" spans="1:13" x14ac:dyDescent="0.35">
      <c r="A81" t="s">
        <v>49</v>
      </c>
      <c r="B81">
        <v>2</v>
      </c>
      <c r="C81" t="s">
        <v>49</v>
      </c>
      <c r="D81" t="s">
        <v>190</v>
      </c>
      <c r="L81" t="s">
        <v>52</v>
      </c>
      <c r="M81">
        <v>2</v>
      </c>
    </row>
    <row r="82" spans="1:13" x14ac:dyDescent="0.35">
      <c r="A82" t="s">
        <v>49</v>
      </c>
      <c r="B82">
        <v>2</v>
      </c>
      <c r="C82" t="s">
        <v>49</v>
      </c>
      <c r="D82" t="s">
        <v>191</v>
      </c>
      <c r="J82" t="s">
        <v>56</v>
      </c>
      <c r="K82" t="s">
        <v>65</v>
      </c>
      <c r="L82" t="s">
        <v>66</v>
      </c>
      <c r="M82">
        <v>4.9280000000000008</v>
      </c>
    </row>
    <row r="83" spans="1:13" x14ac:dyDescent="0.35">
      <c r="A83" t="s">
        <v>49</v>
      </c>
      <c r="B83">
        <v>2</v>
      </c>
      <c r="C83" t="s">
        <v>49</v>
      </c>
      <c r="D83" t="s">
        <v>191</v>
      </c>
      <c r="J83" t="s">
        <v>56</v>
      </c>
      <c r="K83" t="s">
        <v>68</v>
      </c>
      <c r="L83" t="s">
        <v>66</v>
      </c>
      <c r="M83">
        <v>4.4352000000000009</v>
      </c>
    </row>
    <row r="84" spans="1:13" x14ac:dyDescent="0.35">
      <c r="A84" t="s">
        <v>49</v>
      </c>
      <c r="B84">
        <v>2</v>
      </c>
      <c r="C84" t="s">
        <v>49</v>
      </c>
      <c r="D84" t="s">
        <v>191</v>
      </c>
      <c r="J84" t="s">
        <v>56</v>
      </c>
      <c r="K84" t="s">
        <v>69</v>
      </c>
      <c r="L84" t="s">
        <v>66</v>
      </c>
      <c r="M84">
        <v>17</v>
      </c>
    </row>
    <row r="85" spans="1:13" x14ac:dyDescent="0.35">
      <c r="A85" t="s">
        <v>49</v>
      </c>
      <c r="B85">
        <v>2</v>
      </c>
      <c r="C85" t="s">
        <v>49</v>
      </c>
      <c r="D85" t="s">
        <v>191</v>
      </c>
      <c r="J85" t="s">
        <v>59</v>
      </c>
      <c r="K85" t="s">
        <v>70</v>
      </c>
      <c r="L85" t="s">
        <v>66</v>
      </c>
      <c r="M85">
        <v>7.8398072040762292</v>
      </c>
    </row>
    <row r="86" spans="1:13" x14ac:dyDescent="0.35">
      <c r="A86" t="s">
        <v>49</v>
      </c>
      <c r="B86">
        <v>2</v>
      </c>
      <c r="C86" t="s">
        <v>49</v>
      </c>
      <c r="D86" t="s">
        <v>191</v>
      </c>
      <c r="J86" t="s">
        <v>59</v>
      </c>
      <c r="K86" t="s">
        <v>68</v>
      </c>
      <c r="L86" t="s">
        <v>66</v>
      </c>
      <c r="M86">
        <v>7.0558264836686062</v>
      </c>
    </row>
    <row r="87" spans="1:13" x14ac:dyDescent="0.35">
      <c r="A87" t="s">
        <v>49</v>
      </c>
      <c r="B87">
        <v>2</v>
      </c>
      <c r="C87" t="s">
        <v>49</v>
      </c>
      <c r="D87" t="s">
        <v>191</v>
      </c>
      <c r="J87" t="s">
        <v>59</v>
      </c>
      <c r="K87" t="s">
        <v>69</v>
      </c>
      <c r="L87" t="s">
        <v>66</v>
      </c>
      <c r="M87">
        <v>30</v>
      </c>
    </row>
    <row r="88" spans="1:13" x14ac:dyDescent="0.35">
      <c r="A88" t="s">
        <v>49</v>
      </c>
      <c r="B88">
        <v>2</v>
      </c>
      <c r="C88" t="s">
        <v>49</v>
      </c>
      <c r="D88" t="s">
        <v>191</v>
      </c>
      <c r="J88" t="s">
        <v>60</v>
      </c>
      <c r="K88" t="s">
        <v>65</v>
      </c>
      <c r="L88" t="s">
        <v>66</v>
      </c>
      <c r="M88">
        <v>7.5</v>
      </c>
    </row>
    <row r="89" spans="1:13" x14ac:dyDescent="0.35">
      <c r="A89" t="s">
        <v>49</v>
      </c>
      <c r="B89">
        <v>2</v>
      </c>
      <c r="C89" t="s">
        <v>49</v>
      </c>
      <c r="D89" t="s">
        <v>191</v>
      </c>
      <c r="J89" t="s">
        <v>60</v>
      </c>
      <c r="K89" t="s">
        <v>68</v>
      </c>
      <c r="L89" t="s">
        <v>66</v>
      </c>
      <c r="M89">
        <v>6.75</v>
      </c>
    </row>
    <row r="90" spans="1:13" x14ac:dyDescent="0.35">
      <c r="A90" t="s">
        <v>49</v>
      </c>
      <c r="B90">
        <v>2</v>
      </c>
      <c r="C90" t="s">
        <v>49</v>
      </c>
      <c r="D90" t="s">
        <v>191</v>
      </c>
      <c r="J90" t="s">
        <v>60</v>
      </c>
      <c r="K90" t="s">
        <v>69</v>
      </c>
      <c r="L90" t="s">
        <v>66</v>
      </c>
      <c r="M90">
        <v>17</v>
      </c>
    </row>
    <row r="91" spans="1:13" x14ac:dyDescent="0.35">
      <c r="A91" t="s">
        <v>49</v>
      </c>
      <c r="B91">
        <v>2</v>
      </c>
      <c r="C91" t="s">
        <v>49</v>
      </c>
      <c r="D91" t="s">
        <v>190</v>
      </c>
      <c r="L91" t="s">
        <v>55</v>
      </c>
      <c r="M91">
        <v>250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L160"/>
  <sheetViews>
    <sheetView showGridLines="0" zoomScale="80" zoomScaleNormal="80" workbookViewId="0">
      <selection activeCell="I3" sqref="I3"/>
    </sheetView>
  </sheetViews>
  <sheetFormatPr defaultRowHeight="14.5" x14ac:dyDescent="0.35"/>
  <cols>
    <col min="1" max="1" width="39.81640625" bestFit="1" customWidth="1"/>
    <col min="2" max="3" width="39.81640625" customWidth="1"/>
    <col min="4" max="4" width="11.81640625" bestFit="1" customWidth="1"/>
    <col min="5" max="5" width="11.54296875" bestFit="1" customWidth="1"/>
    <col min="6" max="6" width="30.54296875" bestFit="1" customWidth="1"/>
    <col min="7" max="7" width="11" bestFit="1" customWidth="1"/>
    <col min="8" max="8" width="17.36328125" bestFit="1" customWidth="1"/>
    <col min="9" max="9" width="28.36328125" bestFit="1" customWidth="1"/>
    <col min="10" max="10" width="17.54296875" bestFit="1" customWidth="1"/>
    <col min="11" max="11" width="22.7265625" bestFit="1" customWidth="1"/>
    <col min="12" max="12" width="31.36328125" customWidth="1"/>
  </cols>
  <sheetData>
    <row r="1" spans="1:12" x14ac:dyDescent="0.35">
      <c r="A1" s="1" t="s">
        <v>0</v>
      </c>
      <c r="B1" s="1" t="s">
        <v>149</v>
      </c>
      <c r="C1" s="1" t="s">
        <v>137</v>
      </c>
      <c r="D1" s="1" t="s">
        <v>5</v>
      </c>
      <c r="E1" s="1" t="s">
        <v>1</v>
      </c>
      <c r="F1" s="1" t="s">
        <v>2</v>
      </c>
      <c r="G1" s="1" t="s">
        <v>7</v>
      </c>
      <c r="H1" s="1" t="s">
        <v>4</v>
      </c>
      <c r="I1" s="1" t="s">
        <v>100</v>
      </c>
      <c r="J1" s="1" t="s">
        <v>6</v>
      </c>
      <c r="K1" s="1" t="s">
        <v>177</v>
      </c>
      <c r="L1" t="s">
        <v>98</v>
      </c>
    </row>
    <row r="2" spans="1:12" x14ac:dyDescent="0.35">
      <c r="A2" t="s">
        <v>8</v>
      </c>
      <c r="B2">
        <v>1</v>
      </c>
      <c r="C2" t="s">
        <v>198</v>
      </c>
      <c r="E2" t="s">
        <v>73</v>
      </c>
      <c r="I2" t="s">
        <v>74</v>
      </c>
      <c r="K2" t="s">
        <v>116</v>
      </c>
      <c r="L2">
        <v>430000</v>
      </c>
    </row>
    <row r="3" spans="1:12" x14ac:dyDescent="0.35">
      <c r="A3" t="s">
        <v>8</v>
      </c>
      <c r="B3">
        <v>1</v>
      </c>
      <c r="C3" t="s">
        <v>198</v>
      </c>
      <c r="E3" t="s">
        <v>73</v>
      </c>
      <c r="I3" t="s">
        <v>74</v>
      </c>
      <c r="K3" t="s">
        <v>117</v>
      </c>
      <c r="L3">
        <v>43000</v>
      </c>
    </row>
    <row r="4" spans="1:12" x14ac:dyDescent="0.35">
      <c r="A4" t="s">
        <v>8</v>
      </c>
      <c r="B4">
        <v>1</v>
      </c>
      <c r="C4" t="s">
        <v>198</v>
      </c>
      <c r="E4" t="s">
        <v>10</v>
      </c>
      <c r="I4" t="s">
        <v>74</v>
      </c>
      <c r="K4" t="s">
        <v>116</v>
      </c>
      <c r="L4">
        <v>430000</v>
      </c>
    </row>
    <row r="5" spans="1:12" x14ac:dyDescent="0.35">
      <c r="A5" t="s">
        <v>8</v>
      </c>
      <c r="B5">
        <v>1</v>
      </c>
      <c r="C5" t="s">
        <v>198</v>
      </c>
      <c r="E5" t="s">
        <v>10</v>
      </c>
      <c r="I5" t="s">
        <v>74</v>
      </c>
      <c r="K5" t="s">
        <v>117</v>
      </c>
      <c r="L5">
        <v>43000</v>
      </c>
    </row>
    <row r="6" spans="1:12" x14ac:dyDescent="0.35">
      <c r="A6" t="s">
        <v>8</v>
      </c>
      <c r="B6">
        <v>1</v>
      </c>
      <c r="C6" t="s">
        <v>198</v>
      </c>
      <c r="E6" t="s">
        <v>11</v>
      </c>
      <c r="I6" t="s">
        <v>74</v>
      </c>
      <c r="K6" t="s">
        <v>116</v>
      </c>
      <c r="L6">
        <v>430000</v>
      </c>
    </row>
    <row r="7" spans="1:12" x14ac:dyDescent="0.35">
      <c r="A7" t="s">
        <v>8</v>
      </c>
      <c r="B7">
        <v>1</v>
      </c>
      <c r="C7" t="s">
        <v>198</v>
      </c>
      <c r="E7" t="s">
        <v>11</v>
      </c>
      <c r="I7" t="s">
        <v>74</v>
      </c>
      <c r="K7" t="s">
        <v>117</v>
      </c>
      <c r="L7">
        <v>43000</v>
      </c>
    </row>
    <row r="8" spans="1:12" x14ac:dyDescent="0.35">
      <c r="A8" t="s">
        <v>8</v>
      </c>
      <c r="B8">
        <v>1</v>
      </c>
      <c r="C8" t="s">
        <v>198</v>
      </c>
      <c r="E8" t="s">
        <v>12</v>
      </c>
      <c r="I8" t="s">
        <v>74</v>
      </c>
      <c r="K8" t="s">
        <v>116</v>
      </c>
      <c r="L8">
        <v>430000</v>
      </c>
    </row>
    <row r="9" spans="1:12" x14ac:dyDescent="0.35">
      <c r="A9" t="s">
        <v>8</v>
      </c>
      <c r="B9">
        <v>1</v>
      </c>
      <c r="C9" t="s">
        <v>198</v>
      </c>
      <c r="E9" t="s">
        <v>12</v>
      </c>
      <c r="I9" t="s">
        <v>74</v>
      </c>
      <c r="K9" t="s">
        <v>117</v>
      </c>
      <c r="L9">
        <v>43000</v>
      </c>
    </row>
    <row r="10" spans="1:12" x14ac:dyDescent="0.35">
      <c r="A10" t="s">
        <v>8</v>
      </c>
      <c r="B10">
        <v>1</v>
      </c>
      <c r="C10" t="s">
        <v>198</v>
      </c>
      <c r="E10" t="s">
        <v>73</v>
      </c>
      <c r="I10" t="s">
        <v>75</v>
      </c>
      <c r="K10" t="s">
        <v>116</v>
      </c>
      <c r="L10">
        <v>27500</v>
      </c>
    </row>
    <row r="11" spans="1:12" x14ac:dyDescent="0.35">
      <c r="A11" t="s">
        <v>8</v>
      </c>
      <c r="B11">
        <v>1</v>
      </c>
      <c r="C11" t="s">
        <v>198</v>
      </c>
      <c r="E11" t="s">
        <v>73</v>
      </c>
      <c r="I11" t="s">
        <v>75</v>
      </c>
      <c r="K11" t="s">
        <v>117</v>
      </c>
      <c r="L11">
        <v>2750</v>
      </c>
    </row>
    <row r="12" spans="1:12" x14ac:dyDescent="0.35">
      <c r="A12" t="s">
        <v>8</v>
      </c>
      <c r="B12">
        <v>1</v>
      </c>
      <c r="C12" t="s">
        <v>198</v>
      </c>
      <c r="E12" t="s">
        <v>10</v>
      </c>
      <c r="I12" t="s">
        <v>75</v>
      </c>
      <c r="K12" t="s">
        <v>116</v>
      </c>
      <c r="L12">
        <v>27500</v>
      </c>
    </row>
    <row r="13" spans="1:12" x14ac:dyDescent="0.35">
      <c r="A13" t="s">
        <v>8</v>
      </c>
      <c r="B13">
        <v>1</v>
      </c>
      <c r="C13" t="s">
        <v>198</v>
      </c>
      <c r="E13" t="s">
        <v>10</v>
      </c>
      <c r="I13" t="s">
        <v>75</v>
      </c>
      <c r="K13" t="s">
        <v>117</v>
      </c>
      <c r="L13">
        <v>2750</v>
      </c>
    </row>
    <row r="14" spans="1:12" x14ac:dyDescent="0.35">
      <c r="A14" t="s">
        <v>8</v>
      </c>
      <c r="B14">
        <v>1</v>
      </c>
      <c r="C14" t="s">
        <v>198</v>
      </c>
      <c r="E14" t="s">
        <v>11</v>
      </c>
      <c r="I14" t="s">
        <v>75</v>
      </c>
      <c r="K14" t="s">
        <v>116</v>
      </c>
      <c r="L14">
        <v>27500</v>
      </c>
    </row>
    <row r="15" spans="1:12" x14ac:dyDescent="0.35">
      <c r="A15" t="s">
        <v>8</v>
      </c>
      <c r="B15">
        <v>1</v>
      </c>
      <c r="C15" t="s">
        <v>198</v>
      </c>
      <c r="E15" t="s">
        <v>11</v>
      </c>
      <c r="I15" t="s">
        <v>75</v>
      </c>
      <c r="K15" t="s">
        <v>117</v>
      </c>
      <c r="L15">
        <v>2750</v>
      </c>
    </row>
    <row r="16" spans="1:12" x14ac:dyDescent="0.35">
      <c r="A16" t="s">
        <v>8</v>
      </c>
      <c r="B16">
        <v>1</v>
      </c>
      <c r="C16" t="s">
        <v>198</v>
      </c>
      <c r="E16" t="s">
        <v>12</v>
      </c>
      <c r="I16" t="s">
        <v>75</v>
      </c>
      <c r="K16" t="s">
        <v>116</v>
      </c>
      <c r="L16">
        <v>27500</v>
      </c>
    </row>
    <row r="17" spans="1:12" x14ac:dyDescent="0.35">
      <c r="A17" t="s">
        <v>8</v>
      </c>
      <c r="B17">
        <v>1</v>
      </c>
      <c r="C17" t="s">
        <v>198</v>
      </c>
      <c r="E17" t="s">
        <v>12</v>
      </c>
      <c r="I17" t="s">
        <v>75</v>
      </c>
      <c r="K17" t="s">
        <v>117</v>
      </c>
      <c r="L17">
        <v>2750</v>
      </c>
    </row>
    <row r="18" spans="1:12" x14ac:dyDescent="0.35">
      <c r="A18" t="s">
        <v>8</v>
      </c>
      <c r="B18">
        <v>1</v>
      </c>
      <c r="C18" t="s">
        <v>198</v>
      </c>
      <c r="E18" t="s">
        <v>73</v>
      </c>
      <c r="I18" t="s">
        <v>76</v>
      </c>
      <c r="K18" t="s">
        <v>116</v>
      </c>
      <c r="L18">
        <v>125000</v>
      </c>
    </row>
    <row r="19" spans="1:12" x14ac:dyDescent="0.35">
      <c r="A19" t="s">
        <v>8</v>
      </c>
      <c r="B19">
        <v>1</v>
      </c>
      <c r="C19" t="s">
        <v>198</v>
      </c>
      <c r="E19" t="s">
        <v>73</v>
      </c>
      <c r="I19" t="s">
        <v>76</v>
      </c>
      <c r="K19" t="s">
        <v>117</v>
      </c>
      <c r="L19">
        <v>12500</v>
      </c>
    </row>
    <row r="20" spans="1:12" x14ac:dyDescent="0.35">
      <c r="A20" t="s">
        <v>8</v>
      </c>
      <c r="B20">
        <v>1</v>
      </c>
      <c r="C20" t="s">
        <v>198</v>
      </c>
      <c r="E20" t="s">
        <v>10</v>
      </c>
      <c r="I20" t="s">
        <v>76</v>
      </c>
      <c r="K20" t="s">
        <v>116</v>
      </c>
      <c r="L20">
        <v>125000</v>
      </c>
    </row>
    <row r="21" spans="1:12" x14ac:dyDescent="0.35">
      <c r="A21" t="s">
        <v>8</v>
      </c>
      <c r="B21">
        <v>1</v>
      </c>
      <c r="C21" t="s">
        <v>198</v>
      </c>
      <c r="E21" t="s">
        <v>10</v>
      </c>
      <c r="I21" t="s">
        <v>76</v>
      </c>
      <c r="K21" t="s">
        <v>117</v>
      </c>
      <c r="L21">
        <v>12500</v>
      </c>
    </row>
    <row r="22" spans="1:12" x14ac:dyDescent="0.35">
      <c r="A22" t="s">
        <v>8</v>
      </c>
      <c r="B22">
        <v>1</v>
      </c>
      <c r="C22" t="s">
        <v>198</v>
      </c>
      <c r="E22" t="s">
        <v>11</v>
      </c>
      <c r="I22" t="s">
        <v>76</v>
      </c>
      <c r="K22" t="s">
        <v>116</v>
      </c>
      <c r="L22">
        <v>125000</v>
      </c>
    </row>
    <row r="23" spans="1:12" x14ac:dyDescent="0.35">
      <c r="A23" t="s">
        <v>8</v>
      </c>
      <c r="B23">
        <v>1</v>
      </c>
      <c r="C23" t="s">
        <v>198</v>
      </c>
      <c r="E23" t="s">
        <v>11</v>
      </c>
      <c r="I23" t="s">
        <v>76</v>
      </c>
      <c r="K23" t="s">
        <v>117</v>
      </c>
      <c r="L23">
        <v>12500</v>
      </c>
    </row>
    <row r="24" spans="1:12" x14ac:dyDescent="0.35">
      <c r="A24" t="s">
        <v>8</v>
      </c>
      <c r="B24">
        <v>1</v>
      </c>
      <c r="C24" t="s">
        <v>198</v>
      </c>
      <c r="E24" t="s">
        <v>12</v>
      </c>
      <c r="I24" t="s">
        <v>76</v>
      </c>
      <c r="K24" t="s">
        <v>116</v>
      </c>
      <c r="L24">
        <v>125000</v>
      </c>
    </row>
    <row r="25" spans="1:12" x14ac:dyDescent="0.35">
      <c r="A25" t="s">
        <v>8</v>
      </c>
      <c r="B25">
        <v>1</v>
      </c>
      <c r="C25" t="s">
        <v>198</v>
      </c>
      <c r="E25" t="s">
        <v>12</v>
      </c>
      <c r="I25" t="s">
        <v>76</v>
      </c>
      <c r="K25" t="s">
        <v>117</v>
      </c>
      <c r="L25">
        <v>12500</v>
      </c>
    </row>
    <row r="26" spans="1:12" x14ac:dyDescent="0.35">
      <c r="A26" t="s">
        <v>8</v>
      </c>
      <c r="B26">
        <v>1</v>
      </c>
      <c r="C26" t="s">
        <v>198</v>
      </c>
      <c r="E26" t="s">
        <v>73</v>
      </c>
      <c r="I26" t="s">
        <v>77</v>
      </c>
      <c r="K26" t="s">
        <v>116</v>
      </c>
      <c r="L26">
        <v>337920</v>
      </c>
    </row>
    <row r="27" spans="1:12" x14ac:dyDescent="0.35">
      <c r="A27" t="s">
        <v>8</v>
      </c>
      <c r="B27">
        <v>1</v>
      </c>
      <c r="C27" t="s">
        <v>198</v>
      </c>
      <c r="E27" t="s">
        <v>73</v>
      </c>
      <c r="I27" t="s">
        <v>77</v>
      </c>
      <c r="K27" t="s">
        <v>117</v>
      </c>
      <c r="L27">
        <v>33792</v>
      </c>
    </row>
    <row r="28" spans="1:12" x14ac:dyDescent="0.35">
      <c r="A28" t="s">
        <v>8</v>
      </c>
      <c r="B28">
        <v>1</v>
      </c>
      <c r="C28" t="s">
        <v>198</v>
      </c>
      <c r="E28" t="s">
        <v>10</v>
      </c>
      <c r="I28" t="s">
        <v>77</v>
      </c>
      <c r="K28" t="s">
        <v>116</v>
      </c>
      <c r="L28">
        <v>337920</v>
      </c>
    </row>
    <row r="29" spans="1:12" x14ac:dyDescent="0.35">
      <c r="A29" t="s">
        <v>8</v>
      </c>
      <c r="B29">
        <v>1</v>
      </c>
      <c r="C29" t="s">
        <v>198</v>
      </c>
      <c r="E29" t="s">
        <v>10</v>
      </c>
      <c r="I29" t="s">
        <v>77</v>
      </c>
      <c r="K29" t="s">
        <v>117</v>
      </c>
      <c r="L29">
        <v>33792</v>
      </c>
    </row>
    <row r="30" spans="1:12" x14ac:dyDescent="0.35">
      <c r="A30" t="s">
        <v>8</v>
      </c>
      <c r="B30">
        <v>1</v>
      </c>
      <c r="C30" t="s">
        <v>198</v>
      </c>
      <c r="E30" t="s">
        <v>11</v>
      </c>
      <c r="I30" t="s">
        <v>77</v>
      </c>
      <c r="K30" t="s">
        <v>116</v>
      </c>
      <c r="L30">
        <v>337920</v>
      </c>
    </row>
    <row r="31" spans="1:12" x14ac:dyDescent="0.35">
      <c r="A31" t="s">
        <v>8</v>
      </c>
      <c r="B31">
        <v>1</v>
      </c>
      <c r="C31" t="s">
        <v>198</v>
      </c>
      <c r="E31" t="s">
        <v>11</v>
      </c>
      <c r="I31" t="s">
        <v>77</v>
      </c>
      <c r="K31" t="s">
        <v>117</v>
      </c>
      <c r="L31">
        <v>33792</v>
      </c>
    </row>
    <row r="32" spans="1:12" x14ac:dyDescent="0.35">
      <c r="A32" t="s">
        <v>8</v>
      </c>
      <c r="B32">
        <v>1</v>
      </c>
      <c r="C32" t="s">
        <v>198</v>
      </c>
      <c r="E32" t="s">
        <v>12</v>
      </c>
      <c r="I32" t="s">
        <v>77</v>
      </c>
      <c r="K32" t="s">
        <v>116</v>
      </c>
      <c r="L32">
        <v>337920</v>
      </c>
    </row>
    <row r="33" spans="1:12" x14ac:dyDescent="0.35">
      <c r="A33" t="s">
        <v>8</v>
      </c>
      <c r="B33">
        <v>1</v>
      </c>
      <c r="C33" t="s">
        <v>198</v>
      </c>
      <c r="E33" t="s">
        <v>12</v>
      </c>
      <c r="I33" t="s">
        <v>77</v>
      </c>
      <c r="K33" t="s">
        <v>117</v>
      </c>
      <c r="L33">
        <v>33792</v>
      </c>
    </row>
    <row r="34" spans="1:12" x14ac:dyDescent="0.35">
      <c r="A34" t="s">
        <v>8</v>
      </c>
      <c r="B34">
        <v>1</v>
      </c>
      <c r="C34" t="s">
        <v>198</v>
      </c>
      <c r="E34" t="s">
        <v>73</v>
      </c>
      <c r="I34" t="s">
        <v>78</v>
      </c>
      <c r="K34" t="s">
        <v>116</v>
      </c>
      <c r="L34">
        <v>900000</v>
      </c>
    </row>
    <row r="35" spans="1:12" x14ac:dyDescent="0.35">
      <c r="A35" t="s">
        <v>8</v>
      </c>
      <c r="B35">
        <v>1</v>
      </c>
      <c r="C35" t="s">
        <v>198</v>
      </c>
      <c r="E35" t="s">
        <v>73</v>
      </c>
      <c r="I35" t="s">
        <v>78</v>
      </c>
      <c r="K35" t="s">
        <v>117</v>
      </c>
      <c r="L35">
        <v>90000</v>
      </c>
    </row>
    <row r="36" spans="1:12" x14ac:dyDescent="0.35">
      <c r="A36" t="s">
        <v>8</v>
      </c>
      <c r="B36">
        <v>1</v>
      </c>
      <c r="C36" t="s">
        <v>198</v>
      </c>
      <c r="E36" t="s">
        <v>10</v>
      </c>
      <c r="I36" t="s">
        <v>78</v>
      </c>
      <c r="K36" t="s">
        <v>116</v>
      </c>
      <c r="L36">
        <v>850000</v>
      </c>
    </row>
    <row r="37" spans="1:12" x14ac:dyDescent="0.35">
      <c r="A37" t="s">
        <v>8</v>
      </c>
      <c r="B37">
        <v>1</v>
      </c>
      <c r="C37" t="s">
        <v>198</v>
      </c>
      <c r="E37" t="s">
        <v>10</v>
      </c>
      <c r="I37" t="s">
        <v>78</v>
      </c>
      <c r="K37" t="s">
        <v>117</v>
      </c>
      <c r="L37">
        <v>85000</v>
      </c>
    </row>
    <row r="38" spans="1:12" x14ac:dyDescent="0.35">
      <c r="A38" t="s">
        <v>8</v>
      </c>
      <c r="B38">
        <v>1</v>
      </c>
      <c r="C38" t="s">
        <v>198</v>
      </c>
      <c r="E38" t="s">
        <v>11</v>
      </c>
      <c r="I38" t="s">
        <v>78</v>
      </c>
      <c r="K38" t="s">
        <v>116</v>
      </c>
      <c r="L38">
        <v>750000</v>
      </c>
    </row>
    <row r="39" spans="1:12" x14ac:dyDescent="0.35">
      <c r="A39" t="s">
        <v>8</v>
      </c>
      <c r="B39">
        <v>1</v>
      </c>
      <c r="C39" t="s">
        <v>198</v>
      </c>
      <c r="E39" t="s">
        <v>11</v>
      </c>
      <c r="I39" t="s">
        <v>78</v>
      </c>
      <c r="K39" t="s">
        <v>117</v>
      </c>
      <c r="L39">
        <v>75000</v>
      </c>
    </row>
    <row r="40" spans="1:12" x14ac:dyDescent="0.35">
      <c r="A40" t="s">
        <v>8</v>
      </c>
      <c r="B40">
        <v>1</v>
      </c>
      <c r="C40" t="s">
        <v>198</v>
      </c>
      <c r="E40" t="s">
        <v>11</v>
      </c>
      <c r="I40" t="s">
        <v>79</v>
      </c>
      <c r="K40" t="s">
        <v>116</v>
      </c>
      <c r="L40">
        <v>117427.2</v>
      </c>
    </row>
    <row r="41" spans="1:12" x14ac:dyDescent="0.35">
      <c r="A41" t="s">
        <v>8</v>
      </c>
      <c r="B41">
        <v>1</v>
      </c>
      <c r="C41" t="s">
        <v>198</v>
      </c>
      <c r="E41" t="s">
        <v>11</v>
      </c>
      <c r="I41" t="s">
        <v>79</v>
      </c>
      <c r="K41" t="s">
        <v>117</v>
      </c>
      <c r="L41">
        <v>11742.720000000001</v>
      </c>
    </row>
    <row r="42" spans="1:12" x14ac:dyDescent="0.35">
      <c r="A42" t="s">
        <v>8</v>
      </c>
      <c r="B42">
        <v>1</v>
      </c>
      <c r="C42" t="s">
        <v>198</v>
      </c>
      <c r="E42" t="s">
        <v>12</v>
      </c>
      <c r="I42" t="s">
        <v>79</v>
      </c>
      <c r="K42" t="s">
        <v>116</v>
      </c>
      <c r="L42">
        <v>117427.2</v>
      </c>
    </row>
    <row r="43" spans="1:12" x14ac:dyDescent="0.35">
      <c r="A43" t="s">
        <v>8</v>
      </c>
      <c r="B43">
        <v>1</v>
      </c>
      <c r="C43" t="s">
        <v>198</v>
      </c>
      <c r="E43" t="s">
        <v>12</v>
      </c>
      <c r="I43" t="s">
        <v>79</v>
      </c>
      <c r="K43" t="s">
        <v>117</v>
      </c>
      <c r="L43">
        <v>11742.720000000001</v>
      </c>
    </row>
    <row r="44" spans="1:12" x14ac:dyDescent="0.35">
      <c r="A44" t="s">
        <v>49</v>
      </c>
      <c r="B44">
        <v>2</v>
      </c>
      <c r="C44" t="s">
        <v>216</v>
      </c>
      <c r="E44" t="s">
        <v>10</v>
      </c>
      <c r="G44" t="s">
        <v>65</v>
      </c>
      <c r="J44" t="s">
        <v>56</v>
      </c>
      <c r="K44" t="s">
        <v>110</v>
      </c>
      <c r="L44">
        <v>507824.03333333333</v>
      </c>
    </row>
    <row r="45" spans="1:12" x14ac:dyDescent="0.35">
      <c r="A45" t="s">
        <v>49</v>
      </c>
      <c r="B45">
        <v>2</v>
      </c>
      <c r="C45" t="s">
        <v>216</v>
      </c>
      <c r="E45" t="s">
        <v>10</v>
      </c>
      <c r="G45" t="s">
        <v>65</v>
      </c>
      <c r="J45" t="s">
        <v>56</v>
      </c>
      <c r="K45" t="s">
        <v>114</v>
      </c>
      <c r="L45">
        <v>0.70316123608534298</v>
      </c>
    </row>
    <row r="46" spans="1:12" x14ac:dyDescent="0.35">
      <c r="A46" t="s">
        <v>49</v>
      </c>
      <c r="B46">
        <v>2</v>
      </c>
      <c r="C46" t="s">
        <v>216</v>
      </c>
      <c r="E46" t="s">
        <v>10</v>
      </c>
      <c r="G46" t="s">
        <v>65</v>
      </c>
      <c r="J46" t="s">
        <v>56</v>
      </c>
      <c r="K46" t="s">
        <v>115</v>
      </c>
      <c r="L46">
        <v>7.814468991711423</v>
      </c>
    </row>
    <row r="47" spans="1:12" x14ac:dyDescent="0.35">
      <c r="A47" t="s">
        <v>49</v>
      </c>
      <c r="B47">
        <v>2</v>
      </c>
      <c r="C47" t="s">
        <v>216</v>
      </c>
      <c r="E47" t="s">
        <v>12</v>
      </c>
      <c r="G47" t="s">
        <v>65</v>
      </c>
      <c r="J47" t="s">
        <v>56</v>
      </c>
      <c r="K47" t="s">
        <v>110</v>
      </c>
      <c r="L47">
        <v>507824.03333333333</v>
      </c>
    </row>
    <row r="48" spans="1:12" x14ac:dyDescent="0.35">
      <c r="A48" t="s">
        <v>49</v>
      </c>
      <c r="B48">
        <v>2</v>
      </c>
      <c r="C48" t="s">
        <v>216</v>
      </c>
      <c r="E48" t="s">
        <v>12</v>
      </c>
      <c r="G48" t="s">
        <v>65</v>
      </c>
      <c r="J48" t="s">
        <v>56</v>
      </c>
      <c r="K48" t="s">
        <v>114</v>
      </c>
      <c r="L48">
        <v>0.70316123608534298</v>
      </c>
    </row>
    <row r="49" spans="1:12" x14ac:dyDescent="0.35">
      <c r="A49" t="s">
        <v>49</v>
      </c>
      <c r="B49">
        <v>2</v>
      </c>
      <c r="C49" t="s">
        <v>216</v>
      </c>
      <c r="E49" t="s">
        <v>12</v>
      </c>
      <c r="G49" t="s">
        <v>65</v>
      </c>
      <c r="J49" t="s">
        <v>56</v>
      </c>
      <c r="K49" t="s">
        <v>115</v>
      </c>
      <c r="L49">
        <v>7.814468991711423</v>
      </c>
    </row>
    <row r="50" spans="1:12" x14ac:dyDescent="0.35">
      <c r="A50" t="s">
        <v>49</v>
      </c>
      <c r="B50">
        <v>2</v>
      </c>
      <c r="C50" t="s">
        <v>216</v>
      </c>
      <c r="E50" t="s">
        <v>10</v>
      </c>
      <c r="G50" t="s">
        <v>68</v>
      </c>
      <c r="J50" t="s">
        <v>56</v>
      </c>
      <c r="K50" t="s">
        <v>110</v>
      </c>
      <c r="L50">
        <v>557247.875</v>
      </c>
    </row>
    <row r="51" spans="1:12" x14ac:dyDescent="0.35">
      <c r="A51" t="s">
        <v>49</v>
      </c>
      <c r="B51">
        <v>2</v>
      </c>
      <c r="C51" t="s">
        <v>216</v>
      </c>
      <c r="E51" t="s">
        <v>10</v>
      </c>
      <c r="G51" t="s">
        <v>68</v>
      </c>
      <c r="J51" t="s">
        <v>56</v>
      </c>
      <c r="K51" t="s">
        <v>114</v>
      </c>
      <c r="L51">
        <v>0.57269119769119758</v>
      </c>
    </row>
    <row r="52" spans="1:12" x14ac:dyDescent="0.35">
      <c r="A52" t="s">
        <v>49</v>
      </c>
      <c r="B52">
        <v>2</v>
      </c>
      <c r="C52" t="s">
        <v>216</v>
      </c>
      <c r="E52" t="s">
        <v>10</v>
      </c>
      <c r="G52" t="s">
        <v>68</v>
      </c>
      <c r="J52" t="s">
        <v>56</v>
      </c>
      <c r="K52" t="s">
        <v>115</v>
      </c>
      <c r="L52">
        <v>7.814468991711423</v>
      </c>
    </row>
    <row r="53" spans="1:12" x14ac:dyDescent="0.35">
      <c r="A53" t="s">
        <v>49</v>
      </c>
      <c r="B53">
        <v>2</v>
      </c>
      <c r="C53" t="s">
        <v>216</v>
      </c>
      <c r="E53" t="s">
        <v>12</v>
      </c>
      <c r="G53" t="s">
        <v>68</v>
      </c>
      <c r="J53" t="s">
        <v>56</v>
      </c>
      <c r="K53" t="s">
        <v>110</v>
      </c>
      <c r="L53">
        <v>557247.875</v>
      </c>
    </row>
    <row r="54" spans="1:12" x14ac:dyDescent="0.35">
      <c r="A54" t="s">
        <v>49</v>
      </c>
      <c r="B54">
        <v>2</v>
      </c>
      <c r="C54" t="s">
        <v>216</v>
      </c>
      <c r="E54" t="s">
        <v>12</v>
      </c>
      <c r="G54" t="s">
        <v>68</v>
      </c>
      <c r="J54" t="s">
        <v>56</v>
      </c>
      <c r="K54" t="s">
        <v>114</v>
      </c>
      <c r="L54">
        <v>0.57269119769119758</v>
      </c>
    </row>
    <row r="55" spans="1:12" x14ac:dyDescent="0.35">
      <c r="A55" t="s">
        <v>49</v>
      </c>
      <c r="B55">
        <v>2</v>
      </c>
      <c r="C55" t="s">
        <v>216</v>
      </c>
      <c r="E55" t="s">
        <v>12</v>
      </c>
      <c r="G55" t="s">
        <v>68</v>
      </c>
      <c r="J55" t="s">
        <v>56</v>
      </c>
      <c r="K55" t="s">
        <v>115</v>
      </c>
      <c r="L55">
        <v>7.814468991711423</v>
      </c>
    </row>
    <row r="56" spans="1:12" x14ac:dyDescent="0.35">
      <c r="A56" t="s">
        <v>49</v>
      </c>
      <c r="B56">
        <v>2</v>
      </c>
      <c r="C56" t="s">
        <v>216</v>
      </c>
      <c r="E56" t="s">
        <v>10</v>
      </c>
      <c r="G56" t="s">
        <v>69</v>
      </c>
      <c r="J56" t="s">
        <v>56</v>
      </c>
      <c r="K56" t="s">
        <v>110</v>
      </c>
      <c r="L56">
        <v>887500.21428571432</v>
      </c>
    </row>
    <row r="57" spans="1:12" x14ac:dyDescent="0.35">
      <c r="A57" t="s">
        <v>49</v>
      </c>
      <c r="B57">
        <v>2</v>
      </c>
      <c r="C57" t="s">
        <v>216</v>
      </c>
      <c r="E57" t="s">
        <v>10</v>
      </c>
      <c r="G57" t="s">
        <v>69</v>
      </c>
      <c r="J57" t="s">
        <v>56</v>
      </c>
      <c r="K57" t="s">
        <v>114</v>
      </c>
      <c r="L57">
        <v>0.22944967090526897</v>
      </c>
    </row>
    <row r="58" spans="1:12" x14ac:dyDescent="0.35">
      <c r="A58" t="s">
        <v>49</v>
      </c>
      <c r="B58">
        <v>2</v>
      </c>
      <c r="C58" t="s">
        <v>216</v>
      </c>
      <c r="E58" t="s">
        <v>10</v>
      </c>
      <c r="G58" t="s">
        <v>69</v>
      </c>
      <c r="J58" t="s">
        <v>56</v>
      </c>
      <c r="K58" t="s">
        <v>115</v>
      </c>
      <c r="L58">
        <v>5.9389964337006811</v>
      </c>
    </row>
    <row r="59" spans="1:12" x14ac:dyDescent="0.35">
      <c r="A59" t="s">
        <v>49</v>
      </c>
      <c r="B59">
        <v>2</v>
      </c>
      <c r="C59" t="s">
        <v>216</v>
      </c>
      <c r="E59" t="s">
        <v>12</v>
      </c>
      <c r="G59" t="s">
        <v>69</v>
      </c>
      <c r="J59" t="s">
        <v>56</v>
      </c>
      <c r="K59" t="s">
        <v>110</v>
      </c>
      <c r="L59">
        <v>887500.21428571432</v>
      </c>
    </row>
    <row r="60" spans="1:12" x14ac:dyDescent="0.35">
      <c r="A60" t="s">
        <v>49</v>
      </c>
      <c r="B60">
        <v>2</v>
      </c>
      <c r="C60" t="s">
        <v>216</v>
      </c>
      <c r="E60" t="s">
        <v>12</v>
      </c>
      <c r="G60" t="s">
        <v>69</v>
      </c>
      <c r="J60" t="s">
        <v>56</v>
      </c>
      <c r="K60" t="s">
        <v>114</v>
      </c>
      <c r="L60">
        <v>0.22944967090526897</v>
      </c>
    </row>
    <row r="61" spans="1:12" x14ac:dyDescent="0.35">
      <c r="A61" t="s">
        <v>49</v>
      </c>
      <c r="B61">
        <v>2</v>
      </c>
      <c r="C61" t="s">
        <v>216</v>
      </c>
      <c r="E61" t="s">
        <v>12</v>
      </c>
      <c r="G61" t="s">
        <v>69</v>
      </c>
      <c r="J61" t="s">
        <v>56</v>
      </c>
      <c r="K61" t="s">
        <v>115</v>
      </c>
      <c r="L61">
        <v>5.9389964337006811</v>
      </c>
    </row>
    <row r="62" spans="1:12" x14ac:dyDescent="0.35">
      <c r="A62" t="s">
        <v>49</v>
      </c>
      <c r="B62">
        <v>3</v>
      </c>
      <c r="C62" t="s">
        <v>215</v>
      </c>
      <c r="G62" t="s">
        <v>65</v>
      </c>
      <c r="J62" t="s">
        <v>60</v>
      </c>
      <c r="K62" t="s">
        <v>110</v>
      </c>
      <c r="L62">
        <v>507824.03333333333</v>
      </c>
    </row>
    <row r="63" spans="1:12" x14ac:dyDescent="0.35">
      <c r="A63" t="s">
        <v>49</v>
      </c>
      <c r="B63">
        <v>3</v>
      </c>
      <c r="C63" t="s">
        <v>215</v>
      </c>
      <c r="G63" t="s">
        <v>65</v>
      </c>
      <c r="J63" t="s">
        <v>60</v>
      </c>
      <c r="K63" t="s">
        <v>114</v>
      </c>
      <c r="L63">
        <v>0.70316123608534298</v>
      </c>
    </row>
    <row r="64" spans="1:12" x14ac:dyDescent="0.35">
      <c r="A64" t="s">
        <v>49</v>
      </c>
      <c r="B64">
        <v>3</v>
      </c>
      <c r="C64" t="s">
        <v>215</v>
      </c>
      <c r="G64" t="s">
        <v>65</v>
      </c>
      <c r="J64" t="s">
        <v>60</v>
      </c>
      <c r="K64" t="s">
        <v>115</v>
      </c>
      <c r="L64">
        <v>7.814468991711423</v>
      </c>
    </row>
    <row r="65" spans="1:12" x14ac:dyDescent="0.35">
      <c r="A65" t="s">
        <v>49</v>
      </c>
      <c r="B65">
        <v>3</v>
      </c>
      <c r="C65" t="s">
        <v>215</v>
      </c>
      <c r="E65" t="s">
        <v>10</v>
      </c>
      <c r="G65" t="s">
        <v>70</v>
      </c>
      <c r="J65" t="s">
        <v>59</v>
      </c>
      <c r="K65" t="s">
        <v>110</v>
      </c>
      <c r="L65">
        <v>72634.162790697679</v>
      </c>
    </row>
    <row r="66" spans="1:12" x14ac:dyDescent="0.35">
      <c r="A66" t="s">
        <v>49</v>
      </c>
      <c r="B66">
        <v>3</v>
      </c>
      <c r="C66" t="s">
        <v>215</v>
      </c>
      <c r="E66" t="s">
        <v>10</v>
      </c>
      <c r="G66" t="s">
        <v>70</v>
      </c>
      <c r="J66" t="s">
        <v>59</v>
      </c>
      <c r="K66" t="s">
        <v>114</v>
      </c>
      <c r="L66">
        <v>0.44197515446533014</v>
      </c>
    </row>
    <row r="67" spans="1:12" x14ac:dyDescent="0.35">
      <c r="A67" t="s">
        <v>49</v>
      </c>
      <c r="B67">
        <v>3</v>
      </c>
      <c r="C67" t="s">
        <v>215</v>
      </c>
      <c r="E67" t="s">
        <v>10</v>
      </c>
      <c r="G67" t="s">
        <v>70</v>
      </c>
      <c r="J67" t="s">
        <v>59</v>
      </c>
      <c r="K67" t="s">
        <v>115</v>
      </c>
      <c r="L67">
        <v>3.613784727969656</v>
      </c>
    </row>
    <row r="68" spans="1:12" x14ac:dyDescent="0.35">
      <c r="A68" t="s">
        <v>49</v>
      </c>
      <c r="B68">
        <v>3</v>
      </c>
      <c r="C68" t="s">
        <v>215</v>
      </c>
      <c r="E68" t="s">
        <v>12</v>
      </c>
      <c r="G68" t="s">
        <v>70</v>
      </c>
      <c r="J68" t="s">
        <v>59</v>
      </c>
      <c r="K68" t="s">
        <v>110</v>
      </c>
      <c r="L68">
        <v>72634.162790697679</v>
      </c>
    </row>
    <row r="69" spans="1:12" x14ac:dyDescent="0.35">
      <c r="A69" t="s">
        <v>49</v>
      </c>
      <c r="B69">
        <v>3</v>
      </c>
      <c r="C69" t="s">
        <v>215</v>
      </c>
      <c r="E69" t="s">
        <v>12</v>
      </c>
      <c r="G69" t="s">
        <v>70</v>
      </c>
      <c r="J69" t="s">
        <v>59</v>
      </c>
      <c r="K69" t="s">
        <v>114</v>
      </c>
      <c r="L69">
        <v>0.44197515446533014</v>
      </c>
    </row>
    <row r="70" spans="1:12" x14ac:dyDescent="0.35">
      <c r="A70" t="s">
        <v>49</v>
      </c>
      <c r="B70">
        <v>3</v>
      </c>
      <c r="C70" t="s">
        <v>215</v>
      </c>
      <c r="E70" t="s">
        <v>12</v>
      </c>
      <c r="G70" t="s">
        <v>70</v>
      </c>
      <c r="J70" t="s">
        <v>59</v>
      </c>
      <c r="K70" t="s">
        <v>115</v>
      </c>
      <c r="L70">
        <v>3.613784727969656</v>
      </c>
    </row>
    <row r="71" spans="1:12" x14ac:dyDescent="0.35">
      <c r="A71" t="s">
        <v>49</v>
      </c>
      <c r="B71">
        <v>3</v>
      </c>
      <c r="C71" t="s">
        <v>215</v>
      </c>
      <c r="E71" t="s">
        <v>10</v>
      </c>
      <c r="G71" t="s">
        <v>68</v>
      </c>
      <c r="J71" t="s">
        <v>59</v>
      </c>
      <c r="K71" t="s">
        <v>110</v>
      </c>
      <c r="L71">
        <v>127961.88571428572</v>
      </c>
    </row>
    <row r="72" spans="1:12" x14ac:dyDescent="0.35">
      <c r="A72" t="s">
        <v>49</v>
      </c>
      <c r="B72">
        <v>3</v>
      </c>
      <c r="C72" t="s">
        <v>215</v>
      </c>
      <c r="E72" t="s">
        <v>10</v>
      </c>
      <c r="G72" t="s">
        <v>68</v>
      </c>
      <c r="J72" t="s">
        <v>59</v>
      </c>
      <c r="K72" t="s">
        <v>114</v>
      </c>
      <c r="L72">
        <v>0.3599861767971585</v>
      </c>
    </row>
    <row r="73" spans="1:12" x14ac:dyDescent="0.35">
      <c r="A73" t="s">
        <v>49</v>
      </c>
      <c r="B73">
        <v>3</v>
      </c>
      <c r="C73" t="s">
        <v>215</v>
      </c>
      <c r="E73" t="s">
        <v>10</v>
      </c>
      <c r="G73" t="s">
        <v>68</v>
      </c>
      <c r="J73" t="s">
        <v>59</v>
      </c>
      <c r="K73" t="s">
        <v>115</v>
      </c>
      <c r="L73">
        <v>3.613784727969656</v>
      </c>
    </row>
    <row r="74" spans="1:12" x14ac:dyDescent="0.35">
      <c r="A74" t="s">
        <v>49</v>
      </c>
      <c r="B74">
        <v>3</v>
      </c>
      <c r="C74" t="s">
        <v>215</v>
      </c>
      <c r="E74" t="s">
        <v>12</v>
      </c>
      <c r="G74" t="s">
        <v>68</v>
      </c>
      <c r="J74" t="s">
        <v>59</v>
      </c>
      <c r="K74" t="s">
        <v>110</v>
      </c>
      <c r="L74">
        <v>127961.88571428572</v>
      </c>
    </row>
    <row r="75" spans="1:12" x14ac:dyDescent="0.35">
      <c r="A75" t="s">
        <v>49</v>
      </c>
      <c r="B75">
        <v>3</v>
      </c>
      <c r="C75" t="s">
        <v>215</v>
      </c>
      <c r="E75" t="s">
        <v>12</v>
      </c>
      <c r="G75" t="s">
        <v>68</v>
      </c>
      <c r="J75" t="s">
        <v>59</v>
      </c>
      <c r="K75" t="s">
        <v>114</v>
      </c>
      <c r="L75">
        <v>0.3599861767971585</v>
      </c>
    </row>
    <row r="76" spans="1:12" x14ac:dyDescent="0.35">
      <c r="A76" t="s">
        <v>49</v>
      </c>
      <c r="B76">
        <v>3</v>
      </c>
      <c r="C76" t="s">
        <v>215</v>
      </c>
      <c r="E76" t="s">
        <v>12</v>
      </c>
      <c r="G76" t="s">
        <v>68</v>
      </c>
      <c r="J76" t="s">
        <v>59</v>
      </c>
      <c r="K76" t="s">
        <v>115</v>
      </c>
      <c r="L76">
        <v>3.613784727969656</v>
      </c>
    </row>
    <row r="77" spans="1:12" x14ac:dyDescent="0.35">
      <c r="A77" t="s">
        <v>49</v>
      </c>
      <c r="B77">
        <v>3</v>
      </c>
      <c r="C77" t="s">
        <v>215</v>
      </c>
      <c r="E77" t="s">
        <v>10</v>
      </c>
      <c r="G77" t="s">
        <v>69</v>
      </c>
      <c r="J77" t="s">
        <v>59</v>
      </c>
      <c r="K77" t="s">
        <v>110</v>
      </c>
      <c r="L77">
        <v>126939.31521530519</v>
      </c>
    </row>
    <row r="78" spans="1:12" x14ac:dyDescent="0.35">
      <c r="A78" t="s">
        <v>49</v>
      </c>
      <c r="B78">
        <v>3</v>
      </c>
      <c r="C78" t="s">
        <v>215</v>
      </c>
      <c r="E78" t="s">
        <v>10</v>
      </c>
      <c r="G78" t="s">
        <v>69</v>
      </c>
      <c r="J78" t="s">
        <v>59</v>
      </c>
      <c r="K78" t="s">
        <v>114</v>
      </c>
      <c r="L78">
        <v>0.1300214801796524</v>
      </c>
    </row>
    <row r="79" spans="1:12" x14ac:dyDescent="0.35">
      <c r="A79" t="s">
        <v>49</v>
      </c>
      <c r="B79">
        <v>3</v>
      </c>
      <c r="C79" t="s">
        <v>215</v>
      </c>
      <c r="E79" t="s">
        <v>10</v>
      </c>
      <c r="G79" t="s">
        <v>69</v>
      </c>
      <c r="J79" t="s">
        <v>59</v>
      </c>
      <c r="K79" t="s">
        <v>115</v>
      </c>
      <c r="L79">
        <v>2.7464763932569385</v>
      </c>
    </row>
    <row r="80" spans="1:12" x14ac:dyDescent="0.35">
      <c r="A80" t="s">
        <v>49</v>
      </c>
      <c r="B80">
        <v>3</v>
      </c>
      <c r="C80" t="s">
        <v>215</v>
      </c>
      <c r="E80" t="s">
        <v>12</v>
      </c>
      <c r="G80" t="s">
        <v>69</v>
      </c>
      <c r="J80" t="s">
        <v>59</v>
      </c>
      <c r="K80" t="s">
        <v>110</v>
      </c>
      <c r="L80">
        <v>126939.31521530519</v>
      </c>
    </row>
    <row r="81" spans="1:12" x14ac:dyDescent="0.35">
      <c r="A81" t="s">
        <v>49</v>
      </c>
      <c r="B81">
        <v>3</v>
      </c>
      <c r="C81" t="s">
        <v>215</v>
      </c>
      <c r="E81" t="s">
        <v>12</v>
      </c>
      <c r="G81" t="s">
        <v>69</v>
      </c>
      <c r="J81" t="s">
        <v>59</v>
      </c>
      <c r="K81" t="s">
        <v>114</v>
      </c>
      <c r="L81">
        <v>0.1300214801796524</v>
      </c>
    </row>
    <row r="82" spans="1:12" x14ac:dyDescent="0.35">
      <c r="A82" t="s">
        <v>49</v>
      </c>
      <c r="B82">
        <v>3</v>
      </c>
      <c r="C82" t="s">
        <v>215</v>
      </c>
      <c r="E82" t="s">
        <v>12</v>
      </c>
      <c r="G82" t="s">
        <v>69</v>
      </c>
      <c r="J82" t="s">
        <v>59</v>
      </c>
      <c r="K82" t="s">
        <v>115</v>
      </c>
      <c r="L82">
        <v>2.7464763932569385</v>
      </c>
    </row>
    <row r="83" spans="1:12" x14ac:dyDescent="0.35">
      <c r="A83" t="s">
        <v>136</v>
      </c>
      <c r="B83">
        <v>4</v>
      </c>
      <c r="C83" t="s">
        <v>139</v>
      </c>
      <c r="K83" t="s">
        <v>83</v>
      </c>
      <c r="L83">
        <v>30800</v>
      </c>
    </row>
    <row r="84" spans="1:12" x14ac:dyDescent="0.35">
      <c r="A84" t="s">
        <v>49</v>
      </c>
      <c r="B84">
        <v>5</v>
      </c>
      <c r="C84" t="s">
        <v>93</v>
      </c>
      <c r="G84" t="s">
        <v>69</v>
      </c>
      <c r="J84" t="s">
        <v>94</v>
      </c>
      <c r="K84" t="s">
        <v>110</v>
      </c>
      <c r="L84">
        <v>2200000</v>
      </c>
    </row>
    <row r="85" spans="1:12" x14ac:dyDescent="0.35">
      <c r="A85" t="s">
        <v>49</v>
      </c>
      <c r="B85">
        <v>5</v>
      </c>
      <c r="C85" t="s">
        <v>93</v>
      </c>
      <c r="G85" t="s">
        <v>69</v>
      </c>
      <c r="J85" t="s">
        <v>94</v>
      </c>
      <c r="K85" t="s">
        <v>114</v>
      </c>
      <c r="L85">
        <v>1.7782540748068197E-2</v>
      </c>
    </row>
    <row r="86" spans="1:12" x14ac:dyDescent="0.35">
      <c r="A86" t="s">
        <v>49</v>
      </c>
      <c r="B86">
        <v>5</v>
      </c>
      <c r="C86" t="s">
        <v>93</v>
      </c>
      <c r="G86" t="s">
        <v>69</v>
      </c>
      <c r="J86" t="s">
        <v>94</v>
      </c>
      <c r="K86" t="s">
        <v>115</v>
      </c>
      <c r="L86">
        <v>9.0474209917833246</v>
      </c>
    </row>
    <row r="87" spans="1:12" x14ac:dyDescent="0.35">
      <c r="A87" t="s">
        <v>49</v>
      </c>
      <c r="B87">
        <v>5</v>
      </c>
      <c r="C87" t="s">
        <v>93</v>
      </c>
      <c r="G87" t="s">
        <v>69</v>
      </c>
      <c r="J87" t="s">
        <v>95</v>
      </c>
      <c r="K87" t="s">
        <v>110</v>
      </c>
      <c r="L87">
        <v>2200000</v>
      </c>
    </row>
    <row r="88" spans="1:12" x14ac:dyDescent="0.35">
      <c r="A88" t="s">
        <v>49</v>
      </c>
      <c r="B88">
        <v>5</v>
      </c>
      <c r="C88" t="s">
        <v>93</v>
      </c>
      <c r="G88" t="s">
        <v>69</v>
      </c>
      <c r="J88" t="s">
        <v>95</v>
      </c>
      <c r="K88" t="s">
        <v>114</v>
      </c>
      <c r="L88">
        <v>3.2571058992039076E-2</v>
      </c>
    </row>
    <row r="89" spans="1:12" x14ac:dyDescent="0.35">
      <c r="A89" t="s">
        <v>49</v>
      </c>
      <c r="B89">
        <v>5</v>
      </c>
      <c r="C89" t="s">
        <v>93</v>
      </c>
      <c r="G89" t="s">
        <v>69</v>
      </c>
      <c r="J89" t="s">
        <v>95</v>
      </c>
      <c r="K89" t="s">
        <v>115</v>
      </c>
      <c r="L89">
        <v>8.3307280899871667</v>
      </c>
    </row>
    <row r="90" spans="1:12" x14ac:dyDescent="0.35">
      <c r="A90" t="s">
        <v>49</v>
      </c>
      <c r="B90">
        <v>5</v>
      </c>
      <c r="C90" t="s">
        <v>93</v>
      </c>
      <c r="G90" t="s">
        <v>65</v>
      </c>
      <c r="J90" t="s">
        <v>96</v>
      </c>
      <c r="K90" t="s">
        <v>110</v>
      </c>
      <c r="L90">
        <v>2200000</v>
      </c>
    </row>
    <row r="91" spans="1:12" x14ac:dyDescent="0.35">
      <c r="A91" t="s">
        <v>49</v>
      </c>
      <c r="B91">
        <v>5</v>
      </c>
      <c r="C91" t="s">
        <v>93</v>
      </c>
      <c r="G91" t="s">
        <v>65</v>
      </c>
      <c r="J91" t="s">
        <v>96</v>
      </c>
      <c r="K91" t="s">
        <v>114</v>
      </c>
      <c r="L91">
        <v>1.1884709668099125</v>
      </c>
    </row>
    <row r="92" spans="1:12" x14ac:dyDescent="0.35">
      <c r="A92" t="s">
        <v>49</v>
      </c>
      <c r="B92">
        <v>5</v>
      </c>
      <c r="C92" t="s">
        <v>93</v>
      </c>
      <c r="G92" t="s">
        <v>65</v>
      </c>
      <c r="J92" t="s">
        <v>96</v>
      </c>
      <c r="K92" t="s">
        <v>115</v>
      </c>
      <c r="L92">
        <v>15.951632821457332</v>
      </c>
    </row>
    <row r="93" spans="1:12" x14ac:dyDescent="0.35">
      <c r="A93" t="s">
        <v>49</v>
      </c>
      <c r="B93">
        <v>5</v>
      </c>
      <c r="C93" t="s">
        <v>93</v>
      </c>
      <c r="G93" t="s">
        <v>69</v>
      </c>
      <c r="J93" t="s">
        <v>96</v>
      </c>
      <c r="K93" t="s">
        <v>110</v>
      </c>
      <c r="L93">
        <v>2200000</v>
      </c>
    </row>
    <row r="94" spans="1:12" x14ac:dyDescent="0.35">
      <c r="A94" t="s">
        <v>49</v>
      </c>
      <c r="B94">
        <v>5</v>
      </c>
      <c r="C94" t="s">
        <v>93</v>
      </c>
      <c r="G94" t="s">
        <v>69</v>
      </c>
      <c r="J94" t="s">
        <v>96</v>
      </c>
      <c r="K94" t="s">
        <v>114</v>
      </c>
      <c r="L94">
        <v>1.1884709668099125</v>
      </c>
    </row>
    <row r="95" spans="1:12" x14ac:dyDescent="0.35">
      <c r="A95" t="s">
        <v>49</v>
      </c>
      <c r="B95">
        <v>5</v>
      </c>
      <c r="C95" t="s">
        <v>93</v>
      </c>
      <c r="G95" t="s">
        <v>69</v>
      </c>
      <c r="J95" t="s">
        <v>96</v>
      </c>
      <c r="K95" t="s">
        <v>115</v>
      </c>
      <c r="L95">
        <v>15.951632821457332</v>
      </c>
    </row>
    <row r="96" spans="1:12" x14ac:dyDescent="0.35">
      <c r="A96" t="s">
        <v>143</v>
      </c>
      <c r="B96">
        <v>6</v>
      </c>
      <c r="C96" t="s">
        <v>143</v>
      </c>
      <c r="K96" t="s">
        <v>217</v>
      </c>
      <c r="L96">
        <v>50</v>
      </c>
    </row>
    <row r="97" spans="1:12" x14ac:dyDescent="0.35">
      <c r="A97" t="s">
        <v>39</v>
      </c>
      <c r="B97">
        <v>7</v>
      </c>
      <c r="C97" t="s">
        <v>220</v>
      </c>
      <c r="K97" t="s">
        <v>144</v>
      </c>
      <c r="L97">
        <v>750</v>
      </c>
    </row>
    <row r="98" spans="1:12" x14ac:dyDescent="0.35">
      <c r="A98" t="s">
        <v>84</v>
      </c>
      <c r="B98">
        <v>8</v>
      </c>
      <c r="C98" t="s">
        <v>205</v>
      </c>
      <c r="D98" t="s">
        <v>37</v>
      </c>
      <c r="E98" t="s">
        <v>10</v>
      </c>
      <c r="I98" t="s">
        <v>111</v>
      </c>
      <c r="K98" t="s">
        <v>214</v>
      </c>
    </row>
    <row r="99" spans="1:12" x14ac:dyDescent="0.35">
      <c r="A99" t="s">
        <v>84</v>
      </c>
      <c r="B99">
        <v>8</v>
      </c>
      <c r="C99" t="s">
        <v>205</v>
      </c>
      <c r="D99" t="s">
        <v>37</v>
      </c>
      <c r="E99" t="s">
        <v>12</v>
      </c>
      <c r="I99" t="s">
        <v>111</v>
      </c>
      <c r="K99" t="s">
        <v>214</v>
      </c>
    </row>
    <row r="100" spans="1:12" x14ac:dyDescent="0.35">
      <c r="A100" t="s">
        <v>84</v>
      </c>
      <c r="B100">
        <v>8</v>
      </c>
      <c r="C100" t="s">
        <v>205</v>
      </c>
      <c r="D100" t="s">
        <v>37</v>
      </c>
      <c r="E100" t="s">
        <v>10</v>
      </c>
      <c r="I100" t="s">
        <v>112</v>
      </c>
      <c r="K100" t="s">
        <v>214</v>
      </c>
    </row>
    <row r="101" spans="1:12" x14ac:dyDescent="0.35">
      <c r="A101" t="s">
        <v>84</v>
      </c>
      <c r="B101">
        <v>8</v>
      </c>
      <c r="C101" t="s">
        <v>205</v>
      </c>
      <c r="D101" t="s">
        <v>37</v>
      </c>
      <c r="E101" t="s">
        <v>12</v>
      </c>
      <c r="I101" t="s">
        <v>113</v>
      </c>
      <c r="K101" t="s">
        <v>214</v>
      </c>
    </row>
    <row r="102" spans="1:12" x14ac:dyDescent="0.35">
      <c r="A102" t="s">
        <v>84</v>
      </c>
      <c r="B102">
        <v>8</v>
      </c>
      <c r="C102" t="s">
        <v>205</v>
      </c>
      <c r="D102" t="s">
        <v>37</v>
      </c>
      <c r="E102" t="s">
        <v>10</v>
      </c>
      <c r="I102" t="s">
        <v>111</v>
      </c>
      <c r="K102" t="s">
        <v>212</v>
      </c>
      <c r="L102">
        <v>3000</v>
      </c>
    </row>
    <row r="103" spans="1:12" x14ac:dyDescent="0.35">
      <c r="A103" t="s">
        <v>84</v>
      </c>
      <c r="B103">
        <v>8</v>
      </c>
      <c r="C103" t="s">
        <v>205</v>
      </c>
      <c r="D103" t="s">
        <v>37</v>
      </c>
      <c r="E103" t="s">
        <v>12</v>
      </c>
      <c r="I103" t="s">
        <v>111</v>
      </c>
      <c r="K103" t="s">
        <v>212</v>
      </c>
      <c r="L103">
        <v>3000</v>
      </c>
    </row>
    <row r="104" spans="1:12" x14ac:dyDescent="0.35">
      <c r="A104" t="s">
        <v>84</v>
      </c>
      <c r="B104">
        <v>8</v>
      </c>
      <c r="C104" t="s">
        <v>205</v>
      </c>
      <c r="D104" t="s">
        <v>37</v>
      </c>
      <c r="E104" t="s">
        <v>10</v>
      </c>
      <c r="I104" t="s">
        <v>112</v>
      </c>
      <c r="K104" t="s">
        <v>212</v>
      </c>
      <c r="L104">
        <v>375000</v>
      </c>
    </row>
    <row r="105" spans="1:12" x14ac:dyDescent="0.35">
      <c r="A105" t="s">
        <v>84</v>
      </c>
      <c r="B105">
        <v>8</v>
      </c>
      <c r="C105" t="s">
        <v>205</v>
      </c>
      <c r="D105" t="s">
        <v>37</v>
      </c>
      <c r="E105" t="s">
        <v>12</v>
      </c>
      <c r="I105" t="s">
        <v>113</v>
      </c>
      <c r="K105" t="s">
        <v>212</v>
      </c>
      <c r="L105">
        <v>375000</v>
      </c>
    </row>
    <row r="106" spans="1:12" x14ac:dyDescent="0.35">
      <c r="A106" t="s">
        <v>22</v>
      </c>
      <c r="B106">
        <v>9</v>
      </c>
      <c r="C106" t="s">
        <v>22</v>
      </c>
      <c r="G106" t="s">
        <v>70</v>
      </c>
      <c r="H106" t="s">
        <v>23</v>
      </c>
      <c r="K106" t="s">
        <v>114</v>
      </c>
    </row>
    <row r="107" spans="1:12" x14ac:dyDescent="0.35">
      <c r="A107" t="s">
        <v>22</v>
      </c>
      <c r="B107">
        <v>9</v>
      </c>
      <c r="C107" t="s">
        <v>22</v>
      </c>
      <c r="G107" t="s">
        <v>70</v>
      </c>
      <c r="H107" t="s">
        <v>25</v>
      </c>
      <c r="K107" t="s">
        <v>114</v>
      </c>
    </row>
    <row r="108" spans="1:12" x14ac:dyDescent="0.35">
      <c r="A108" t="s">
        <v>22</v>
      </c>
      <c r="B108">
        <v>9</v>
      </c>
      <c r="C108" t="s">
        <v>22</v>
      </c>
      <c r="G108" t="s">
        <v>65</v>
      </c>
      <c r="H108" t="s">
        <v>25</v>
      </c>
      <c r="K108" t="s">
        <v>114</v>
      </c>
    </row>
    <row r="109" spans="1:12" x14ac:dyDescent="0.35">
      <c r="A109" t="s">
        <v>22</v>
      </c>
      <c r="B109">
        <v>9</v>
      </c>
      <c r="C109" t="s">
        <v>22</v>
      </c>
      <c r="G109" t="s">
        <v>65</v>
      </c>
      <c r="H109" t="s">
        <v>26</v>
      </c>
      <c r="K109" t="s">
        <v>114</v>
      </c>
    </row>
    <row r="110" spans="1:12" x14ac:dyDescent="0.35">
      <c r="A110" t="s">
        <v>22</v>
      </c>
      <c r="B110">
        <v>9</v>
      </c>
      <c r="C110" t="s">
        <v>22</v>
      </c>
      <c r="G110" t="s">
        <v>65</v>
      </c>
      <c r="H110" t="s">
        <v>27</v>
      </c>
      <c r="K110" t="s">
        <v>114</v>
      </c>
    </row>
    <row r="111" spans="1:12" x14ac:dyDescent="0.35">
      <c r="A111" t="s">
        <v>22</v>
      </c>
      <c r="B111">
        <v>9</v>
      </c>
      <c r="C111" t="s">
        <v>22</v>
      </c>
      <c r="G111" t="s">
        <v>69</v>
      </c>
      <c r="H111" t="s">
        <v>23</v>
      </c>
      <c r="K111" t="s">
        <v>114</v>
      </c>
    </row>
    <row r="112" spans="1:12" x14ac:dyDescent="0.35">
      <c r="A112" t="s">
        <v>22</v>
      </c>
      <c r="B112">
        <v>9</v>
      </c>
      <c r="C112" t="s">
        <v>22</v>
      </c>
      <c r="G112" t="s">
        <v>69</v>
      </c>
      <c r="H112" t="s">
        <v>25</v>
      </c>
      <c r="K112" t="s">
        <v>114</v>
      </c>
    </row>
    <row r="113" spans="1:12" x14ac:dyDescent="0.35">
      <c r="A113" t="s">
        <v>22</v>
      </c>
      <c r="B113">
        <v>9</v>
      </c>
      <c r="C113" t="s">
        <v>22</v>
      </c>
      <c r="G113" t="s">
        <v>69</v>
      </c>
      <c r="H113" t="s">
        <v>26</v>
      </c>
      <c r="K113" t="s">
        <v>114</v>
      </c>
    </row>
    <row r="114" spans="1:12" x14ac:dyDescent="0.35">
      <c r="A114" t="s">
        <v>22</v>
      </c>
      <c r="B114">
        <v>9</v>
      </c>
      <c r="C114" t="s">
        <v>22</v>
      </c>
      <c r="G114" t="s">
        <v>69</v>
      </c>
      <c r="H114" t="s">
        <v>27</v>
      </c>
      <c r="K114" t="s">
        <v>114</v>
      </c>
    </row>
    <row r="115" spans="1:12" x14ac:dyDescent="0.35">
      <c r="A115" t="s">
        <v>22</v>
      </c>
      <c r="B115">
        <v>9</v>
      </c>
      <c r="C115" t="s">
        <v>22</v>
      </c>
      <c r="G115" t="s">
        <v>70</v>
      </c>
      <c r="H115" t="s">
        <v>23</v>
      </c>
      <c r="K115" t="s">
        <v>206</v>
      </c>
    </row>
    <row r="116" spans="1:12" x14ac:dyDescent="0.35">
      <c r="A116" t="s">
        <v>22</v>
      </c>
      <c r="B116">
        <v>9</v>
      </c>
      <c r="C116" t="s">
        <v>22</v>
      </c>
      <c r="G116" t="s">
        <v>70</v>
      </c>
      <c r="H116" t="s">
        <v>25</v>
      </c>
      <c r="K116" t="s">
        <v>206</v>
      </c>
    </row>
    <row r="117" spans="1:12" x14ac:dyDescent="0.35">
      <c r="A117" t="s">
        <v>22</v>
      </c>
      <c r="B117">
        <v>9</v>
      </c>
      <c r="C117" t="s">
        <v>22</v>
      </c>
      <c r="G117" t="s">
        <v>65</v>
      </c>
      <c r="H117" t="s">
        <v>25</v>
      </c>
      <c r="K117" t="s">
        <v>206</v>
      </c>
    </row>
    <row r="118" spans="1:12" x14ac:dyDescent="0.35">
      <c r="A118" t="s">
        <v>22</v>
      </c>
      <c r="B118">
        <v>9</v>
      </c>
      <c r="C118" t="s">
        <v>22</v>
      </c>
      <c r="G118" t="s">
        <v>65</v>
      </c>
      <c r="H118" t="s">
        <v>26</v>
      </c>
      <c r="K118" t="s">
        <v>206</v>
      </c>
    </row>
    <row r="119" spans="1:12" x14ac:dyDescent="0.35">
      <c r="A119" t="s">
        <v>22</v>
      </c>
      <c r="B119">
        <v>9</v>
      </c>
      <c r="C119" t="s">
        <v>22</v>
      </c>
      <c r="G119" t="s">
        <v>65</v>
      </c>
      <c r="H119" t="s">
        <v>27</v>
      </c>
      <c r="K119" t="s">
        <v>206</v>
      </c>
    </row>
    <row r="120" spans="1:12" x14ac:dyDescent="0.35">
      <c r="A120" t="s">
        <v>22</v>
      </c>
      <c r="B120">
        <v>9</v>
      </c>
      <c r="C120" t="s">
        <v>22</v>
      </c>
      <c r="G120" t="s">
        <v>69</v>
      </c>
      <c r="H120" t="s">
        <v>23</v>
      </c>
      <c r="K120" t="s">
        <v>206</v>
      </c>
    </row>
    <row r="121" spans="1:12" x14ac:dyDescent="0.35">
      <c r="A121" t="s">
        <v>22</v>
      </c>
      <c r="B121">
        <v>9</v>
      </c>
      <c r="C121" t="s">
        <v>22</v>
      </c>
      <c r="G121" t="s">
        <v>69</v>
      </c>
      <c r="H121" t="s">
        <v>25</v>
      </c>
      <c r="K121" t="s">
        <v>206</v>
      </c>
    </row>
    <row r="122" spans="1:12" x14ac:dyDescent="0.35">
      <c r="A122" t="s">
        <v>22</v>
      </c>
      <c r="B122">
        <v>9</v>
      </c>
      <c r="C122" t="s">
        <v>22</v>
      </c>
      <c r="G122" t="s">
        <v>69</v>
      </c>
      <c r="H122" t="s">
        <v>26</v>
      </c>
      <c r="K122" t="s">
        <v>206</v>
      </c>
    </row>
    <row r="123" spans="1:12" x14ac:dyDescent="0.35">
      <c r="A123" t="s">
        <v>22</v>
      </c>
      <c r="B123">
        <v>9</v>
      </c>
      <c r="C123" t="s">
        <v>22</v>
      </c>
      <c r="G123" t="s">
        <v>69</v>
      </c>
      <c r="H123" t="s">
        <v>27</v>
      </c>
      <c r="K123" t="s">
        <v>206</v>
      </c>
    </row>
    <row r="124" spans="1:12" x14ac:dyDescent="0.35">
      <c r="A124" t="s">
        <v>22</v>
      </c>
      <c r="B124">
        <v>9</v>
      </c>
      <c r="C124" t="s">
        <v>22</v>
      </c>
      <c r="G124" t="s">
        <v>70</v>
      </c>
      <c r="H124" t="s">
        <v>23</v>
      </c>
      <c r="K124" t="s">
        <v>110</v>
      </c>
      <c r="L124">
        <v>42100</v>
      </c>
    </row>
    <row r="125" spans="1:12" x14ac:dyDescent="0.35">
      <c r="A125" t="s">
        <v>22</v>
      </c>
      <c r="B125">
        <v>9</v>
      </c>
      <c r="C125" t="s">
        <v>22</v>
      </c>
      <c r="G125" t="s">
        <v>70</v>
      </c>
      <c r="H125" t="s">
        <v>25</v>
      </c>
      <c r="K125" t="s">
        <v>110</v>
      </c>
      <c r="L125">
        <v>49000</v>
      </c>
    </row>
    <row r="126" spans="1:12" x14ac:dyDescent="0.35">
      <c r="A126" t="s">
        <v>22</v>
      </c>
      <c r="B126">
        <v>9</v>
      </c>
      <c r="C126" t="s">
        <v>22</v>
      </c>
      <c r="G126" t="s">
        <v>65</v>
      </c>
      <c r="H126" t="s">
        <v>25</v>
      </c>
      <c r="K126" t="s">
        <v>110</v>
      </c>
      <c r="L126">
        <v>49000</v>
      </c>
    </row>
    <row r="127" spans="1:12" x14ac:dyDescent="0.35">
      <c r="A127" t="s">
        <v>22</v>
      </c>
      <c r="B127">
        <v>9</v>
      </c>
      <c r="C127" t="s">
        <v>22</v>
      </c>
      <c r="G127" t="s">
        <v>65</v>
      </c>
      <c r="H127" t="s">
        <v>26</v>
      </c>
      <c r="K127" t="s">
        <v>110</v>
      </c>
      <c r="L127">
        <v>175000</v>
      </c>
    </row>
    <row r="128" spans="1:12" x14ac:dyDescent="0.35">
      <c r="A128" t="s">
        <v>22</v>
      </c>
      <c r="B128">
        <v>9</v>
      </c>
      <c r="C128" t="s">
        <v>22</v>
      </c>
      <c r="G128" t="s">
        <v>65</v>
      </c>
      <c r="H128" t="s">
        <v>27</v>
      </c>
      <c r="K128" t="s">
        <v>110</v>
      </c>
      <c r="L128">
        <v>100000</v>
      </c>
    </row>
    <row r="129" spans="1:12" x14ac:dyDescent="0.35">
      <c r="A129" t="s">
        <v>22</v>
      </c>
      <c r="B129">
        <v>9</v>
      </c>
      <c r="C129" t="s">
        <v>22</v>
      </c>
      <c r="G129" t="s">
        <v>69</v>
      </c>
      <c r="H129" t="s">
        <v>23</v>
      </c>
      <c r="K129" t="s">
        <v>110</v>
      </c>
      <c r="L129">
        <v>67000</v>
      </c>
    </row>
    <row r="130" spans="1:12" x14ac:dyDescent="0.35">
      <c r="A130" t="s">
        <v>22</v>
      </c>
      <c r="B130">
        <v>9</v>
      </c>
      <c r="C130" t="s">
        <v>22</v>
      </c>
      <c r="G130" t="s">
        <v>69</v>
      </c>
      <c r="H130" t="s">
        <v>25</v>
      </c>
      <c r="K130" t="s">
        <v>110</v>
      </c>
      <c r="L130">
        <v>45000</v>
      </c>
    </row>
    <row r="131" spans="1:12" x14ac:dyDescent="0.35">
      <c r="A131" t="s">
        <v>22</v>
      </c>
      <c r="B131">
        <v>9</v>
      </c>
      <c r="C131" t="s">
        <v>22</v>
      </c>
      <c r="G131" t="s">
        <v>69</v>
      </c>
      <c r="H131" t="s">
        <v>26</v>
      </c>
      <c r="K131" t="s">
        <v>110</v>
      </c>
      <c r="L131">
        <v>316000</v>
      </c>
    </row>
    <row r="132" spans="1:12" x14ac:dyDescent="0.35">
      <c r="A132" t="s">
        <v>22</v>
      </c>
      <c r="B132">
        <v>9</v>
      </c>
      <c r="C132" t="s">
        <v>22</v>
      </c>
      <c r="G132" t="s">
        <v>69</v>
      </c>
      <c r="H132" t="s">
        <v>27</v>
      </c>
      <c r="K132" t="s">
        <v>110</v>
      </c>
      <c r="L132">
        <v>240000</v>
      </c>
    </row>
    <row r="133" spans="1:12" x14ac:dyDescent="0.35">
      <c r="A133" t="s">
        <v>179</v>
      </c>
      <c r="B133">
        <v>10</v>
      </c>
      <c r="C133" t="s">
        <v>210</v>
      </c>
      <c r="K133" t="s">
        <v>211</v>
      </c>
      <c r="L133">
        <v>8200</v>
      </c>
    </row>
    <row r="134" spans="1:12" x14ac:dyDescent="0.35">
      <c r="A134" t="s">
        <v>80</v>
      </c>
      <c r="B134">
        <v>11</v>
      </c>
      <c r="C134" t="s">
        <v>80</v>
      </c>
      <c r="F134" t="s">
        <v>14</v>
      </c>
      <c r="K134" t="s">
        <v>104</v>
      </c>
      <c r="L134">
        <v>938</v>
      </c>
    </row>
    <row r="135" spans="1:12" x14ac:dyDescent="0.35">
      <c r="A135" t="s">
        <v>80</v>
      </c>
      <c r="B135">
        <v>11</v>
      </c>
      <c r="C135" t="s">
        <v>80</v>
      </c>
      <c r="F135" t="s">
        <v>14</v>
      </c>
      <c r="K135" t="s">
        <v>105</v>
      </c>
      <c r="L135">
        <v>3090</v>
      </c>
    </row>
    <row r="136" spans="1:12" x14ac:dyDescent="0.35">
      <c r="A136" t="s">
        <v>80</v>
      </c>
      <c r="B136">
        <v>11</v>
      </c>
      <c r="C136" t="s">
        <v>80</v>
      </c>
      <c r="F136" t="s">
        <v>106</v>
      </c>
      <c r="K136" t="s">
        <v>104</v>
      </c>
      <c r="L136">
        <v>28401</v>
      </c>
    </row>
    <row r="137" spans="1:12" x14ac:dyDescent="0.35">
      <c r="A137" t="s">
        <v>80</v>
      </c>
      <c r="B137">
        <v>11</v>
      </c>
      <c r="C137" t="s">
        <v>80</v>
      </c>
      <c r="F137" t="s">
        <v>106</v>
      </c>
      <c r="K137" t="s">
        <v>105</v>
      </c>
      <c r="L137">
        <v>26964</v>
      </c>
    </row>
    <row r="138" spans="1:12" x14ac:dyDescent="0.35">
      <c r="A138" t="s">
        <v>80</v>
      </c>
      <c r="B138">
        <v>11</v>
      </c>
      <c r="C138" t="s">
        <v>80</v>
      </c>
      <c r="F138" t="s">
        <v>107</v>
      </c>
      <c r="K138" t="s">
        <v>104</v>
      </c>
      <c r="L138">
        <v>75000</v>
      </c>
    </row>
    <row r="139" spans="1:12" x14ac:dyDescent="0.35">
      <c r="A139" t="s">
        <v>80</v>
      </c>
      <c r="B139">
        <v>11</v>
      </c>
      <c r="C139" t="s">
        <v>80</v>
      </c>
      <c r="F139" t="s">
        <v>107</v>
      </c>
      <c r="K139" t="s">
        <v>105</v>
      </c>
      <c r="L139">
        <v>28312</v>
      </c>
    </row>
    <row r="140" spans="1:12" x14ac:dyDescent="0.35">
      <c r="A140" t="s">
        <v>80</v>
      </c>
      <c r="B140">
        <v>11</v>
      </c>
      <c r="C140" t="s">
        <v>80</v>
      </c>
      <c r="F140" t="s">
        <v>18</v>
      </c>
      <c r="K140" t="s">
        <v>104</v>
      </c>
      <c r="L140">
        <v>28401</v>
      </c>
    </row>
    <row r="141" spans="1:12" x14ac:dyDescent="0.35">
      <c r="A141" t="s">
        <v>80</v>
      </c>
      <c r="B141">
        <v>11</v>
      </c>
      <c r="C141" t="s">
        <v>80</v>
      </c>
      <c r="F141" t="s">
        <v>18</v>
      </c>
      <c r="K141" t="s">
        <v>105</v>
      </c>
      <c r="L141">
        <v>26964</v>
      </c>
    </row>
    <row r="142" spans="1:12" x14ac:dyDescent="0.35">
      <c r="A142" t="s">
        <v>80</v>
      </c>
      <c r="B142">
        <v>11</v>
      </c>
      <c r="C142" t="s">
        <v>80</v>
      </c>
      <c r="F142" t="s">
        <v>19</v>
      </c>
      <c r="K142" t="s">
        <v>104</v>
      </c>
      <c r="L142">
        <v>140000</v>
      </c>
    </row>
    <row r="143" spans="1:12" x14ac:dyDescent="0.35">
      <c r="A143" t="s">
        <v>80</v>
      </c>
      <c r="B143">
        <v>11</v>
      </c>
      <c r="C143" t="s">
        <v>80</v>
      </c>
      <c r="F143" t="s">
        <v>19</v>
      </c>
      <c r="K143" t="s">
        <v>105</v>
      </c>
      <c r="L143">
        <v>39097</v>
      </c>
    </row>
    <row r="144" spans="1:12" x14ac:dyDescent="0.35">
      <c r="A144" t="s">
        <v>80</v>
      </c>
      <c r="B144">
        <v>11</v>
      </c>
      <c r="C144" t="s">
        <v>80</v>
      </c>
      <c r="F144" t="s">
        <v>108</v>
      </c>
      <c r="K144" t="s">
        <v>104</v>
      </c>
      <c r="L144">
        <v>50000</v>
      </c>
    </row>
    <row r="145" spans="1:12" x14ac:dyDescent="0.35">
      <c r="A145" t="s">
        <v>80</v>
      </c>
      <c r="B145">
        <v>11</v>
      </c>
      <c r="C145" t="s">
        <v>80</v>
      </c>
      <c r="F145" t="s">
        <v>108</v>
      </c>
      <c r="K145" t="s">
        <v>105</v>
      </c>
      <c r="L145">
        <v>39097</v>
      </c>
    </row>
    <row r="146" spans="1:12" x14ac:dyDescent="0.35">
      <c r="A146" t="s">
        <v>80</v>
      </c>
      <c r="B146">
        <v>11</v>
      </c>
      <c r="C146" t="s">
        <v>80</v>
      </c>
      <c r="F146" t="s">
        <v>109</v>
      </c>
      <c r="K146" t="s">
        <v>104</v>
      </c>
      <c r="L146">
        <v>28401</v>
      </c>
    </row>
    <row r="147" spans="1:12" x14ac:dyDescent="0.35">
      <c r="A147" t="s">
        <v>80</v>
      </c>
      <c r="B147">
        <v>11</v>
      </c>
      <c r="C147" t="s">
        <v>80</v>
      </c>
      <c r="F147" t="s">
        <v>109</v>
      </c>
      <c r="K147" t="s">
        <v>105</v>
      </c>
      <c r="L147">
        <v>26964</v>
      </c>
    </row>
    <row r="148" spans="1:12" x14ac:dyDescent="0.35">
      <c r="A148" t="s">
        <v>101</v>
      </c>
      <c r="B148">
        <v>12</v>
      </c>
      <c r="C148" t="s">
        <v>101</v>
      </c>
      <c r="D148" t="s">
        <v>34</v>
      </c>
      <c r="E148" t="s">
        <v>10</v>
      </c>
      <c r="K148" t="s">
        <v>102</v>
      </c>
      <c r="L148">
        <v>3971846.68</v>
      </c>
    </row>
    <row r="149" spans="1:12" x14ac:dyDescent="0.35">
      <c r="A149" t="s">
        <v>101</v>
      </c>
      <c r="B149">
        <v>12</v>
      </c>
      <c r="C149" t="s">
        <v>101</v>
      </c>
      <c r="D149" t="s">
        <v>34</v>
      </c>
      <c r="E149" t="s">
        <v>10</v>
      </c>
      <c r="K149" t="s">
        <v>103</v>
      </c>
      <c r="L149">
        <v>397184.66800000006</v>
      </c>
    </row>
    <row r="150" spans="1:12" x14ac:dyDescent="0.35">
      <c r="A150" t="s">
        <v>101</v>
      </c>
      <c r="B150">
        <v>12</v>
      </c>
      <c r="C150" t="s">
        <v>101</v>
      </c>
      <c r="D150" t="s">
        <v>34</v>
      </c>
      <c r="E150" t="s">
        <v>12</v>
      </c>
      <c r="K150" t="s">
        <v>102</v>
      </c>
      <c r="L150">
        <v>2785357.2850000001</v>
      </c>
    </row>
    <row r="151" spans="1:12" x14ac:dyDescent="0.35">
      <c r="A151" t="s">
        <v>101</v>
      </c>
      <c r="B151">
        <v>12</v>
      </c>
      <c r="C151" t="s">
        <v>101</v>
      </c>
      <c r="D151" t="s">
        <v>34</v>
      </c>
      <c r="E151" t="s">
        <v>12</v>
      </c>
      <c r="K151" t="s">
        <v>103</v>
      </c>
      <c r="L151">
        <v>278535.72850000003</v>
      </c>
    </row>
    <row r="152" spans="1:12" x14ac:dyDescent="0.35">
      <c r="A152" t="s">
        <v>101</v>
      </c>
      <c r="B152">
        <v>12</v>
      </c>
      <c r="C152" t="s">
        <v>101</v>
      </c>
      <c r="D152" t="s">
        <v>37</v>
      </c>
      <c r="E152" t="s">
        <v>10</v>
      </c>
      <c r="K152" t="s">
        <v>102</v>
      </c>
      <c r="L152">
        <v>3275809.4</v>
      </c>
    </row>
    <row r="153" spans="1:12" x14ac:dyDescent="0.35">
      <c r="A153" t="s">
        <v>101</v>
      </c>
      <c r="B153">
        <v>12</v>
      </c>
      <c r="C153" t="s">
        <v>101</v>
      </c>
      <c r="D153" t="s">
        <v>37</v>
      </c>
      <c r="E153" t="s">
        <v>10</v>
      </c>
      <c r="K153" t="s">
        <v>103</v>
      </c>
      <c r="L153">
        <v>327580.94</v>
      </c>
    </row>
    <row r="154" spans="1:12" x14ac:dyDescent="0.35">
      <c r="A154" t="s">
        <v>101</v>
      </c>
      <c r="B154">
        <v>12</v>
      </c>
      <c r="C154" t="s">
        <v>101</v>
      </c>
      <c r="D154" t="s">
        <v>37</v>
      </c>
      <c r="E154" t="s">
        <v>12</v>
      </c>
      <c r="K154" t="s">
        <v>102</v>
      </c>
      <c r="L154">
        <v>1629814.7250000001</v>
      </c>
    </row>
    <row r="155" spans="1:12" x14ac:dyDescent="0.35">
      <c r="A155" t="s">
        <v>101</v>
      </c>
      <c r="B155">
        <v>12</v>
      </c>
      <c r="C155" t="s">
        <v>101</v>
      </c>
      <c r="D155" t="s">
        <v>37</v>
      </c>
      <c r="E155" t="s">
        <v>12</v>
      </c>
      <c r="K155" t="s">
        <v>103</v>
      </c>
      <c r="L155">
        <v>162981.47250000003</v>
      </c>
    </row>
    <row r="156" spans="1:12" x14ac:dyDescent="0.35">
      <c r="A156" t="s">
        <v>221</v>
      </c>
      <c r="B156">
        <v>13</v>
      </c>
      <c r="C156" t="s">
        <v>222</v>
      </c>
      <c r="G156" t="s">
        <v>70</v>
      </c>
      <c r="K156" t="s">
        <v>223</v>
      </c>
      <c r="L156">
        <v>3.4649999999999999</v>
      </c>
    </row>
    <row r="157" spans="1:12" x14ac:dyDescent="0.35">
      <c r="A157" t="s">
        <v>221</v>
      </c>
      <c r="B157">
        <v>13</v>
      </c>
      <c r="C157" t="s">
        <v>222</v>
      </c>
      <c r="G157" t="s">
        <v>65</v>
      </c>
      <c r="K157" t="s">
        <v>223</v>
      </c>
      <c r="L157">
        <v>3.8809999999999998</v>
      </c>
    </row>
    <row r="158" spans="1:12" x14ac:dyDescent="0.35">
      <c r="A158" t="s">
        <v>221</v>
      </c>
      <c r="B158">
        <v>13</v>
      </c>
      <c r="C158" t="s">
        <v>222</v>
      </c>
      <c r="G158" t="s">
        <v>226</v>
      </c>
      <c r="K158" t="s">
        <v>224</v>
      </c>
      <c r="L158">
        <v>0.1148</v>
      </c>
    </row>
    <row r="159" spans="1:12" x14ac:dyDescent="0.35">
      <c r="A159" t="s">
        <v>221</v>
      </c>
      <c r="B159">
        <v>13</v>
      </c>
      <c r="C159" t="s">
        <v>222</v>
      </c>
      <c r="G159" t="s">
        <v>68</v>
      </c>
      <c r="K159" t="s">
        <v>225</v>
      </c>
      <c r="L159">
        <v>2.54</v>
      </c>
    </row>
    <row r="160" spans="1:12" x14ac:dyDescent="0.35">
      <c r="A160" t="s">
        <v>134</v>
      </c>
      <c r="B160">
        <v>13</v>
      </c>
      <c r="C160" t="s">
        <v>227</v>
      </c>
      <c r="D160">
        <v>2025</v>
      </c>
      <c r="K160" t="s">
        <v>228</v>
      </c>
      <c r="L160">
        <v>1000000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"/>
  <sheetViews>
    <sheetView workbookViewId="0">
      <selection activeCell="E12" sqref="E12"/>
    </sheetView>
  </sheetViews>
  <sheetFormatPr defaultRowHeight="14.5" x14ac:dyDescent="0.35"/>
  <sheetData>
    <row r="1" spans="1:1" x14ac:dyDescent="0.35">
      <c r="A1" t="s">
        <v>267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N263"/>
  <sheetViews>
    <sheetView topLeftCell="A212" zoomScaleNormal="100" workbookViewId="0">
      <selection activeCell="C278" sqref="C278"/>
    </sheetView>
  </sheetViews>
  <sheetFormatPr defaultRowHeight="14.5" x14ac:dyDescent="0.35"/>
  <cols>
    <col min="1" max="1" width="10" customWidth="1"/>
    <col min="2" max="2" width="10.26953125" customWidth="1"/>
    <col min="4" max="5" width="16.36328125" customWidth="1"/>
    <col min="6" max="6" width="11.08984375" customWidth="1"/>
    <col min="7" max="7" width="12.26953125" customWidth="1"/>
    <col min="8" max="8" width="12.36328125" customWidth="1"/>
    <col min="9" max="9" width="10.54296875" customWidth="1"/>
    <col min="10" max="10" width="11.36328125" customWidth="1"/>
    <col min="11" max="11" width="14" customWidth="1"/>
    <col min="12" max="12" width="10.81640625" customWidth="1"/>
  </cols>
  <sheetData>
    <row r="1" spans="1:14" x14ac:dyDescent="0.35">
      <c r="A1" t="s">
        <v>0</v>
      </c>
      <c r="B1" t="s">
        <v>149</v>
      </c>
      <c r="C1" t="s">
        <v>137</v>
      </c>
      <c r="D1" t="s">
        <v>189</v>
      </c>
      <c r="E1" t="s">
        <v>99</v>
      </c>
      <c r="F1" t="s">
        <v>1</v>
      </c>
      <c r="G1" t="s">
        <v>2</v>
      </c>
      <c r="H1" t="s">
        <v>3</v>
      </c>
      <c r="I1" t="s">
        <v>4</v>
      </c>
      <c r="J1" t="s">
        <v>5</v>
      </c>
      <c r="K1" t="s">
        <v>6</v>
      </c>
      <c r="L1" t="s">
        <v>7</v>
      </c>
      <c r="M1" t="s">
        <v>177</v>
      </c>
      <c r="N1" t="s">
        <v>98</v>
      </c>
    </row>
    <row r="2" spans="1:14" x14ac:dyDescent="0.35">
      <c r="A2" t="s">
        <v>254</v>
      </c>
      <c r="B2">
        <v>1</v>
      </c>
      <c r="C2" t="s">
        <v>255</v>
      </c>
      <c r="E2">
        <v>2021</v>
      </c>
      <c r="I2" t="s">
        <v>250</v>
      </c>
    </row>
    <row r="3" spans="1:14" x14ac:dyDescent="0.35">
      <c r="A3" t="s">
        <v>254</v>
      </c>
      <c r="B3">
        <v>1</v>
      </c>
      <c r="C3" t="s">
        <v>255</v>
      </c>
      <c r="E3">
        <v>2022</v>
      </c>
      <c r="I3" t="s">
        <v>250</v>
      </c>
    </row>
    <row r="4" spans="1:14" x14ac:dyDescent="0.35">
      <c r="A4" t="s">
        <v>254</v>
      </c>
      <c r="B4">
        <v>1</v>
      </c>
      <c r="C4" t="s">
        <v>255</v>
      </c>
      <c r="E4">
        <v>2023</v>
      </c>
      <c r="I4" t="s">
        <v>250</v>
      </c>
    </row>
    <row r="5" spans="1:14" x14ac:dyDescent="0.35">
      <c r="A5" t="s">
        <v>254</v>
      </c>
      <c r="B5">
        <v>1</v>
      </c>
      <c r="C5" t="s">
        <v>255</v>
      </c>
      <c r="E5">
        <v>2024</v>
      </c>
      <c r="I5" t="s">
        <v>250</v>
      </c>
    </row>
    <row r="6" spans="1:14" x14ac:dyDescent="0.35">
      <c r="A6" t="s">
        <v>254</v>
      </c>
      <c r="B6">
        <v>1</v>
      </c>
      <c r="C6" t="s">
        <v>255</v>
      </c>
      <c r="E6">
        <v>2025</v>
      </c>
      <c r="I6" t="s">
        <v>250</v>
      </c>
    </row>
    <row r="7" spans="1:14" x14ac:dyDescent="0.35">
      <c r="A7" t="s">
        <v>254</v>
      </c>
      <c r="B7">
        <v>1</v>
      </c>
      <c r="C7" t="s">
        <v>255</v>
      </c>
      <c r="E7">
        <v>2026</v>
      </c>
      <c r="I7" t="s">
        <v>250</v>
      </c>
    </row>
    <row r="8" spans="1:14" x14ac:dyDescent="0.35">
      <c r="A8" t="s">
        <v>254</v>
      </c>
      <c r="B8">
        <v>1</v>
      </c>
      <c r="C8" t="s">
        <v>255</v>
      </c>
      <c r="E8">
        <v>2027</v>
      </c>
      <c r="I8" t="s">
        <v>250</v>
      </c>
    </row>
    <row r="9" spans="1:14" x14ac:dyDescent="0.35">
      <c r="A9" t="s">
        <v>254</v>
      </c>
      <c r="B9">
        <v>1</v>
      </c>
      <c r="C9" t="s">
        <v>255</v>
      </c>
      <c r="E9">
        <v>2028</v>
      </c>
      <c r="I9" t="s">
        <v>250</v>
      </c>
    </row>
    <row r="10" spans="1:14" x14ac:dyDescent="0.35">
      <c r="A10" t="s">
        <v>254</v>
      </c>
      <c r="B10">
        <v>1</v>
      </c>
      <c r="C10" t="s">
        <v>255</v>
      </c>
      <c r="E10">
        <v>2029</v>
      </c>
      <c r="I10" t="s">
        <v>250</v>
      </c>
    </row>
    <row r="11" spans="1:14" x14ac:dyDescent="0.35">
      <c r="A11" t="s">
        <v>254</v>
      </c>
      <c r="B11">
        <v>1</v>
      </c>
      <c r="C11" t="s">
        <v>255</v>
      </c>
      <c r="E11">
        <v>2030</v>
      </c>
      <c r="I11" t="s">
        <v>250</v>
      </c>
    </row>
    <row r="12" spans="1:14" x14ac:dyDescent="0.35">
      <c r="A12" t="s">
        <v>254</v>
      </c>
      <c r="B12">
        <v>1</v>
      </c>
      <c r="C12" t="s">
        <v>255</v>
      </c>
      <c r="E12">
        <v>2031</v>
      </c>
      <c r="I12" t="s">
        <v>250</v>
      </c>
    </row>
    <row r="13" spans="1:14" x14ac:dyDescent="0.35">
      <c r="A13" t="s">
        <v>254</v>
      </c>
      <c r="B13">
        <v>1</v>
      </c>
      <c r="C13" t="s">
        <v>255</v>
      </c>
      <c r="E13">
        <v>2032</v>
      </c>
      <c r="I13" t="s">
        <v>250</v>
      </c>
    </row>
    <row r="14" spans="1:14" x14ac:dyDescent="0.35">
      <c r="A14" t="s">
        <v>254</v>
      </c>
      <c r="B14">
        <v>1</v>
      </c>
      <c r="C14" t="s">
        <v>255</v>
      </c>
      <c r="E14">
        <v>2033</v>
      </c>
      <c r="I14" t="s">
        <v>250</v>
      </c>
    </row>
    <row r="15" spans="1:14" x14ac:dyDescent="0.35">
      <c r="A15" t="s">
        <v>254</v>
      </c>
      <c r="B15">
        <v>1</v>
      </c>
      <c r="C15" t="s">
        <v>255</v>
      </c>
      <c r="E15">
        <v>2034</v>
      </c>
      <c r="I15" t="s">
        <v>250</v>
      </c>
    </row>
    <row r="16" spans="1:14" x14ac:dyDescent="0.35">
      <c r="A16" t="s">
        <v>254</v>
      </c>
      <c r="B16">
        <v>1</v>
      </c>
      <c r="C16" t="s">
        <v>255</v>
      </c>
      <c r="E16">
        <v>2035</v>
      </c>
      <c r="I16" t="s">
        <v>250</v>
      </c>
    </row>
    <row r="17" spans="1:9" x14ac:dyDescent="0.35">
      <c r="A17" t="s">
        <v>254</v>
      </c>
      <c r="B17">
        <v>1</v>
      </c>
      <c r="C17" t="s">
        <v>255</v>
      </c>
      <c r="E17">
        <v>2036</v>
      </c>
      <c r="I17" t="s">
        <v>250</v>
      </c>
    </row>
    <row r="18" spans="1:9" x14ac:dyDescent="0.35">
      <c r="A18" t="s">
        <v>254</v>
      </c>
      <c r="B18">
        <v>1</v>
      </c>
      <c r="C18" t="s">
        <v>255</v>
      </c>
      <c r="E18">
        <v>2037</v>
      </c>
      <c r="I18" t="s">
        <v>250</v>
      </c>
    </row>
    <row r="19" spans="1:9" x14ac:dyDescent="0.35">
      <c r="A19" t="s">
        <v>254</v>
      </c>
      <c r="B19">
        <v>1</v>
      </c>
      <c r="C19" t="s">
        <v>255</v>
      </c>
      <c r="E19">
        <v>2038</v>
      </c>
      <c r="I19" t="s">
        <v>250</v>
      </c>
    </row>
    <row r="20" spans="1:9" x14ac:dyDescent="0.35">
      <c r="A20" t="s">
        <v>254</v>
      </c>
      <c r="B20">
        <v>1</v>
      </c>
      <c r="C20" t="s">
        <v>255</v>
      </c>
      <c r="E20">
        <v>2039</v>
      </c>
      <c r="I20" t="s">
        <v>250</v>
      </c>
    </row>
    <row r="21" spans="1:9" x14ac:dyDescent="0.35">
      <c r="A21" t="s">
        <v>254</v>
      </c>
      <c r="B21">
        <v>1</v>
      </c>
      <c r="C21" t="s">
        <v>255</v>
      </c>
      <c r="E21">
        <v>2040</v>
      </c>
      <c r="I21" t="s">
        <v>250</v>
      </c>
    </row>
    <row r="22" spans="1:9" x14ac:dyDescent="0.35">
      <c r="A22" t="s">
        <v>254</v>
      </c>
      <c r="B22">
        <v>1</v>
      </c>
      <c r="C22" t="s">
        <v>255</v>
      </c>
      <c r="E22">
        <v>2041</v>
      </c>
      <c r="I22" t="s">
        <v>250</v>
      </c>
    </row>
    <row r="23" spans="1:9" x14ac:dyDescent="0.35">
      <c r="A23" t="s">
        <v>254</v>
      </c>
      <c r="B23">
        <v>1</v>
      </c>
      <c r="C23" t="s">
        <v>255</v>
      </c>
      <c r="E23">
        <v>2042</v>
      </c>
      <c r="I23" t="s">
        <v>250</v>
      </c>
    </row>
    <row r="24" spans="1:9" x14ac:dyDescent="0.35">
      <c r="A24" t="s">
        <v>254</v>
      </c>
      <c r="B24">
        <v>1</v>
      </c>
      <c r="C24" t="s">
        <v>255</v>
      </c>
      <c r="E24">
        <v>2043</v>
      </c>
      <c r="I24" t="s">
        <v>250</v>
      </c>
    </row>
    <row r="25" spans="1:9" x14ac:dyDescent="0.35">
      <c r="A25" t="s">
        <v>254</v>
      </c>
      <c r="B25">
        <v>1</v>
      </c>
      <c r="C25" t="s">
        <v>255</v>
      </c>
      <c r="E25">
        <v>2044</v>
      </c>
      <c r="I25" t="s">
        <v>250</v>
      </c>
    </row>
    <row r="26" spans="1:9" x14ac:dyDescent="0.35">
      <c r="A26" t="s">
        <v>254</v>
      </c>
      <c r="B26">
        <v>1</v>
      </c>
      <c r="C26" t="s">
        <v>255</v>
      </c>
      <c r="E26">
        <v>2045</v>
      </c>
      <c r="I26" t="s">
        <v>250</v>
      </c>
    </row>
    <row r="27" spans="1:9" x14ac:dyDescent="0.35">
      <c r="A27" t="s">
        <v>254</v>
      </c>
      <c r="B27">
        <v>1</v>
      </c>
      <c r="C27" t="s">
        <v>255</v>
      </c>
      <c r="E27">
        <v>2046</v>
      </c>
      <c r="I27" t="s">
        <v>250</v>
      </c>
    </row>
    <row r="28" spans="1:9" x14ac:dyDescent="0.35">
      <c r="A28" t="s">
        <v>254</v>
      </c>
      <c r="B28">
        <v>1</v>
      </c>
      <c r="C28" t="s">
        <v>255</v>
      </c>
      <c r="E28">
        <v>2047</v>
      </c>
      <c r="I28" t="s">
        <v>250</v>
      </c>
    </row>
    <row r="29" spans="1:9" x14ac:dyDescent="0.35">
      <c r="A29" t="s">
        <v>254</v>
      </c>
      <c r="B29">
        <v>1</v>
      </c>
      <c r="C29" t="s">
        <v>255</v>
      </c>
      <c r="E29">
        <v>2048</v>
      </c>
      <c r="I29" t="s">
        <v>250</v>
      </c>
    </row>
    <row r="30" spans="1:9" x14ac:dyDescent="0.35">
      <c r="A30" t="s">
        <v>254</v>
      </c>
      <c r="B30">
        <v>1</v>
      </c>
      <c r="C30" t="s">
        <v>255</v>
      </c>
      <c r="E30">
        <v>2049</v>
      </c>
      <c r="I30" t="s">
        <v>250</v>
      </c>
    </row>
    <row r="31" spans="1:9" x14ac:dyDescent="0.35">
      <c r="A31" t="s">
        <v>254</v>
      </c>
      <c r="B31">
        <v>1</v>
      </c>
      <c r="C31" t="s">
        <v>255</v>
      </c>
      <c r="E31">
        <v>2050</v>
      </c>
      <c r="I31" t="s">
        <v>250</v>
      </c>
    </row>
    <row r="32" spans="1:9" x14ac:dyDescent="0.35">
      <c r="A32" t="s">
        <v>254</v>
      </c>
      <c r="B32">
        <v>1</v>
      </c>
      <c r="C32" t="s">
        <v>255</v>
      </c>
      <c r="E32">
        <v>2021</v>
      </c>
      <c r="I32" t="s">
        <v>251</v>
      </c>
    </row>
    <row r="33" spans="1:9" x14ac:dyDescent="0.35">
      <c r="A33" t="s">
        <v>254</v>
      </c>
      <c r="B33">
        <v>1</v>
      </c>
      <c r="C33" t="s">
        <v>255</v>
      </c>
      <c r="E33">
        <v>2022</v>
      </c>
      <c r="I33" t="s">
        <v>251</v>
      </c>
    </row>
    <row r="34" spans="1:9" x14ac:dyDescent="0.35">
      <c r="A34" t="s">
        <v>254</v>
      </c>
      <c r="B34">
        <v>1</v>
      </c>
      <c r="C34" t="s">
        <v>255</v>
      </c>
      <c r="E34">
        <v>2023</v>
      </c>
      <c r="I34" t="s">
        <v>251</v>
      </c>
    </row>
    <row r="35" spans="1:9" x14ac:dyDescent="0.35">
      <c r="A35" t="s">
        <v>254</v>
      </c>
      <c r="B35">
        <v>1</v>
      </c>
      <c r="C35" t="s">
        <v>255</v>
      </c>
      <c r="E35">
        <v>2024</v>
      </c>
      <c r="I35" t="s">
        <v>251</v>
      </c>
    </row>
    <row r="36" spans="1:9" x14ac:dyDescent="0.35">
      <c r="A36" t="s">
        <v>254</v>
      </c>
      <c r="B36">
        <v>1</v>
      </c>
      <c r="C36" t="s">
        <v>255</v>
      </c>
      <c r="E36">
        <v>2025</v>
      </c>
      <c r="I36" t="s">
        <v>251</v>
      </c>
    </row>
    <row r="37" spans="1:9" x14ac:dyDescent="0.35">
      <c r="A37" t="s">
        <v>254</v>
      </c>
      <c r="B37">
        <v>1</v>
      </c>
      <c r="C37" t="s">
        <v>255</v>
      </c>
      <c r="E37">
        <v>2026</v>
      </c>
      <c r="I37" t="s">
        <v>251</v>
      </c>
    </row>
    <row r="38" spans="1:9" x14ac:dyDescent="0.35">
      <c r="A38" t="s">
        <v>254</v>
      </c>
      <c r="B38">
        <v>1</v>
      </c>
      <c r="C38" t="s">
        <v>255</v>
      </c>
      <c r="E38">
        <v>2027</v>
      </c>
      <c r="I38" t="s">
        <v>251</v>
      </c>
    </row>
    <row r="39" spans="1:9" x14ac:dyDescent="0.35">
      <c r="A39" t="s">
        <v>254</v>
      </c>
      <c r="B39">
        <v>1</v>
      </c>
      <c r="C39" t="s">
        <v>255</v>
      </c>
      <c r="E39">
        <v>2028</v>
      </c>
      <c r="I39" t="s">
        <v>251</v>
      </c>
    </row>
    <row r="40" spans="1:9" x14ac:dyDescent="0.35">
      <c r="A40" t="s">
        <v>254</v>
      </c>
      <c r="B40">
        <v>1</v>
      </c>
      <c r="C40" t="s">
        <v>255</v>
      </c>
      <c r="E40">
        <v>2029</v>
      </c>
      <c r="I40" t="s">
        <v>251</v>
      </c>
    </row>
    <row r="41" spans="1:9" x14ac:dyDescent="0.35">
      <c r="A41" t="s">
        <v>254</v>
      </c>
      <c r="B41">
        <v>1</v>
      </c>
      <c r="C41" t="s">
        <v>255</v>
      </c>
      <c r="E41">
        <v>2030</v>
      </c>
      <c r="I41" t="s">
        <v>251</v>
      </c>
    </row>
    <row r="42" spans="1:9" x14ac:dyDescent="0.35">
      <c r="A42" t="s">
        <v>254</v>
      </c>
      <c r="B42">
        <v>1</v>
      </c>
      <c r="C42" t="s">
        <v>255</v>
      </c>
      <c r="E42">
        <v>2031</v>
      </c>
      <c r="I42" t="s">
        <v>251</v>
      </c>
    </row>
    <row r="43" spans="1:9" x14ac:dyDescent="0.35">
      <c r="A43" t="s">
        <v>254</v>
      </c>
      <c r="B43">
        <v>1</v>
      </c>
      <c r="C43" t="s">
        <v>255</v>
      </c>
      <c r="E43">
        <v>2032</v>
      </c>
      <c r="I43" t="s">
        <v>251</v>
      </c>
    </row>
    <row r="44" spans="1:9" x14ac:dyDescent="0.35">
      <c r="A44" t="s">
        <v>254</v>
      </c>
      <c r="B44">
        <v>1</v>
      </c>
      <c r="C44" t="s">
        <v>255</v>
      </c>
      <c r="E44">
        <v>2033</v>
      </c>
      <c r="I44" t="s">
        <v>251</v>
      </c>
    </row>
    <row r="45" spans="1:9" x14ac:dyDescent="0.35">
      <c r="A45" t="s">
        <v>254</v>
      </c>
      <c r="B45">
        <v>1</v>
      </c>
      <c r="C45" t="s">
        <v>255</v>
      </c>
      <c r="E45">
        <v>2034</v>
      </c>
      <c r="I45" t="s">
        <v>251</v>
      </c>
    </row>
    <row r="46" spans="1:9" x14ac:dyDescent="0.35">
      <c r="A46" t="s">
        <v>254</v>
      </c>
      <c r="B46">
        <v>1</v>
      </c>
      <c r="C46" t="s">
        <v>255</v>
      </c>
      <c r="E46">
        <v>2035</v>
      </c>
      <c r="I46" t="s">
        <v>251</v>
      </c>
    </row>
    <row r="47" spans="1:9" x14ac:dyDescent="0.35">
      <c r="A47" t="s">
        <v>254</v>
      </c>
      <c r="B47">
        <v>1</v>
      </c>
      <c r="C47" t="s">
        <v>255</v>
      </c>
      <c r="E47">
        <v>2036</v>
      </c>
      <c r="I47" t="s">
        <v>251</v>
      </c>
    </row>
    <row r="48" spans="1:9" x14ac:dyDescent="0.35">
      <c r="A48" t="s">
        <v>254</v>
      </c>
      <c r="B48">
        <v>1</v>
      </c>
      <c r="C48" t="s">
        <v>255</v>
      </c>
      <c r="E48">
        <v>2037</v>
      </c>
      <c r="I48" t="s">
        <v>251</v>
      </c>
    </row>
    <row r="49" spans="1:9" x14ac:dyDescent="0.35">
      <c r="A49" t="s">
        <v>254</v>
      </c>
      <c r="B49">
        <v>1</v>
      </c>
      <c r="C49" t="s">
        <v>255</v>
      </c>
      <c r="E49">
        <v>2038</v>
      </c>
      <c r="I49" t="s">
        <v>251</v>
      </c>
    </row>
    <row r="50" spans="1:9" x14ac:dyDescent="0.35">
      <c r="A50" t="s">
        <v>254</v>
      </c>
      <c r="B50">
        <v>1</v>
      </c>
      <c r="C50" t="s">
        <v>255</v>
      </c>
      <c r="E50">
        <v>2039</v>
      </c>
      <c r="I50" t="s">
        <v>251</v>
      </c>
    </row>
    <row r="51" spans="1:9" x14ac:dyDescent="0.35">
      <c r="A51" t="s">
        <v>254</v>
      </c>
      <c r="B51">
        <v>1</v>
      </c>
      <c r="C51" t="s">
        <v>255</v>
      </c>
      <c r="E51">
        <v>2040</v>
      </c>
      <c r="I51" t="s">
        <v>251</v>
      </c>
    </row>
    <row r="52" spans="1:9" x14ac:dyDescent="0.35">
      <c r="A52" t="s">
        <v>254</v>
      </c>
      <c r="B52">
        <v>1</v>
      </c>
      <c r="C52" t="s">
        <v>255</v>
      </c>
      <c r="E52">
        <v>2041</v>
      </c>
      <c r="I52" t="s">
        <v>251</v>
      </c>
    </row>
    <row r="53" spans="1:9" x14ac:dyDescent="0.35">
      <c r="A53" t="s">
        <v>254</v>
      </c>
      <c r="B53">
        <v>1</v>
      </c>
      <c r="C53" t="s">
        <v>255</v>
      </c>
      <c r="E53">
        <v>2042</v>
      </c>
      <c r="I53" t="s">
        <v>251</v>
      </c>
    </row>
    <row r="54" spans="1:9" x14ac:dyDescent="0.35">
      <c r="A54" t="s">
        <v>254</v>
      </c>
      <c r="B54">
        <v>1</v>
      </c>
      <c r="C54" t="s">
        <v>255</v>
      </c>
      <c r="E54">
        <v>2043</v>
      </c>
      <c r="I54" t="s">
        <v>251</v>
      </c>
    </row>
    <row r="55" spans="1:9" x14ac:dyDescent="0.35">
      <c r="A55" t="s">
        <v>254</v>
      </c>
      <c r="B55">
        <v>1</v>
      </c>
      <c r="C55" t="s">
        <v>255</v>
      </c>
      <c r="E55">
        <v>2044</v>
      </c>
      <c r="I55" t="s">
        <v>251</v>
      </c>
    </row>
    <row r="56" spans="1:9" x14ac:dyDescent="0.35">
      <c r="A56" t="s">
        <v>254</v>
      </c>
      <c r="B56">
        <v>1</v>
      </c>
      <c r="C56" t="s">
        <v>255</v>
      </c>
      <c r="E56">
        <v>2045</v>
      </c>
      <c r="I56" t="s">
        <v>251</v>
      </c>
    </row>
    <row r="57" spans="1:9" x14ac:dyDescent="0.35">
      <c r="A57" t="s">
        <v>254</v>
      </c>
      <c r="B57">
        <v>1</v>
      </c>
      <c r="C57" t="s">
        <v>255</v>
      </c>
      <c r="E57">
        <v>2046</v>
      </c>
      <c r="I57" t="s">
        <v>251</v>
      </c>
    </row>
    <row r="58" spans="1:9" x14ac:dyDescent="0.35">
      <c r="A58" t="s">
        <v>254</v>
      </c>
      <c r="B58">
        <v>1</v>
      </c>
      <c r="C58" t="s">
        <v>255</v>
      </c>
      <c r="E58">
        <v>2047</v>
      </c>
      <c r="I58" t="s">
        <v>251</v>
      </c>
    </row>
    <row r="59" spans="1:9" x14ac:dyDescent="0.35">
      <c r="A59" t="s">
        <v>254</v>
      </c>
      <c r="B59">
        <v>1</v>
      </c>
      <c r="C59" t="s">
        <v>255</v>
      </c>
      <c r="E59">
        <v>2048</v>
      </c>
      <c r="I59" t="s">
        <v>251</v>
      </c>
    </row>
    <row r="60" spans="1:9" x14ac:dyDescent="0.35">
      <c r="A60" t="s">
        <v>254</v>
      </c>
      <c r="B60">
        <v>1</v>
      </c>
      <c r="C60" t="s">
        <v>255</v>
      </c>
      <c r="E60">
        <v>2049</v>
      </c>
      <c r="I60" t="s">
        <v>251</v>
      </c>
    </row>
    <row r="61" spans="1:9" x14ac:dyDescent="0.35">
      <c r="A61" t="s">
        <v>254</v>
      </c>
      <c r="B61">
        <v>1</v>
      </c>
      <c r="C61" t="s">
        <v>255</v>
      </c>
      <c r="E61">
        <v>2050</v>
      </c>
      <c r="I61" t="s">
        <v>251</v>
      </c>
    </row>
    <row r="62" spans="1:9" x14ac:dyDescent="0.35">
      <c r="A62" t="s">
        <v>254</v>
      </c>
      <c r="B62">
        <v>1</v>
      </c>
      <c r="C62" t="s">
        <v>255</v>
      </c>
      <c r="E62">
        <v>2021</v>
      </c>
      <c r="I62" t="s">
        <v>252</v>
      </c>
    </row>
    <row r="63" spans="1:9" x14ac:dyDescent="0.35">
      <c r="A63" t="s">
        <v>254</v>
      </c>
      <c r="B63">
        <v>1</v>
      </c>
      <c r="C63" t="s">
        <v>255</v>
      </c>
      <c r="E63">
        <v>2022</v>
      </c>
      <c r="I63" t="s">
        <v>252</v>
      </c>
    </row>
    <row r="64" spans="1:9" x14ac:dyDescent="0.35">
      <c r="A64" t="s">
        <v>254</v>
      </c>
      <c r="B64">
        <v>1</v>
      </c>
      <c r="C64" t="s">
        <v>255</v>
      </c>
      <c r="E64">
        <v>2023</v>
      </c>
      <c r="I64" t="s">
        <v>252</v>
      </c>
    </row>
    <row r="65" spans="1:9" x14ac:dyDescent="0.35">
      <c r="A65" t="s">
        <v>254</v>
      </c>
      <c r="B65">
        <v>1</v>
      </c>
      <c r="C65" t="s">
        <v>255</v>
      </c>
      <c r="E65">
        <v>2024</v>
      </c>
      <c r="I65" t="s">
        <v>252</v>
      </c>
    </row>
    <row r="66" spans="1:9" x14ac:dyDescent="0.35">
      <c r="A66" t="s">
        <v>254</v>
      </c>
      <c r="B66">
        <v>1</v>
      </c>
      <c r="C66" t="s">
        <v>255</v>
      </c>
      <c r="E66">
        <v>2025</v>
      </c>
      <c r="I66" t="s">
        <v>252</v>
      </c>
    </row>
    <row r="67" spans="1:9" x14ac:dyDescent="0.35">
      <c r="A67" t="s">
        <v>254</v>
      </c>
      <c r="B67">
        <v>1</v>
      </c>
      <c r="C67" t="s">
        <v>255</v>
      </c>
      <c r="E67">
        <v>2026</v>
      </c>
      <c r="I67" t="s">
        <v>252</v>
      </c>
    </row>
    <row r="68" spans="1:9" x14ac:dyDescent="0.35">
      <c r="A68" t="s">
        <v>254</v>
      </c>
      <c r="B68">
        <v>1</v>
      </c>
      <c r="C68" t="s">
        <v>255</v>
      </c>
      <c r="E68">
        <v>2027</v>
      </c>
      <c r="I68" t="s">
        <v>252</v>
      </c>
    </row>
    <row r="69" spans="1:9" x14ac:dyDescent="0.35">
      <c r="A69" t="s">
        <v>254</v>
      </c>
      <c r="B69">
        <v>1</v>
      </c>
      <c r="C69" t="s">
        <v>255</v>
      </c>
      <c r="E69">
        <v>2028</v>
      </c>
      <c r="I69" t="s">
        <v>252</v>
      </c>
    </row>
    <row r="70" spans="1:9" x14ac:dyDescent="0.35">
      <c r="A70" t="s">
        <v>254</v>
      </c>
      <c r="B70">
        <v>1</v>
      </c>
      <c r="C70" t="s">
        <v>255</v>
      </c>
      <c r="E70">
        <v>2029</v>
      </c>
      <c r="I70" t="s">
        <v>252</v>
      </c>
    </row>
    <row r="71" spans="1:9" x14ac:dyDescent="0.35">
      <c r="A71" t="s">
        <v>254</v>
      </c>
      <c r="B71">
        <v>1</v>
      </c>
      <c r="C71" t="s">
        <v>255</v>
      </c>
      <c r="E71">
        <v>2030</v>
      </c>
      <c r="I71" t="s">
        <v>252</v>
      </c>
    </row>
    <row r="72" spans="1:9" x14ac:dyDescent="0.35">
      <c r="A72" t="s">
        <v>254</v>
      </c>
      <c r="B72">
        <v>1</v>
      </c>
      <c r="C72" t="s">
        <v>255</v>
      </c>
      <c r="E72">
        <v>2031</v>
      </c>
      <c r="I72" t="s">
        <v>252</v>
      </c>
    </row>
    <row r="73" spans="1:9" x14ac:dyDescent="0.35">
      <c r="A73" t="s">
        <v>254</v>
      </c>
      <c r="B73">
        <v>1</v>
      </c>
      <c r="C73" t="s">
        <v>255</v>
      </c>
      <c r="E73">
        <v>2032</v>
      </c>
      <c r="I73" t="s">
        <v>252</v>
      </c>
    </row>
    <row r="74" spans="1:9" x14ac:dyDescent="0.35">
      <c r="A74" t="s">
        <v>254</v>
      </c>
      <c r="B74">
        <v>1</v>
      </c>
      <c r="C74" t="s">
        <v>255</v>
      </c>
      <c r="E74">
        <v>2033</v>
      </c>
      <c r="I74" t="s">
        <v>252</v>
      </c>
    </row>
    <row r="75" spans="1:9" x14ac:dyDescent="0.35">
      <c r="A75" t="s">
        <v>254</v>
      </c>
      <c r="B75">
        <v>1</v>
      </c>
      <c r="C75" t="s">
        <v>255</v>
      </c>
      <c r="E75">
        <v>2034</v>
      </c>
      <c r="I75" t="s">
        <v>252</v>
      </c>
    </row>
    <row r="76" spans="1:9" x14ac:dyDescent="0.35">
      <c r="A76" t="s">
        <v>254</v>
      </c>
      <c r="B76">
        <v>1</v>
      </c>
      <c r="C76" t="s">
        <v>255</v>
      </c>
      <c r="E76">
        <v>2035</v>
      </c>
      <c r="I76" t="s">
        <v>252</v>
      </c>
    </row>
    <row r="77" spans="1:9" x14ac:dyDescent="0.35">
      <c r="A77" t="s">
        <v>254</v>
      </c>
      <c r="B77">
        <v>1</v>
      </c>
      <c r="C77" t="s">
        <v>255</v>
      </c>
      <c r="E77">
        <v>2036</v>
      </c>
      <c r="I77" t="s">
        <v>252</v>
      </c>
    </row>
    <row r="78" spans="1:9" x14ac:dyDescent="0.35">
      <c r="A78" t="s">
        <v>254</v>
      </c>
      <c r="B78">
        <v>1</v>
      </c>
      <c r="C78" t="s">
        <v>255</v>
      </c>
      <c r="E78">
        <v>2037</v>
      </c>
      <c r="I78" t="s">
        <v>252</v>
      </c>
    </row>
    <row r="79" spans="1:9" x14ac:dyDescent="0.35">
      <c r="A79" t="s">
        <v>254</v>
      </c>
      <c r="B79">
        <v>1</v>
      </c>
      <c r="C79" t="s">
        <v>255</v>
      </c>
      <c r="E79">
        <v>2038</v>
      </c>
      <c r="I79" t="s">
        <v>252</v>
      </c>
    </row>
    <row r="80" spans="1:9" x14ac:dyDescent="0.35">
      <c r="A80" t="s">
        <v>254</v>
      </c>
      <c r="B80">
        <v>1</v>
      </c>
      <c r="C80" t="s">
        <v>255</v>
      </c>
      <c r="E80">
        <v>2039</v>
      </c>
      <c r="I80" t="s">
        <v>252</v>
      </c>
    </row>
    <row r="81" spans="1:9" x14ac:dyDescent="0.35">
      <c r="A81" t="s">
        <v>254</v>
      </c>
      <c r="B81">
        <v>1</v>
      </c>
      <c r="C81" t="s">
        <v>255</v>
      </c>
      <c r="E81">
        <v>2040</v>
      </c>
      <c r="I81" t="s">
        <v>252</v>
      </c>
    </row>
    <row r="82" spans="1:9" x14ac:dyDescent="0.35">
      <c r="A82" t="s">
        <v>254</v>
      </c>
      <c r="B82">
        <v>1</v>
      </c>
      <c r="C82" t="s">
        <v>255</v>
      </c>
      <c r="E82">
        <v>2041</v>
      </c>
      <c r="I82" t="s">
        <v>252</v>
      </c>
    </row>
    <row r="83" spans="1:9" x14ac:dyDescent="0.35">
      <c r="A83" t="s">
        <v>254</v>
      </c>
      <c r="B83">
        <v>1</v>
      </c>
      <c r="C83" t="s">
        <v>255</v>
      </c>
      <c r="E83">
        <v>2042</v>
      </c>
      <c r="I83" t="s">
        <v>252</v>
      </c>
    </row>
    <row r="84" spans="1:9" x14ac:dyDescent="0.35">
      <c r="A84" t="s">
        <v>254</v>
      </c>
      <c r="B84">
        <v>1</v>
      </c>
      <c r="C84" t="s">
        <v>255</v>
      </c>
      <c r="E84">
        <v>2043</v>
      </c>
      <c r="I84" t="s">
        <v>252</v>
      </c>
    </row>
    <row r="85" spans="1:9" x14ac:dyDescent="0.35">
      <c r="A85" t="s">
        <v>254</v>
      </c>
      <c r="B85">
        <v>1</v>
      </c>
      <c r="C85" t="s">
        <v>255</v>
      </c>
      <c r="E85">
        <v>2044</v>
      </c>
      <c r="I85" t="s">
        <v>252</v>
      </c>
    </row>
    <row r="86" spans="1:9" x14ac:dyDescent="0.35">
      <c r="A86" t="s">
        <v>254</v>
      </c>
      <c r="B86">
        <v>1</v>
      </c>
      <c r="C86" t="s">
        <v>255</v>
      </c>
      <c r="E86">
        <v>2045</v>
      </c>
      <c r="I86" t="s">
        <v>252</v>
      </c>
    </row>
    <row r="87" spans="1:9" x14ac:dyDescent="0.35">
      <c r="A87" t="s">
        <v>254</v>
      </c>
      <c r="B87">
        <v>1</v>
      </c>
      <c r="C87" t="s">
        <v>255</v>
      </c>
      <c r="E87">
        <v>2046</v>
      </c>
      <c r="I87" t="s">
        <v>252</v>
      </c>
    </row>
    <row r="88" spans="1:9" x14ac:dyDescent="0.35">
      <c r="A88" t="s">
        <v>254</v>
      </c>
      <c r="B88">
        <v>1</v>
      </c>
      <c r="C88" t="s">
        <v>255</v>
      </c>
      <c r="E88">
        <v>2047</v>
      </c>
      <c r="I88" t="s">
        <v>252</v>
      </c>
    </row>
    <row r="89" spans="1:9" x14ac:dyDescent="0.35">
      <c r="A89" t="s">
        <v>254</v>
      </c>
      <c r="B89">
        <v>1</v>
      </c>
      <c r="C89" t="s">
        <v>255</v>
      </c>
      <c r="E89">
        <v>2048</v>
      </c>
      <c r="I89" t="s">
        <v>252</v>
      </c>
    </row>
    <row r="90" spans="1:9" x14ac:dyDescent="0.35">
      <c r="A90" t="s">
        <v>254</v>
      </c>
      <c r="B90">
        <v>1</v>
      </c>
      <c r="C90" t="s">
        <v>255</v>
      </c>
      <c r="E90">
        <v>2049</v>
      </c>
      <c r="I90" t="s">
        <v>252</v>
      </c>
    </row>
    <row r="91" spans="1:9" x14ac:dyDescent="0.35">
      <c r="A91" t="s">
        <v>254</v>
      </c>
      <c r="B91">
        <v>1</v>
      </c>
      <c r="C91" t="s">
        <v>255</v>
      </c>
      <c r="E91">
        <v>2050</v>
      </c>
      <c r="I91" t="s">
        <v>252</v>
      </c>
    </row>
    <row r="92" spans="1:9" x14ac:dyDescent="0.35">
      <c r="A92" t="s">
        <v>254</v>
      </c>
      <c r="B92">
        <v>1</v>
      </c>
      <c r="C92" t="s">
        <v>255</v>
      </c>
      <c r="E92">
        <v>2021</v>
      </c>
      <c r="I92" t="s">
        <v>253</v>
      </c>
    </row>
    <row r="93" spans="1:9" x14ac:dyDescent="0.35">
      <c r="A93" t="s">
        <v>254</v>
      </c>
      <c r="B93">
        <v>1</v>
      </c>
      <c r="C93" t="s">
        <v>255</v>
      </c>
      <c r="E93">
        <v>2022</v>
      </c>
      <c r="I93" t="s">
        <v>253</v>
      </c>
    </row>
    <row r="94" spans="1:9" x14ac:dyDescent="0.35">
      <c r="A94" t="s">
        <v>254</v>
      </c>
      <c r="B94">
        <v>1</v>
      </c>
      <c r="C94" t="s">
        <v>255</v>
      </c>
      <c r="E94">
        <v>2023</v>
      </c>
      <c r="I94" t="s">
        <v>253</v>
      </c>
    </row>
    <row r="95" spans="1:9" x14ac:dyDescent="0.35">
      <c r="A95" t="s">
        <v>254</v>
      </c>
      <c r="B95">
        <v>1</v>
      </c>
      <c r="C95" t="s">
        <v>255</v>
      </c>
      <c r="E95">
        <v>2024</v>
      </c>
      <c r="I95" t="s">
        <v>253</v>
      </c>
    </row>
    <row r="96" spans="1:9" x14ac:dyDescent="0.35">
      <c r="A96" t="s">
        <v>254</v>
      </c>
      <c r="B96">
        <v>1</v>
      </c>
      <c r="C96" t="s">
        <v>255</v>
      </c>
      <c r="E96">
        <v>2025</v>
      </c>
      <c r="I96" t="s">
        <v>253</v>
      </c>
    </row>
    <row r="97" spans="1:9" x14ac:dyDescent="0.35">
      <c r="A97" t="s">
        <v>254</v>
      </c>
      <c r="B97">
        <v>1</v>
      </c>
      <c r="C97" t="s">
        <v>255</v>
      </c>
      <c r="E97">
        <v>2026</v>
      </c>
      <c r="I97" t="s">
        <v>253</v>
      </c>
    </row>
    <row r="98" spans="1:9" x14ac:dyDescent="0.35">
      <c r="A98" t="s">
        <v>254</v>
      </c>
      <c r="B98">
        <v>1</v>
      </c>
      <c r="C98" t="s">
        <v>255</v>
      </c>
      <c r="E98">
        <v>2027</v>
      </c>
      <c r="I98" t="s">
        <v>253</v>
      </c>
    </row>
    <row r="99" spans="1:9" x14ac:dyDescent="0.35">
      <c r="A99" t="s">
        <v>254</v>
      </c>
      <c r="B99">
        <v>1</v>
      </c>
      <c r="C99" t="s">
        <v>255</v>
      </c>
      <c r="E99">
        <v>2028</v>
      </c>
      <c r="I99" t="s">
        <v>253</v>
      </c>
    </row>
    <row r="100" spans="1:9" x14ac:dyDescent="0.35">
      <c r="A100" t="s">
        <v>254</v>
      </c>
      <c r="B100">
        <v>1</v>
      </c>
      <c r="C100" t="s">
        <v>255</v>
      </c>
      <c r="E100">
        <v>2029</v>
      </c>
      <c r="I100" t="s">
        <v>253</v>
      </c>
    </row>
    <row r="101" spans="1:9" x14ac:dyDescent="0.35">
      <c r="A101" t="s">
        <v>254</v>
      </c>
      <c r="B101">
        <v>1</v>
      </c>
      <c r="C101" t="s">
        <v>255</v>
      </c>
      <c r="E101">
        <v>2030</v>
      </c>
      <c r="I101" t="s">
        <v>253</v>
      </c>
    </row>
    <row r="102" spans="1:9" x14ac:dyDescent="0.35">
      <c r="A102" t="s">
        <v>254</v>
      </c>
      <c r="B102">
        <v>1</v>
      </c>
      <c r="C102" t="s">
        <v>255</v>
      </c>
      <c r="E102">
        <v>2031</v>
      </c>
      <c r="I102" t="s">
        <v>253</v>
      </c>
    </row>
    <row r="103" spans="1:9" x14ac:dyDescent="0.35">
      <c r="A103" t="s">
        <v>254</v>
      </c>
      <c r="B103">
        <v>1</v>
      </c>
      <c r="C103" t="s">
        <v>255</v>
      </c>
      <c r="E103">
        <v>2032</v>
      </c>
      <c r="I103" t="s">
        <v>253</v>
      </c>
    </row>
    <row r="104" spans="1:9" x14ac:dyDescent="0.35">
      <c r="A104" t="s">
        <v>254</v>
      </c>
      <c r="B104">
        <v>1</v>
      </c>
      <c r="C104" t="s">
        <v>255</v>
      </c>
      <c r="E104">
        <v>2033</v>
      </c>
      <c r="I104" t="s">
        <v>253</v>
      </c>
    </row>
    <row r="105" spans="1:9" x14ac:dyDescent="0.35">
      <c r="A105" t="s">
        <v>254</v>
      </c>
      <c r="B105">
        <v>1</v>
      </c>
      <c r="C105" t="s">
        <v>255</v>
      </c>
      <c r="E105">
        <v>2034</v>
      </c>
      <c r="I105" t="s">
        <v>253</v>
      </c>
    </row>
    <row r="106" spans="1:9" x14ac:dyDescent="0.35">
      <c r="A106" t="s">
        <v>254</v>
      </c>
      <c r="B106">
        <v>1</v>
      </c>
      <c r="C106" t="s">
        <v>255</v>
      </c>
      <c r="E106">
        <v>2035</v>
      </c>
      <c r="I106" t="s">
        <v>253</v>
      </c>
    </row>
    <row r="107" spans="1:9" x14ac:dyDescent="0.35">
      <c r="A107" t="s">
        <v>254</v>
      </c>
      <c r="B107">
        <v>1</v>
      </c>
      <c r="C107" t="s">
        <v>255</v>
      </c>
      <c r="E107">
        <v>2036</v>
      </c>
      <c r="I107" t="s">
        <v>253</v>
      </c>
    </row>
    <row r="108" spans="1:9" x14ac:dyDescent="0.35">
      <c r="A108" t="s">
        <v>254</v>
      </c>
      <c r="B108">
        <v>1</v>
      </c>
      <c r="C108" t="s">
        <v>255</v>
      </c>
      <c r="E108">
        <v>2037</v>
      </c>
      <c r="I108" t="s">
        <v>253</v>
      </c>
    </row>
    <row r="109" spans="1:9" x14ac:dyDescent="0.35">
      <c r="A109" t="s">
        <v>254</v>
      </c>
      <c r="B109">
        <v>1</v>
      </c>
      <c r="C109" t="s">
        <v>255</v>
      </c>
      <c r="E109">
        <v>2038</v>
      </c>
      <c r="I109" t="s">
        <v>253</v>
      </c>
    </row>
    <row r="110" spans="1:9" x14ac:dyDescent="0.35">
      <c r="A110" t="s">
        <v>254</v>
      </c>
      <c r="B110">
        <v>1</v>
      </c>
      <c r="C110" t="s">
        <v>255</v>
      </c>
      <c r="E110">
        <v>2039</v>
      </c>
      <c r="I110" t="s">
        <v>253</v>
      </c>
    </row>
    <row r="111" spans="1:9" x14ac:dyDescent="0.35">
      <c r="A111" t="s">
        <v>254</v>
      </c>
      <c r="B111">
        <v>1</v>
      </c>
      <c r="C111" t="s">
        <v>255</v>
      </c>
      <c r="E111">
        <v>2040</v>
      </c>
      <c r="I111" t="s">
        <v>253</v>
      </c>
    </row>
    <row r="112" spans="1:9" x14ac:dyDescent="0.35">
      <c r="A112" t="s">
        <v>254</v>
      </c>
      <c r="B112">
        <v>1</v>
      </c>
      <c r="C112" t="s">
        <v>255</v>
      </c>
      <c r="E112">
        <v>2041</v>
      </c>
      <c r="I112" t="s">
        <v>253</v>
      </c>
    </row>
    <row r="113" spans="1:9" x14ac:dyDescent="0.35">
      <c r="A113" t="s">
        <v>254</v>
      </c>
      <c r="B113">
        <v>1</v>
      </c>
      <c r="C113" t="s">
        <v>255</v>
      </c>
      <c r="E113">
        <v>2042</v>
      </c>
      <c r="I113" t="s">
        <v>253</v>
      </c>
    </row>
    <row r="114" spans="1:9" x14ac:dyDescent="0.35">
      <c r="A114" t="s">
        <v>254</v>
      </c>
      <c r="B114">
        <v>1</v>
      </c>
      <c r="C114" t="s">
        <v>255</v>
      </c>
      <c r="E114">
        <v>2043</v>
      </c>
      <c r="I114" t="s">
        <v>253</v>
      </c>
    </row>
    <row r="115" spans="1:9" x14ac:dyDescent="0.35">
      <c r="A115" t="s">
        <v>254</v>
      </c>
      <c r="B115">
        <v>1</v>
      </c>
      <c r="C115" t="s">
        <v>255</v>
      </c>
      <c r="E115">
        <v>2044</v>
      </c>
      <c r="I115" t="s">
        <v>253</v>
      </c>
    </row>
    <row r="116" spans="1:9" x14ac:dyDescent="0.35">
      <c r="A116" t="s">
        <v>254</v>
      </c>
      <c r="B116">
        <v>1</v>
      </c>
      <c r="C116" t="s">
        <v>255</v>
      </c>
      <c r="E116">
        <v>2045</v>
      </c>
      <c r="I116" t="s">
        <v>253</v>
      </c>
    </row>
    <row r="117" spans="1:9" x14ac:dyDescent="0.35">
      <c r="A117" t="s">
        <v>254</v>
      </c>
      <c r="B117">
        <v>1</v>
      </c>
      <c r="C117" t="s">
        <v>255</v>
      </c>
      <c r="E117">
        <v>2046</v>
      </c>
      <c r="I117" t="s">
        <v>253</v>
      </c>
    </row>
    <row r="118" spans="1:9" x14ac:dyDescent="0.35">
      <c r="A118" t="s">
        <v>254</v>
      </c>
      <c r="B118">
        <v>1</v>
      </c>
      <c r="C118" t="s">
        <v>255</v>
      </c>
      <c r="E118">
        <v>2047</v>
      </c>
      <c r="I118" t="s">
        <v>253</v>
      </c>
    </row>
    <row r="119" spans="1:9" x14ac:dyDescent="0.35">
      <c r="A119" t="s">
        <v>254</v>
      </c>
      <c r="B119">
        <v>1</v>
      </c>
      <c r="C119" t="s">
        <v>255</v>
      </c>
      <c r="E119">
        <v>2048</v>
      </c>
      <c r="I119" t="s">
        <v>253</v>
      </c>
    </row>
    <row r="120" spans="1:9" x14ac:dyDescent="0.35">
      <c r="A120" t="s">
        <v>254</v>
      </c>
      <c r="B120">
        <v>1</v>
      </c>
      <c r="C120" t="s">
        <v>255</v>
      </c>
      <c r="E120">
        <v>2049</v>
      </c>
      <c r="I120" t="s">
        <v>253</v>
      </c>
    </row>
    <row r="121" spans="1:9" x14ac:dyDescent="0.35">
      <c r="A121" t="s">
        <v>254</v>
      </c>
      <c r="B121">
        <v>1</v>
      </c>
      <c r="C121" t="s">
        <v>255</v>
      </c>
      <c r="E121">
        <v>2050</v>
      </c>
      <c r="I121" t="s">
        <v>253</v>
      </c>
    </row>
    <row r="122" spans="1:9" x14ac:dyDescent="0.35">
      <c r="A122" t="s">
        <v>257</v>
      </c>
      <c r="B122">
        <v>2</v>
      </c>
      <c r="C122" t="s">
        <v>256</v>
      </c>
      <c r="E122">
        <v>2021</v>
      </c>
      <c r="I122" t="s">
        <v>250</v>
      </c>
    </row>
    <row r="123" spans="1:9" x14ac:dyDescent="0.35">
      <c r="A123" t="s">
        <v>257</v>
      </c>
      <c r="B123">
        <v>2</v>
      </c>
      <c r="C123" t="s">
        <v>256</v>
      </c>
      <c r="E123">
        <v>2022</v>
      </c>
      <c r="I123" t="s">
        <v>250</v>
      </c>
    </row>
    <row r="124" spans="1:9" x14ac:dyDescent="0.35">
      <c r="A124" t="s">
        <v>257</v>
      </c>
      <c r="B124">
        <v>2</v>
      </c>
      <c r="C124" t="s">
        <v>256</v>
      </c>
      <c r="E124">
        <v>2023</v>
      </c>
      <c r="I124" t="s">
        <v>250</v>
      </c>
    </row>
    <row r="125" spans="1:9" x14ac:dyDescent="0.35">
      <c r="A125" t="s">
        <v>257</v>
      </c>
      <c r="B125">
        <v>2</v>
      </c>
      <c r="C125" t="s">
        <v>256</v>
      </c>
      <c r="E125">
        <v>2024</v>
      </c>
      <c r="I125" t="s">
        <v>250</v>
      </c>
    </row>
    <row r="126" spans="1:9" x14ac:dyDescent="0.35">
      <c r="A126" t="s">
        <v>257</v>
      </c>
      <c r="B126">
        <v>2</v>
      </c>
      <c r="C126" t="s">
        <v>256</v>
      </c>
      <c r="E126">
        <v>2025</v>
      </c>
      <c r="I126" t="s">
        <v>250</v>
      </c>
    </row>
    <row r="127" spans="1:9" x14ac:dyDescent="0.35">
      <c r="A127" t="s">
        <v>257</v>
      </c>
      <c r="B127">
        <v>2</v>
      </c>
      <c r="C127" t="s">
        <v>256</v>
      </c>
      <c r="E127">
        <v>2026</v>
      </c>
      <c r="I127" t="s">
        <v>250</v>
      </c>
    </row>
    <row r="128" spans="1:9" x14ac:dyDescent="0.35">
      <c r="A128" t="s">
        <v>257</v>
      </c>
      <c r="B128">
        <v>2</v>
      </c>
      <c r="C128" t="s">
        <v>256</v>
      </c>
      <c r="E128">
        <v>2027</v>
      </c>
      <c r="I128" t="s">
        <v>250</v>
      </c>
    </row>
    <row r="129" spans="1:9" x14ac:dyDescent="0.35">
      <c r="A129" t="s">
        <v>257</v>
      </c>
      <c r="B129">
        <v>2</v>
      </c>
      <c r="C129" t="s">
        <v>256</v>
      </c>
      <c r="E129">
        <v>2028</v>
      </c>
      <c r="I129" t="s">
        <v>250</v>
      </c>
    </row>
    <row r="130" spans="1:9" x14ac:dyDescent="0.35">
      <c r="A130" t="s">
        <v>257</v>
      </c>
      <c r="B130">
        <v>2</v>
      </c>
      <c r="C130" t="s">
        <v>256</v>
      </c>
      <c r="E130">
        <v>2029</v>
      </c>
      <c r="I130" t="s">
        <v>250</v>
      </c>
    </row>
    <row r="131" spans="1:9" x14ac:dyDescent="0.35">
      <c r="A131" t="s">
        <v>257</v>
      </c>
      <c r="B131">
        <v>2</v>
      </c>
      <c r="C131" t="s">
        <v>256</v>
      </c>
      <c r="E131">
        <v>2030</v>
      </c>
      <c r="I131" t="s">
        <v>250</v>
      </c>
    </row>
    <row r="132" spans="1:9" x14ac:dyDescent="0.35">
      <c r="A132" t="s">
        <v>257</v>
      </c>
      <c r="B132">
        <v>2</v>
      </c>
      <c r="C132" t="s">
        <v>256</v>
      </c>
      <c r="E132">
        <v>2031</v>
      </c>
      <c r="I132" t="s">
        <v>250</v>
      </c>
    </row>
    <row r="133" spans="1:9" x14ac:dyDescent="0.35">
      <c r="A133" t="s">
        <v>257</v>
      </c>
      <c r="B133">
        <v>2</v>
      </c>
      <c r="C133" t="s">
        <v>256</v>
      </c>
      <c r="E133">
        <v>2032</v>
      </c>
      <c r="I133" t="s">
        <v>250</v>
      </c>
    </row>
    <row r="134" spans="1:9" x14ac:dyDescent="0.35">
      <c r="A134" t="s">
        <v>257</v>
      </c>
      <c r="B134">
        <v>2</v>
      </c>
      <c r="C134" t="s">
        <v>256</v>
      </c>
      <c r="E134">
        <v>2033</v>
      </c>
      <c r="I134" t="s">
        <v>250</v>
      </c>
    </row>
    <row r="135" spans="1:9" x14ac:dyDescent="0.35">
      <c r="A135" t="s">
        <v>257</v>
      </c>
      <c r="B135">
        <v>2</v>
      </c>
      <c r="C135" t="s">
        <v>256</v>
      </c>
      <c r="E135">
        <v>2034</v>
      </c>
      <c r="I135" t="s">
        <v>250</v>
      </c>
    </row>
    <row r="136" spans="1:9" x14ac:dyDescent="0.35">
      <c r="A136" t="s">
        <v>257</v>
      </c>
      <c r="B136">
        <v>2</v>
      </c>
      <c r="C136" t="s">
        <v>256</v>
      </c>
      <c r="E136">
        <v>2035</v>
      </c>
      <c r="I136" t="s">
        <v>250</v>
      </c>
    </row>
    <row r="137" spans="1:9" x14ac:dyDescent="0.35">
      <c r="A137" t="s">
        <v>257</v>
      </c>
      <c r="B137">
        <v>2</v>
      </c>
      <c r="C137" t="s">
        <v>256</v>
      </c>
      <c r="E137">
        <v>2036</v>
      </c>
      <c r="I137" t="s">
        <v>250</v>
      </c>
    </row>
    <row r="138" spans="1:9" x14ac:dyDescent="0.35">
      <c r="A138" t="s">
        <v>257</v>
      </c>
      <c r="B138">
        <v>2</v>
      </c>
      <c r="C138" t="s">
        <v>256</v>
      </c>
      <c r="E138">
        <v>2037</v>
      </c>
      <c r="I138" t="s">
        <v>250</v>
      </c>
    </row>
    <row r="139" spans="1:9" x14ac:dyDescent="0.35">
      <c r="A139" t="s">
        <v>257</v>
      </c>
      <c r="B139">
        <v>2</v>
      </c>
      <c r="C139" t="s">
        <v>256</v>
      </c>
      <c r="E139">
        <v>2038</v>
      </c>
      <c r="I139" t="s">
        <v>250</v>
      </c>
    </row>
    <row r="140" spans="1:9" x14ac:dyDescent="0.35">
      <c r="A140" t="s">
        <v>257</v>
      </c>
      <c r="B140">
        <v>2</v>
      </c>
      <c r="C140" t="s">
        <v>256</v>
      </c>
      <c r="E140">
        <v>2039</v>
      </c>
      <c r="I140" t="s">
        <v>250</v>
      </c>
    </row>
    <row r="141" spans="1:9" x14ac:dyDescent="0.35">
      <c r="A141" t="s">
        <v>257</v>
      </c>
      <c r="B141">
        <v>2</v>
      </c>
      <c r="C141" t="s">
        <v>256</v>
      </c>
      <c r="E141">
        <v>2040</v>
      </c>
      <c r="I141" t="s">
        <v>250</v>
      </c>
    </row>
    <row r="142" spans="1:9" x14ac:dyDescent="0.35">
      <c r="A142" t="s">
        <v>257</v>
      </c>
      <c r="B142">
        <v>2</v>
      </c>
      <c r="C142" t="s">
        <v>256</v>
      </c>
      <c r="E142">
        <v>2041</v>
      </c>
      <c r="I142" t="s">
        <v>250</v>
      </c>
    </row>
    <row r="143" spans="1:9" x14ac:dyDescent="0.35">
      <c r="A143" t="s">
        <v>257</v>
      </c>
      <c r="B143">
        <v>2</v>
      </c>
      <c r="C143" t="s">
        <v>256</v>
      </c>
      <c r="E143">
        <v>2042</v>
      </c>
      <c r="I143" t="s">
        <v>250</v>
      </c>
    </row>
    <row r="144" spans="1:9" x14ac:dyDescent="0.35">
      <c r="A144" t="s">
        <v>257</v>
      </c>
      <c r="B144">
        <v>2</v>
      </c>
      <c r="C144" t="s">
        <v>256</v>
      </c>
      <c r="E144">
        <v>2043</v>
      </c>
      <c r="I144" t="s">
        <v>250</v>
      </c>
    </row>
    <row r="145" spans="1:9" x14ac:dyDescent="0.35">
      <c r="A145" t="s">
        <v>257</v>
      </c>
      <c r="B145">
        <v>2</v>
      </c>
      <c r="C145" t="s">
        <v>256</v>
      </c>
      <c r="E145">
        <v>2044</v>
      </c>
      <c r="I145" t="s">
        <v>250</v>
      </c>
    </row>
    <row r="146" spans="1:9" x14ac:dyDescent="0.35">
      <c r="A146" t="s">
        <v>257</v>
      </c>
      <c r="B146">
        <v>2</v>
      </c>
      <c r="C146" t="s">
        <v>256</v>
      </c>
      <c r="E146">
        <v>2045</v>
      </c>
      <c r="I146" t="s">
        <v>250</v>
      </c>
    </row>
    <row r="147" spans="1:9" x14ac:dyDescent="0.35">
      <c r="A147" t="s">
        <v>257</v>
      </c>
      <c r="B147">
        <v>2</v>
      </c>
      <c r="C147" t="s">
        <v>256</v>
      </c>
      <c r="E147">
        <v>2046</v>
      </c>
      <c r="I147" t="s">
        <v>250</v>
      </c>
    </row>
    <row r="148" spans="1:9" x14ac:dyDescent="0.35">
      <c r="A148" t="s">
        <v>257</v>
      </c>
      <c r="B148">
        <v>2</v>
      </c>
      <c r="C148" t="s">
        <v>256</v>
      </c>
      <c r="E148">
        <v>2047</v>
      </c>
      <c r="I148" t="s">
        <v>250</v>
      </c>
    </row>
    <row r="149" spans="1:9" x14ac:dyDescent="0.35">
      <c r="A149" t="s">
        <v>257</v>
      </c>
      <c r="B149">
        <v>2</v>
      </c>
      <c r="C149" t="s">
        <v>256</v>
      </c>
      <c r="E149">
        <v>2048</v>
      </c>
      <c r="I149" t="s">
        <v>250</v>
      </c>
    </row>
    <row r="150" spans="1:9" x14ac:dyDescent="0.35">
      <c r="A150" t="s">
        <v>257</v>
      </c>
      <c r="B150">
        <v>2</v>
      </c>
      <c r="C150" t="s">
        <v>256</v>
      </c>
      <c r="E150">
        <v>2049</v>
      </c>
      <c r="I150" t="s">
        <v>250</v>
      </c>
    </row>
    <row r="151" spans="1:9" x14ac:dyDescent="0.35">
      <c r="A151" t="s">
        <v>257</v>
      </c>
      <c r="B151">
        <v>2</v>
      </c>
      <c r="C151" t="s">
        <v>256</v>
      </c>
      <c r="E151">
        <v>2050</v>
      </c>
      <c r="I151" t="s">
        <v>250</v>
      </c>
    </row>
    <row r="152" spans="1:9" x14ac:dyDescent="0.35">
      <c r="A152" t="s">
        <v>257</v>
      </c>
      <c r="B152">
        <v>2</v>
      </c>
      <c r="C152" t="s">
        <v>256</v>
      </c>
      <c r="E152">
        <v>2021</v>
      </c>
      <c r="I152" t="s">
        <v>251</v>
      </c>
    </row>
    <row r="153" spans="1:9" x14ac:dyDescent="0.35">
      <c r="A153" t="s">
        <v>257</v>
      </c>
      <c r="B153">
        <v>2</v>
      </c>
      <c r="C153" t="s">
        <v>256</v>
      </c>
      <c r="E153">
        <v>2022</v>
      </c>
      <c r="I153" t="s">
        <v>251</v>
      </c>
    </row>
    <row r="154" spans="1:9" x14ac:dyDescent="0.35">
      <c r="A154" t="s">
        <v>257</v>
      </c>
      <c r="B154">
        <v>2</v>
      </c>
      <c r="C154" t="s">
        <v>256</v>
      </c>
      <c r="E154">
        <v>2023</v>
      </c>
      <c r="I154" t="s">
        <v>251</v>
      </c>
    </row>
    <row r="155" spans="1:9" x14ac:dyDescent="0.35">
      <c r="A155" t="s">
        <v>257</v>
      </c>
      <c r="B155">
        <v>2</v>
      </c>
      <c r="C155" t="s">
        <v>256</v>
      </c>
      <c r="E155">
        <v>2024</v>
      </c>
      <c r="I155" t="s">
        <v>251</v>
      </c>
    </row>
    <row r="156" spans="1:9" x14ac:dyDescent="0.35">
      <c r="A156" t="s">
        <v>257</v>
      </c>
      <c r="B156">
        <v>2</v>
      </c>
      <c r="C156" t="s">
        <v>256</v>
      </c>
      <c r="E156">
        <v>2025</v>
      </c>
      <c r="I156" t="s">
        <v>251</v>
      </c>
    </row>
    <row r="157" spans="1:9" x14ac:dyDescent="0.35">
      <c r="A157" t="s">
        <v>257</v>
      </c>
      <c r="B157">
        <v>2</v>
      </c>
      <c r="C157" t="s">
        <v>256</v>
      </c>
      <c r="E157">
        <v>2026</v>
      </c>
      <c r="I157" t="s">
        <v>251</v>
      </c>
    </row>
    <row r="158" spans="1:9" x14ac:dyDescent="0.35">
      <c r="A158" t="s">
        <v>257</v>
      </c>
      <c r="B158">
        <v>2</v>
      </c>
      <c r="C158" t="s">
        <v>256</v>
      </c>
      <c r="E158">
        <v>2027</v>
      </c>
      <c r="I158" t="s">
        <v>251</v>
      </c>
    </row>
    <row r="159" spans="1:9" x14ac:dyDescent="0.35">
      <c r="A159" t="s">
        <v>257</v>
      </c>
      <c r="B159">
        <v>2</v>
      </c>
      <c r="C159" t="s">
        <v>256</v>
      </c>
      <c r="E159">
        <v>2028</v>
      </c>
      <c r="I159" t="s">
        <v>251</v>
      </c>
    </row>
    <row r="160" spans="1:9" x14ac:dyDescent="0.35">
      <c r="A160" t="s">
        <v>257</v>
      </c>
      <c r="B160">
        <v>2</v>
      </c>
      <c r="C160" t="s">
        <v>256</v>
      </c>
      <c r="E160">
        <v>2029</v>
      </c>
      <c r="I160" t="s">
        <v>251</v>
      </c>
    </row>
    <row r="161" spans="1:9" x14ac:dyDescent="0.35">
      <c r="A161" t="s">
        <v>257</v>
      </c>
      <c r="B161">
        <v>2</v>
      </c>
      <c r="C161" t="s">
        <v>256</v>
      </c>
      <c r="E161">
        <v>2030</v>
      </c>
      <c r="I161" t="s">
        <v>251</v>
      </c>
    </row>
    <row r="162" spans="1:9" x14ac:dyDescent="0.35">
      <c r="A162" t="s">
        <v>257</v>
      </c>
      <c r="B162">
        <v>2</v>
      </c>
      <c r="C162" t="s">
        <v>256</v>
      </c>
      <c r="E162">
        <v>2031</v>
      </c>
      <c r="I162" t="s">
        <v>251</v>
      </c>
    </row>
    <row r="163" spans="1:9" x14ac:dyDescent="0.35">
      <c r="A163" t="s">
        <v>257</v>
      </c>
      <c r="B163">
        <v>2</v>
      </c>
      <c r="C163" t="s">
        <v>256</v>
      </c>
      <c r="E163">
        <v>2032</v>
      </c>
      <c r="I163" t="s">
        <v>251</v>
      </c>
    </row>
    <row r="164" spans="1:9" x14ac:dyDescent="0.35">
      <c r="A164" t="s">
        <v>257</v>
      </c>
      <c r="B164">
        <v>2</v>
      </c>
      <c r="C164" t="s">
        <v>256</v>
      </c>
      <c r="E164">
        <v>2033</v>
      </c>
      <c r="I164" t="s">
        <v>251</v>
      </c>
    </row>
    <row r="165" spans="1:9" x14ac:dyDescent="0.35">
      <c r="A165" t="s">
        <v>257</v>
      </c>
      <c r="B165">
        <v>2</v>
      </c>
      <c r="C165" t="s">
        <v>256</v>
      </c>
      <c r="E165">
        <v>2034</v>
      </c>
      <c r="I165" t="s">
        <v>251</v>
      </c>
    </row>
    <row r="166" spans="1:9" x14ac:dyDescent="0.35">
      <c r="A166" t="s">
        <v>257</v>
      </c>
      <c r="B166">
        <v>2</v>
      </c>
      <c r="C166" t="s">
        <v>256</v>
      </c>
      <c r="E166">
        <v>2035</v>
      </c>
      <c r="I166" t="s">
        <v>251</v>
      </c>
    </row>
    <row r="167" spans="1:9" x14ac:dyDescent="0.35">
      <c r="A167" t="s">
        <v>257</v>
      </c>
      <c r="B167">
        <v>2</v>
      </c>
      <c r="C167" t="s">
        <v>256</v>
      </c>
      <c r="E167">
        <v>2036</v>
      </c>
      <c r="I167" t="s">
        <v>251</v>
      </c>
    </row>
    <row r="168" spans="1:9" x14ac:dyDescent="0.35">
      <c r="A168" t="s">
        <v>257</v>
      </c>
      <c r="B168">
        <v>2</v>
      </c>
      <c r="C168" t="s">
        <v>256</v>
      </c>
      <c r="E168">
        <v>2037</v>
      </c>
      <c r="I168" t="s">
        <v>251</v>
      </c>
    </row>
    <row r="169" spans="1:9" x14ac:dyDescent="0.35">
      <c r="A169" t="s">
        <v>257</v>
      </c>
      <c r="B169">
        <v>2</v>
      </c>
      <c r="C169" t="s">
        <v>256</v>
      </c>
      <c r="E169">
        <v>2038</v>
      </c>
      <c r="I169" t="s">
        <v>251</v>
      </c>
    </row>
    <row r="170" spans="1:9" x14ac:dyDescent="0.35">
      <c r="A170" t="s">
        <v>257</v>
      </c>
      <c r="B170">
        <v>2</v>
      </c>
      <c r="C170" t="s">
        <v>256</v>
      </c>
      <c r="E170">
        <v>2039</v>
      </c>
      <c r="I170" t="s">
        <v>251</v>
      </c>
    </row>
    <row r="171" spans="1:9" x14ac:dyDescent="0.35">
      <c r="A171" t="s">
        <v>257</v>
      </c>
      <c r="B171">
        <v>2</v>
      </c>
      <c r="C171" t="s">
        <v>256</v>
      </c>
      <c r="E171">
        <v>2040</v>
      </c>
      <c r="I171" t="s">
        <v>251</v>
      </c>
    </row>
    <row r="172" spans="1:9" x14ac:dyDescent="0.35">
      <c r="A172" t="s">
        <v>257</v>
      </c>
      <c r="B172">
        <v>2</v>
      </c>
      <c r="C172" t="s">
        <v>256</v>
      </c>
      <c r="E172">
        <v>2041</v>
      </c>
      <c r="I172" t="s">
        <v>251</v>
      </c>
    </row>
    <row r="173" spans="1:9" x14ac:dyDescent="0.35">
      <c r="A173" t="s">
        <v>257</v>
      </c>
      <c r="B173">
        <v>2</v>
      </c>
      <c r="C173" t="s">
        <v>256</v>
      </c>
      <c r="E173">
        <v>2042</v>
      </c>
      <c r="I173" t="s">
        <v>251</v>
      </c>
    </row>
    <row r="174" spans="1:9" x14ac:dyDescent="0.35">
      <c r="A174" t="s">
        <v>257</v>
      </c>
      <c r="B174">
        <v>2</v>
      </c>
      <c r="C174" t="s">
        <v>256</v>
      </c>
      <c r="E174">
        <v>2043</v>
      </c>
      <c r="I174" t="s">
        <v>251</v>
      </c>
    </row>
    <row r="175" spans="1:9" x14ac:dyDescent="0.35">
      <c r="A175" t="s">
        <v>257</v>
      </c>
      <c r="B175">
        <v>2</v>
      </c>
      <c r="C175" t="s">
        <v>256</v>
      </c>
      <c r="E175">
        <v>2044</v>
      </c>
      <c r="I175" t="s">
        <v>251</v>
      </c>
    </row>
    <row r="176" spans="1:9" x14ac:dyDescent="0.35">
      <c r="A176" t="s">
        <v>257</v>
      </c>
      <c r="B176">
        <v>2</v>
      </c>
      <c r="C176" t="s">
        <v>256</v>
      </c>
      <c r="E176">
        <v>2045</v>
      </c>
      <c r="I176" t="s">
        <v>251</v>
      </c>
    </row>
    <row r="177" spans="1:9" x14ac:dyDescent="0.35">
      <c r="A177" t="s">
        <v>257</v>
      </c>
      <c r="B177">
        <v>2</v>
      </c>
      <c r="C177" t="s">
        <v>256</v>
      </c>
      <c r="E177">
        <v>2046</v>
      </c>
      <c r="I177" t="s">
        <v>251</v>
      </c>
    </row>
    <row r="178" spans="1:9" x14ac:dyDescent="0.35">
      <c r="A178" t="s">
        <v>257</v>
      </c>
      <c r="B178">
        <v>2</v>
      </c>
      <c r="C178" t="s">
        <v>256</v>
      </c>
      <c r="E178">
        <v>2047</v>
      </c>
      <c r="I178" t="s">
        <v>251</v>
      </c>
    </row>
    <row r="179" spans="1:9" x14ac:dyDescent="0.35">
      <c r="A179" t="s">
        <v>257</v>
      </c>
      <c r="B179">
        <v>2</v>
      </c>
      <c r="C179" t="s">
        <v>256</v>
      </c>
      <c r="E179">
        <v>2048</v>
      </c>
      <c r="I179" t="s">
        <v>251</v>
      </c>
    </row>
    <row r="180" spans="1:9" x14ac:dyDescent="0.35">
      <c r="A180" t="s">
        <v>257</v>
      </c>
      <c r="B180">
        <v>2</v>
      </c>
      <c r="C180" t="s">
        <v>256</v>
      </c>
      <c r="E180">
        <v>2049</v>
      </c>
      <c r="I180" t="s">
        <v>251</v>
      </c>
    </row>
    <row r="181" spans="1:9" x14ac:dyDescent="0.35">
      <c r="A181" t="s">
        <v>257</v>
      </c>
      <c r="B181">
        <v>2</v>
      </c>
      <c r="C181" t="s">
        <v>256</v>
      </c>
      <c r="E181">
        <v>2050</v>
      </c>
      <c r="I181" t="s">
        <v>251</v>
      </c>
    </row>
    <row r="182" spans="1:9" x14ac:dyDescent="0.35">
      <c r="A182" t="s">
        <v>257</v>
      </c>
      <c r="B182">
        <v>2</v>
      </c>
      <c r="C182" t="s">
        <v>256</v>
      </c>
      <c r="E182">
        <v>2021</v>
      </c>
      <c r="I182" t="s">
        <v>252</v>
      </c>
    </row>
    <row r="183" spans="1:9" x14ac:dyDescent="0.35">
      <c r="A183" t="s">
        <v>257</v>
      </c>
      <c r="B183">
        <v>2</v>
      </c>
      <c r="C183" t="s">
        <v>256</v>
      </c>
      <c r="E183">
        <v>2022</v>
      </c>
      <c r="I183" t="s">
        <v>252</v>
      </c>
    </row>
    <row r="184" spans="1:9" x14ac:dyDescent="0.35">
      <c r="A184" t="s">
        <v>257</v>
      </c>
      <c r="B184">
        <v>2</v>
      </c>
      <c r="C184" t="s">
        <v>256</v>
      </c>
      <c r="E184">
        <v>2023</v>
      </c>
      <c r="I184" t="s">
        <v>252</v>
      </c>
    </row>
    <row r="185" spans="1:9" x14ac:dyDescent="0.35">
      <c r="A185" t="s">
        <v>257</v>
      </c>
      <c r="B185">
        <v>2</v>
      </c>
      <c r="C185" t="s">
        <v>256</v>
      </c>
      <c r="E185">
        <v>2024</v>
      </c>
      <c r="I185" t="s">
        <v>252</v>
      </c>
    </row>
    <row r="186" spans="1:9" x14ac:dyDescent="0.35">
      <c r="A186" t="s">
        <v>257</v>
      </c>
      <c r="B186">
        <v>2</v>
      </c>
      <c r="C186" t="s">
        <v>256</v>
      </c>
      <c r="E186">
        <v>2025</v>
      </c>
      <c r="I186" t="s">
        <v>252</v>
      </c>
    </row>
    <row r="187" spans="1:9" x14ac:dyDescent="0.35">
      <c r="A187" t="s">
        <v>257</v>
      </c>
      <c r="B187">
        <v>2</v>
      </c>
      <c r="C187" t="s">
        <v>256</v>
      </c>
      <c r="E187">
        <v>2026</v>
      </c>
      <c r="I187" t="s">
        <v>252</v>
      </c>
    </row>
    <row r="188" spans="1:9" x14ac:dyDescent="0.35">
      <c r="A188" t="s">
        <v>257</v>
      </c>
      <c r="B188">
        <v>2</v>
      </c>
      <c r="C188" t="s">
        <v>256</v>
      </c>
      <c r="E188">
        <v>2027</v>
      </c>
      <c r="I188" t="s">
        <v>252</v>
      </c>
    </row>
    <row r="189" spans="1:9" x14ac:dyDescent="0.35">
      <c r="A189" t="s">
        <v>257</v>
      </c>
      <c r="B189">
        <v>2</v>
      </c>
      <c r="C189" t="s">
        <v>256</v>
      </c>
      <c r="E189">
        <v>2028</v>
      </c>
      <c r="I189" t="s">
        <v>252</v>
      </c>
    </row>
    <row r="190" spans="1:9" x14ac:dyDescent="0.35">
      <c r="A190" t="s">
        <v>257</v>
      </c>
      <c r="B190">
        <v>2</v>
      </c>
      <c r="C190" t="s">
        <v>256</v>
      </c>
      <c r="E190">
        <v>2029</v>
      </c>
      <c r="I190" t="s">
        <v>252</v>
      </c>
    </row>
    <row r="191" spans="1:9" x14ac:dyDescent="0.35">
      <c r="A191" t="s">
        <v>257</v>
      </c>
      <c r="B191">
        <v>2</v>
      </c>
      <c r="C191" t="s">
        <v>256</v>
      </c>
      <c r="E191">
        <v>2030</v>
      </c>
      <c r="I191" t="s">
        <v>252</v>
      </c>
    </row>
    <row r="192" spans="1:9" x14ac:dyDescent="0.35">
      <c r="A192" t="s">
        <v>257</v>
      </c>
      <c r="B192">
        <v>2</v>
      </c>
      <c r="C192" t="s">
        <v>256</v>
      </c>
      <c r="E192">
        <v>2031</v>
      </c>
      <c r="I192" t="s">
        <v>252</v>
      </c>
    </row>
    <row r="193" spans="1:9" x14ac:dyDescent="0.35">
      <c r="A193" t="s">
        <v>257</v>
      </c>
      <c r="B193">
        <v>2</v>
      </c>
      <c r="C193" t="s">
        <v>256</v>
      </c>
      <c r="E193">
        <v>2032</v>
      </c>
      <c r="I193" t="s">
        <v>252</v>
      </c>
    </row>
    <row r="194" spans="1:9" x14ac:dyDescent="0.35">
      <c r="A194" t="s">
        <v>257</v>
      </c>
      <c r="B194">
        <v>2</v>
      </c>
      <c r="C194" t="s">
        <v>256</v>
      </c>
      <c r="E194">
        <v>2033</v>
      </c>
      <c r="I194" t="s">
        <v>252</v>
      </c>
    </row>
    <row r="195" spans="1:9" x14ac:dyDescent="0.35">
      <c r="A195" t="s">
        <v>257</v>
      </c>
      <c r="B195">
        <v>2</v>
      </c>
      <c r="C195" t="s">
        <v>256</v>
      </c>
      <c r="E195">
        <v>2034</v>
      </c>
      <c r="I195" t="s">
        <v>252</v>
      </c>
    </row>
    <row r="196" spans="1:9" x14ac:dyDescent="0.35">
      <c r="A196" t="s">
        <v>257</v>
      </c>
      <c r="B196">
        <v>2</v>
      </c>
      <c r="C196" t="s">
        <v>256</v>
      </c>
      <c r="E196">
        <v>2035</v>
      </c>
      <c r="I196" t="s">
        <v>252</v>
      </c>
    </row>
    <row r="197" spans="1:9" x14ac:dyDescent="0.35">
      <c r="A197" t="s">
        <v>257</v>
      </c>
      <c r="B197">
        <v>2</v>
      </c>
      <c r="C197" t="s">
        <v>256</v>
      </c>
      <c r="E197">
        <v>2036</v>
      </c>
      <c r="I197" t="s">
        <v>252</v>
      </c>
    </row>
    <row r="198" spans="1:9" x14ac:dyDescent="0.35">
      <c r="A198" t="s">
        <v>257</v>
      </c>
      <c r="B198">
        <v>2</v>
      </c>
      <c r="C198" t="s">
        <v>256</v>
      </c>
      <c r="E198">
        <v>2037</v>
      </c>
      <c r="I198" t="s">
        <v>252</v>
      </c>
    </row>
    <row r="199" spans="1:9" x14ac:dyDescent="0.35">
      <c r="A199" t="s">
        <v>257</v>
      </c>
      <c r="B199">
        <v>2</v>
      </c>
      <c r="C199" t="s">
        <v>256</v>
      </c>
      <c r="E199">
        <v>2038</v>
      </c>
      <c r="I199" t="s">
        <v>252</v>
      </c>
    </row>
    <row r="200" spans="1:9" x14ac:dyDescent="0.35">
      <c r="A200" t="s">
        <v>257</v>
      </c>
      <c r="B200">
        <v>2</v>
      </c>
      <c r="C200" t="s">
        <v>256</v>
      </c>
      <c r="E200">
        <v>2039</v>
      </c>
      <c r="I200" t="s">
        <v>252</v>
      </c>
    </row>
    <row r="201" spans="1:9" x14ac:dyDescent="0.35">
      <c r="A201" t="s">
        <v>257</v>
      </c>
      <c r="B201">
        <v>2</v>
      </c>
      <c r="C201" t="s">
        <v>256</v>
      </c>
      <c r="E201">
        <v>2040</v>
      </c>
      <c r="I201" t="s">
        <v>252</v>
      </c>
    </row>
    <row r="202" spans="1:9" x14ac:dyDescent="0.35">
      <c r="A202" t="s">
        <v>257</v>
      </c>
      <c r="B202">
        <v>2</v>
      </c>
      <c r="C202" t="s">
        <v>256</v>
      </c>
      <c r="E202">
        <v>2041</v>
      </c>
      <c r="I202" t="s">
        <v>252</v>
      </c>
    </row>
    <row r="203" spans="1:9" x14ac:dyDescent="0.35">
      <c r="A203" t="s">
        <v>257</v>
      </c>
      <c r="B203">
        <v>2</v>
      </c>
      <c r="C203" t="s">
        <v>256</v>
      </c>
      <c r="E203">
        <v>2042</v>
      </c>
      <c r="I203" t="s">
        <v>252</v>
      </c>
    </row>
    <row r="204" spans="1:9" x14ac:dyDescent="0.35">
      <c r="A204" t="s">
        <v>257</v>
      </c>
      <c r="B204">
        <v>2</v>
      </c>
      <c r="C204" t="s">
        <v>256</v>
      </c>
      <c r="E204">
        <v>2043</v>
      </c>
      <c r="I204" t="s">
        <v>252</v>
      </c>
    </row>
    <row r="205" spans="1:9" x14ac:dyDescent="0.35">
      <c r="A205" t="s">
        <v>257</v>
      </c>
      <c r="B205">
        <v>2</v>
      </c>
      <c r="C205" t="s">
        <v>256</v>
      </c>
      <c r="E205">
        <v>2044</v>
      </c>
      <c r="I205" t="s">
        <v>252</v>
      </c>
    </row>
    <row r="206" spans="1:9" x14ac:dyDescent="0.35">
      <c r="A206" t="s">
        <v>257</v>
      </c>
      <c r="B206">
        <v>2</v>
      </c>
      <c r="C206" t="s">
        <v>256</v>
      </c>
      <c r="E206">
        <v>2045</v>
      </c>
      <c r="I206" t="s">
        <v>252</v>
      </c>
    </row>
    <row r="207" spans="1:9" x14ac:dyDescent="0.35">
      <c r="A207" t="s">
        <v>257</v>
      </c>
      <c r="B207">
        <v>2</v>
      </c>
      <c r="C207" t="s">
        <v>256</v>
      </c>
      <c r="E207">
        <v>2046</v>
      </c>
      <c r="I207" t="s">
        <v>252</v>
      </c>
    </row>
    <row r="208" spans="1:9" x14ac:dyDescent="0.35">
      <c r="A208" t="s">
        <v>257</v>
      </c>
      <c r="B208">
        <v>2</v>
      </c>
      <c r="C208" t="s">
        <v>256</v>
      </c>
      <c r="E208">
        <v>2047</v>
      </c>
      <c r="I208" t="s">
        <v>252</v>
      </c>
    </row>
    <row r="209" spans="1:9" x14ac:dyDescent="0.35">
      <c r="A209" t="s">
        <v>257</v>
      </c>
      <c r="B209">
        <v>2</v>
      </c>
      <c r="C209" t="s">
        <v>256</v>
      </c>
      <c r="E209">
        <v>2048</v>
      </c>
      <c r="I209" t="s">
        <v>252</v>
      </c>
    </row>
    <row r="210" spans="1:9" x14ac:dyDescent="0.35">
      <c r="A210" t="s">
        <v>257</v>
      </c>
      <c r="B210">
        <v>2</v>
      </c>
      <c r="C210" t="s">
        <v>256</v>
      </c>
      <c r="E210">
        <v>2049</v>
      </c>
      <c r="I210" t="s">
        <v>252</v>
      </c>
    </row>
    <row r="211" spans="1:9" x14ac:dyDescent="0.35">
      <c r="A211" t="s">
        <v>257</v>
      </c>
      <c r="B211">
        <v>2</v>
      </c>
      <c r="C211" t="s">
        <v>256</v>
      </c>
      <c r="E211">
        <v>2050</v>
      </c>
      <c r="I211" t="s">
        <v>252</v>
      </c>
    </row>
    <row r="212" spans="1:9" x14ac:dyDescent="0.35">
      <c r="A212" t="s">
        <v>257</v>
      </c>
      <c r="B212">
        <v>2</v>
      </c>
      <c r="C212" t="s">
        <v>256</v>
      </c>
      <c r="E212">
        <v>2021</v>
      </c>
      <c r="I212" t="s">
        <v>253</v>
      </c>
    </row>
    <row r="213" spans="1:9" x14ac:dyDescent="0.35">
      <c r="A213" t="s">
        <v>257</v>
      </c>
      <c r="B213">
        <v>2</v>
      </c>
      <c r="C213" t="s">
        <v>256</v>
      </c>
      <c r="E213">
        <v>2022</v>
      </c>
      <c r="I213" t="s">
        <v>253</v>
      </c>
    </row>
    <row r="214" spans="1:9" x14ac:dyDescent="0.35">
      <c r="A214" t="s">
        <v>257</v>
      </c>
      <c r="B214">
        <v>2</v>
      </c>
      <c r="C214" t="s">
        <v>256</v>
      </c>
      <c r="E214">
        <v>2023</v>
      </c>
      <c r="I214" t="s">
        <v>253</v>
      </c>
    </row>
    <row r="215" spans="1:9" x14ac:dyDescent="0.35">
      <c r="A215" t="s">
        <v>257</v>
      </c>
      <c r="B215">
        <v>2</v>
      </c>
      <c r="C215" t="s">
        <v>256</v>
      </c>
      <c r="E215">
        <v>2024</v>
      </c>
      <c r="I215" t="s">
        <v>253</v>
      </c>
    </row>
    <row r="216" spans="1:9" x14ac:dyDescent="0.35">
      <c r="A216" t="s">
        <v>257</v>
      </c>
      <c r="B216">
        <v>2</v>
      </c>
      <c r="C216" t="s">
        <v>256</v>
      </c>
      <c r="E216">
        <v>2025</v>
      </c>
      <c r="I216" t="s">
        <v>253</v>
      </c>
    </row>
    <row r="217" spans="1:9" x14ac:dyDescent="0.35">
      <c r="A217" t="s">
        <v>257</v>
      </c>
      <c r="B217">
        <v>2</v>
      </c>
      <c r="C217" t="s">
        <v>256</v>
      </c>
      <c r="E217">
        <v>2026</v>
      </c>
      <c r="I217" t="s">
        <v>253</v>
      </c>
    </row>
    <row r="218" spans="1:9" x14ac:dyDescent="0.35">
      <c r="A218" t="s">
        <v>257</v>
      </c>
      <c r="B218">
        <v>2</v>
      </c>
      <c r="C218" t="s">
        <v>256</v>
      </c>
      <c r="E218">
        <v>2027</v>
      </c>
      <c r="I218" t="s">
        <v>253</v>
      </c>
    </row>
    <row r="219" spans="1:9" x14ac:dyDescent="0.35">
      <c r="A219" t="s">
        <v>257</v>
      </c>
      <c r="B219">
        <v>2</v>
      </c>
      <c r="C219" t="s">
        <v>256</v>
      </c>
      <c r="E219">
        <v>2028</v>
      </c>
      <c r="I219" t="s">
        <v>253</v>
      </c>
    </row>
    <row r="220" spans="1:9" x14ac:dyDescent="0.35">
      <c r="A220" t="s">
        <v>257</v>
      </c>
      <c r="B220">
        <v>2</v>
      </c>
      <c r="C220" t="s">
        <v>256</v>
      </c>
      <c r="E220">
        <v>2029</v>
      </c>
      <c r="I220" t="s">
        <v>253</v>
      </c>
    </row>
    <row r="221" spans="1:9" x14ac:dyDescent="0.35">
      <c r="A221" t="s">
        <v>257</v>
      </c>
      <c r="B221">
        <v>2</v>
      </c>
      <c r="C221" t="s">
        <v>256</v>
      </c>
      <c r="E221">
        <v>2030</v>
      </c>
      <c r="I221" t="s">
        <v>253</v>
      </c>
    </row>
    <row r="222" spans="1:9" x14ac:dyDescent="0.35">
      <c r="A222" t="s">
        <v>257</v>
      </c>
      <c r="B222">
        <v>2</v>
      </c>
      <c r="C222" t="s">
        <v>256</v>
      </c>
      <c r="E222">
        <v>2031</v>
      </c>
      <c r="I222" t="s">
        <v>253</v>
      </c>
    </row>
    <row r="223" spans="1:9" x14ac:dyDescent="0.35">
      <c r="A223" t="s">
        <v>257</v>
      </c>
      <c r="B223">
        <v>2</v>
      </c>
      <c r="C223" t="s">
        <v>256</v>
      </c>
      <c r="E223">
        <v>2032</v>
      </c>
      <c r="I223" t="s">
        <v>253</v>
      </c>
    </row>
    <row r="224" spans="1:9" x14ac:dyDescent="0.35">
      <c r="A224" t="s">
        <v>257</v>
      </c>
      <c r="B224">
        <v>2</v>
      </c>
      <c r="C224" t="s">
        <v>256</v>
      </c>
      <c r="E224">
        <v>2033</v>
      </c>
      <c r="I224" t="s">
        <v>253</v>
      </c>
    </row>
    <row r="225" spans="1:9" x14ac:dyDescent="0.35">
      <c r="A225" t="s">
        <v>257</v>
      </c>
      <c r="B225">
        <v>2</v>
      </c>
      <c r="C225" t="s">
        <v>256</v>
      </c>
      <c r="E225">
        <v>2034</v>
      </c>
      <c r="I225" t="s">
        <v>253</v>
      </c>
    </row>
    <row r="226" spans="1:9" x14ac:dyDescent="0.35">
      <c r="A226" t="s">
        <v>257</v>
      </c>
      <c r="B226">
        <v>2</v>
      </c>
      <c r="C226" t="s">
        <v>256</v>
      </c>
      <c r="E226">
        <v>2035</v>
      </c>
      <c r="I226" t="s">
        <v>253</v>
      </c>
    </row>
    <row r="227" spans="1:9" x14ac:dyDescent="0.35">
      <c r="A227" t="s">
        <v>257</v>
      </c>
      <c r="B227">
        <v>2</v>
      </c>
      <c r="C227" t="s">
        <v>256</v>
      </c>
      <c r="E227">
        <v>2036</v>
      </c>
      <c r="I227" t="s">
        <v>253</v>
      </c>
    </row>
    <row r="228" spans="1:9" x14ac:dyDescent="0.35">
      <c r="A228" t="s">
        <v>257</v>
      </c>
      <c r="B228">
        <v>2</v>
      </c>
      <c r="C228" t="s">
        <v>256</v>
      </c>
      <c r="E228">
        <v>2037</v>
      </c>
      <c r="I228" t="s">
        <v>253</v>
      </c>
    </row>
    <row r="229" spans="1:9" x14ac:dyDescent="0.35">
      <c r="A229" t="s">
        <v>257</v>
      </c>
      <c r="B229">
        <v>2</v>
      </c>
      <c r="C229" t="s">
        <v>256</v>
      </c>
      <c r="E229">
        <v>2038</v>
      </c>
      <c r="I229" t="s">
        <v>253</v>
      </c>
    </row>
    <row r="230" spans="1:9" x14ac:dyDescent="0.35">
      <c r="A230" t="s">
        <v>257</v>
      </c>
      <c r="B230">
        <v>2</v>
      </c>
      <c r="C230" t="s">
        <v>256</v>
      </c>
      <c r="E230">
        <v>2039</v>
      </c>
      <c r="I230" t="s">
        <v>253</v>
      </c>
    </row>
    <row r="231" spans="1:9" x14ac:dyDescent="0.35">
      <c r="A231" t="s">
        <v>257</v>
      </c>
      <c r="B231">
        <v>2</v>
      </c>
      <c r="C231" t="s">
        <v>256</v>
      </c>
      <c r="E231">
        <v>2040</v>
      </c>
      <c r="I231" t="s">
        <v>253</v>
      </c>
    </row>
    <row r="232" spans="1:9" x14ac:dyDescent="0.35">
      <c r="A232" t="s">
        <v>257</v>
      </c>
      <c r="B232">
        <v>2</v>
      </c>
      <c r="C232" t="s">
        <v>256</v>
      </c>
      <c r="E232">
        <v>2041</v>
      </c>
      <c r="I232" t="s">
        <v>253</v>
      </c>
    </row>
    <row r="233" spans="1:9" x14ac:dyDescent="0.35">
      <c r="A233" t="s">
        <v>257</v>
      </c>
      <c r="B233">
        <v>2</v>
      </c>
      <c r="C233" t="s">
        <v>256</v>
      </c>
      <c r="E233">
        <v>2042</v>
      </c>
      <c r="I233" t="s">
        <v>253</v>
      </c>
    </row>
    <row r="234" spans="1:9" x14ac:dyDescent="0.35">
      <c r="A234" t="s">
        <v>257</v>
      </c>
      <c r="B234">
        <v>2</v>
      </c>
      <c r="C234" t="s">
        <v>256</v>
      </c>
      <c r="E234">
        <v>2043</v>
      </c>
      <c r="I234" t="s">
        <v>253</v>
      </c>
    </row>
    <row r="235" spans="1:9" x14ac:dyDescent="0.35">
      <c r="A235" t="s">
        <v>257</v>
      </c>
      <c r="B235">
        <v>2</v>
      </c>
      <c r="C235" t="s">
        <v>256</v>
      </c>
      <c r="E235">
        <v>2044</v>
      </c>
      <c r="I235" t="s">
        <v>253</v>
      </c>
    </row>
    <row r="236" spans="1:9" x14ac:dyDescent="0.35">
      <c r="A236" t="s">
        <v>257</v>
      </c>
      <c r="B236">
        <v>2</v>
      </c>
      <c r="C236" t="s">
        <v>256</v>
      </c>
      <c r="E236">
        <v>2045</v>
      </c>
      <c r="I236" t="s">
        <v>253</v>
      </c>
    </row>
    <row r="237" spans="1:9" x14ac:dyDescent="0.35">
      <c r="A237" t="s">
        <v>257</v>
      </c>
      <c r="B237">
        <v>2</v>
      </c>
      <c r="C237" t="s">
        <v>256</v>
      </c>
      <c r="E237">
        <v>2046</v>
      </c>
      <c r="I237" t="s">
        <v>253</v>
      </c>
    </row>
    <row r="238" spans="1:9" x14ac:dyDescent="0.35">
      <c r="A238" t="s">
        <v>257</v>
      </c>
      <c r="B238">
        <v>2</v>
      </c>
      <c r="C238" t="s">
        <v>256</v>
      </c>
      <c r="E238">
        <v>2047</v>
      </c>
      <c r="I238" t="s">
        <v>253</v>
      </c>
    </row>
    <row r="239" spans="1:9" x14ac:dyDescent="0.35">
      <c r="A239" t="s">
        <v>257</v>
      </c>
      <c r="B239">
        <v>2</v>
      </c>
      <c r="C239" t="s">
        <v>256</v>
      </c>
      <c r="E239">
        <v>2048</v>
      </c>
      <c r="I239" t="s">
        <v>253</v>
      </c>
    </row>
    <row r="240" spans="1:9" x14ac:dyDescent="0.35">
      <c r="A240" t="s">
        <v>257</v>
      </c>
      <c r="B240">
        <v>2</v>
      </c>
      <c r="C240" t="s">
        <v>256</v>
      </c>
      <c r="E240">
        <v>2049</v>
      </c>
      <c r="I240" t="s">
        <v>253</v>
      </c>
    </row>
    <row r="241" spans="1:14" x14ac:dyDescent="0.35">
      <c r="A241" t="s">
        <v>257</v>
      </c>
      <c r="B241">
        <v>2</v>
      </c>
      <c r="C241" t="s">
        <v>256</v>
      </c>
      <c r="E241">
        <v>2050</v>
      </c>
      <c r="I241" t="s">
        <v>253</v>
      </c>
    </row>
    <row r="242" spans="1:14" x14ac:dyDescent="0.35">
      <c r="A242" t="s">
        <v>49</v>
      </c>
      <c r="B242">
        <v>3</v>
      </c>
      <c r="C242" t="s">
        <v>197</v>
      </c>
      <c r="D242" t="s">
        <v>196</v>
      </c>
      <c r="K242" t="s">
        <v>56</v>
      </c>
      <c r="L242" t="s">
        <v>65</v>
      </c>
      <c r="M242" t="s">
        <v>67</v>
      </c>
      <c r="N242">
        <v>1</v>
      </c>
    </row>
    <row r="243" spans="1:14" x14ac:dyDescent="0.35">
      <c r="A243" t="s">
        <v>49</v>
      </c>
      <c r="B243">
        <v>3</v>
      </c>
      <c r="C243" t="s">
        <v>197</v>
      </c>
      <c r="D243" t="s">
        <v>196</v>
      </c>
      <c r="K243" t="s">
        <v>56</v>
      </c>
      <c r="L243" t="s">
        <v>68</v>
      </c>
      <c r="M243" t="s">
        <v>67</v>
      </c>
      <c r="N243">
        <v>0</v>
      </c>
    </row>
    <row r="244" spans="1:14" x14ac:dyDescent="0.35">
      <c r="A244" t="s">
        <v>49</v>
      </c>
      <c r="B244">
        <v>3</v>
      </c>
      <c r="C244" t="s">
        <v>197</v>
      </c>
      <c r="D244" t="s">
        <v>196</v>
      </c>
      <c r="K244" t="s">
        <v>56</v>
      </c>
      <c r="L244" t="s">
        <v>69</v>
      </c>
      <c r="M244" t="s">
        <v>67</v>
      </c>
      <c r="N244">
        <v>0</v>
      </c>
    </row>
    <row r="245" spans="1:14" x14ac:dyDescent="0.35">
      <c r="A245" t="s">
        <v>49</v>
      </c>
      <c r="B245">
        <v>3</v>
      </c>
      <c r="C245" t="s">
        <v>197</v>
      </c>
      <c r="D245" t="s">
        <v>196</v>
      </c>
      <c r="K245" t="s">
        <v>59</v>
      </c>
      <c r="L245" t="s">
        <v>70</v>
      </c>
      <c r="M245" t="s">
        <v>67</v>
      </c>
      <c r="N245">
        <v>1</v>
      </c>
    </row>
    <row r="246" spans="1:14" x14ac:dyDescent="0.35">
      <c r="A246" t="s">
        <v>49</v>
      </c>
      <c r="B246">
        <v>3</v>
      </c>
      <c r="C246" t="s">
        <v>197</v>
      </c>
      <c r="D246" t="s">
        <v>196</v>
      </c>
      <c r="K246" t="s">
        <v>59</v>
      </c>
      <c r="L246" t="s">
        <v>68</v>
      </c>
      <c r="M246" t="s">
        <v>67</v>
      </c>
      <c r="N246">
        <v>0</v>
      </c>
    </row>
    <row r="247" spans="1:14" x14ac:dyDescent="0.35">
      <c r="A247" t="s">
        <v>49</v>
      </c>
      <c r="B247">
        <v>3</v>
      </c>
      <c r="C247" t="s">
        <v>197</v>
      </c>
      <c r="D247" t="s">
        <v>196</v>
      </c>
      <c r="K247" t="s">
        <v>59</v>
      </c>
      <c r="L247" t="s">
        <v>69</v>
      </c>
      <c r="M247" t="s">
        <v>67</v>
      </c>
      <c r="N247">
        <v>0</v>
      </c>
    </row>
    <row r="248" spans="1:14" x14ac:dyDescent="0.35">
      <c r="A248" t="s">
        <v>49</v>
      </c>
      <c r="B248">
        <v>3</v>
      </c>
      <c r="C248" t="s">
        <v>197</v>
      </c>
      <c r="D248" t="s">
        <v>196</v>
      </c>
      <c r="K248" t="s">
        <v>60</v>
      </c>
      <c r="L248" t="s">
        <v>65</v>
      </c>
      <c r="M248" t="s">
        <v>67</v>
      </c>
      <c r="N248">
        <v>1</v>
      </c>
    </row>
    <row r="249" spans="1:14" x14ac:dyDescent="0.35">
      <c r="A249" t="s">
        <v>49</v>
      </c>
      <c r="B249">
        <v>3</v>
      </c>
      <c r="C249" t="s">
        <v>197</v>
      </c>
      <c r="D249" t="s">
        <v>196</v>
      </c>
      <c r="K249" t="s">
        <v>60</v>
      </c>
      <c r="L249" t="s">
        <v>68</v>
      </c>
      <c r="M249" t="s">
        <v>67</v>
      </c>
      <c r="N249">
        <v>0</v>
      </c>
    </row>
    <row r="250" spans="1:14" x14ac:dyDescent="0.35">
      <c r="A250" t="s">
        <v>49</v>
      </c>
      <c r="B250">
        <v>3</v>
      </c>
      <c r="C250" t="s">
        <v>197</v>
      </c>
      <c r="D250" t="s">
        <v>196</v>
      </c>
      <c r="K250" t="s">
        <v>60</v>
      </c>
      <c r="L250" t="s">
        <v>69</v>
      </c>
      <c r="M250" t="s">
        <v>67</v>
      </c>
      <c r="N250">
        <v>0</v>
      </c>
    </row>
    <row r="251" spans="1:14" x14ac:dyDescent="0.35">
      <c r="A251" t="s">
        <v>121</v>
      </c>
      <c r="B251">
        <v>4</v>
      </c>
      <c r="C251" t="s">
        <v>120</v>
      </c>
      <c r="M251" t="s">
        <v>43</v>
      </c>
      <c r="N251">
        <v>198.354755374798</v>
      </c>
    </row>
    <row r="252" spans="1:14" x14ac:dyDescent="0.35">
      <c r="A252" t="s">
        <v>121</v>
      </c>
      <c r="B252">
        <v>4</v>
      </c>
      <c r="C252" t="s">
        <v>120</v>
      </c>
      <c r="M252" t="s">
        <v>234</v>
      </c>
      <c r="N252" t="s">
        <v>65</v>
      </c>
    </row>
    <row r="253" spans="1:14" x14ac:dyDescent="0.35">
      <c r="A253" t="s">
        <v>96</v>
      </c>
      <c r="B253">
        <v>4</v>
      </c>
      <c r="C253" t="s">
        <v>120</v>
      </c>
      <c r="M253" t="s">
        <v>234</v>
      </c>
      <c r="N253" t="s">
        <v>65</v>
      </c>
    </row>
    <row r="254" spans="1:14" x14ac:dyDescent="0.35">
      <c r="A254" t="s">
        <v>95</v>
      </c>
      <c r="B254">
        <v>4</v>
      </c>
      <c r="C254" t="s">
        <v>120</v>
      </c>
      <c r="M254" t="s">
        <v>234</v>
      </c>
      <c r="N254" t="s">
        <v>69</v>
      </c>
    </row>
    <row r="255" spans="1:14" x14ac:dyDescent="0.35">
      <c r="A255" t="s">
        <v>233</v>
      </c>
      <c r="B255">
        <v>4</v>
      </c>
      <c r="C255" t="s">
        <v>120</v>
      </c>
      <c r="M255" t="s">
        <v>234</v>
      </c>
      <c r="N255" t="s">
        <v>69</v>
      </c>
    </row>
    <row r="256" spans="1:14" x14ac:dyDescent="0.35">
      <c r="A256" t="s">
        <v>237</v>
      </c>
      <c r="B256">
        <v>5</v>
      </c>
      <c r="C256" t="s">
        <v>122</v>
      </c>
      <c r="M256" t="s">
        <v>123</v>
      </c>
      <c r="N256">
        <v>6.8639406622490401E-3</v>
      </c>
    </row>
    <row r="257" spans="1:14" x14ac:dyDescent="0.35">
      <c r="A257" t="s">
        <v>237</v>
      </c>
      <c r="B257">
        <v>5</v>
      </c>
      <c r="C257" t="s">
        <v>122</v>
      </c>
      <c r="M257" t="s">
        <v>124</v>
      </c>
      <c r="N257">
        <v>297.57986556812102</v>
      </c>
    </row>
    <row r="258" spans="1:14" x14ac:dyDescent="0.35">
      <c r="A258" t="s">
        <v>240</v>
      </c>
      <c r="B258">
        <v>6</v>
      </c>
      <c r="C258" t="s">
        <v>245</v>
      </c>
      <c r="M258" t="s">
        <v>241</v>
      </c>
    </row>
    <row r="259" spans="1:14" x14ac:dyDescent="0.35">
      <c r="A259" t="s">
        <v>240</v>
      </c>
      <c r="B259">
        <v>6</v>
      </c>
      <c r="C259" t="s">
        <v>245</v>
      </c>
      <c r="M259" t="s">
        <v>242</v>
      </c>
    </row>
    <row r="260" spans="1:14" x14ac:dyDescent="0.35">
      <c r="A260" t="s">
        <v>118</v>
      </c>
      <c r="B260">
        <v>7</v>
      </c>
      <c r="C260" t="s">
        <v>246</v>
      </c>
      <c r="I260" t="s">
        <v>119</v>
      </c>
      <c r="M260" t="s">
        <v>247</v>
      </c>
      <c r="N260">
        <v>0.54</v>
      </c>
    </row>
    <row r="261" spans="1:14" x14ac:dyDescent="0.35">
      <c r="A261" t="s">
        <v>118</v>
      </c>
      <c r="B261">
        <v>7</v>
      </c>
      <c r="C261" t="s">
        <v>246</v>
      </c>
      <c r="I261" t="s">
        <v>23</v>
      </c>
      <c r="M261" t="s">
        <v>247</v>
      </c>
      <c r="N261">
        <v>0.54</v>
      </c>
    </row>
    <row r="262" spans="1:14" x14ac:dyDescent="0.35">
      <c r="A262" t="s">
        <v>118</v>
      </c>
      <c r="B262">
        <v>7</v>
      </c>
      <c r="C262" t="s">
        <v>246</v>
      </c>
      <c r="I262" t="s">
        <v>25</v>
      </c>
      <c r="M262" t="s">
        <v>247</v>
      </c>
      <c r="N262">
        <v>0.1</v>
      </c>
    </row>
    <row r="263" spans="1:14" x14ac:dyDescent="0.35">
      <c r="A263" t="s">
        <v>118</v>
      </c>
      <c r="B263">
        <v>7</v>
      </c>
      <c r="C263" t="s">
        <v>246</v>
      </c>
      <c r="I263" t="s">
        <v>26</v>
      </c>
      <c r="M263" t="s">
        <v>247</v>
      </c>
      <c r="N263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References</vt:lpstr>
      <vt:lpstr>Tables</vt:lpstr>
      <vt:lpstr>Baseline</vt:lpstr>
      <vt:lpstr>Projects</vt:lpstr>
      <vt:lpstr>Assumptions</vt:lpstr>
      <vt:lpstr>Costs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Seth LaRue</cp:lastModifiedBy>
  <dcterms:created xsi:type="dcterms:W3CDTF">2023-12-13T19:36:03Z</dcterms:created>
  <dcterms:modified xsi:type="dcterms:W3CDTF">2024-01-02T11:20:31Z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