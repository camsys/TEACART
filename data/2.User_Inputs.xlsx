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07459BE-1B33-43E3-BC23-F6859842771C}" xr6:coauthVersionLast="47" xr6:coauthVersionMax="47" xr10:uidLastSave="{00000000-0000-0000-0000-000000000000}"/>
  <bookViews>
    <workbookView xWindow="-108" yWindow="-108" windowWidth="23256" windowHeight="12576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Funding_Summary" sheetId="11" r:id="rId6"/>
    <sheet name="Costs" sheetId="3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Budget!$A$1:$N$83</definedName>
    <definedName name="ExternalData_8" localSheetId="3" hidden="1">Projects!$A$1:$O$238</definedName>
    <definedName name="ExternalData_9" localSheetId="6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<sst xmlns="http://schemas.openxmlformats.org/spreadsheetml/2006/main" count="4530" uniqueCount="394">
  <si>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</si>
  <si>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</si>
  <si>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</si>
  <si>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</si>
  <si>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</si>
  <si>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</si>
  <si>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</si>
  <si>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</si>
  <si>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</si>
  <si>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</si>
  <si>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</si>
  <si>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</si>
  <si>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</si>
  <si>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</si>
  <si>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</si>
  <si>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</si>
  <si>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</si>
  <si>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</si>
  <si>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</si>
  <si>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</si>
  <si>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</si>
  <si>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</si>
  <si>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</si>
  <si>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</si>
  <si>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</si>
  <si>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</si>
  <si>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</si>
  <si>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</si>
  <si>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</si>
  <si>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</si>
  <si>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</si>
  <si>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</si>
  <si>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</si>
  <si>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</si>
  <si>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</si>
  <si>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</si>
  <si>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</si>
  <si>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</si>
  <si>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</si>
  <si>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</si>
  <si>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</si>
  <si>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</si>
  <si>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</si>
  <si>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</si>
  <si>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</si>
  <si>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</si>
  <si>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</si>
  <si>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</si>
  <si>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</si>
  <si>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</si>
  <si>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</si>
  <si>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</si>
  <si>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</si>
  <si>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</si>
  <si>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</si>
  <si>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</si>
  <si>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</si>
  <si>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</si>
  <si>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</si>
  <si>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</si>
  <si>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</si>
  <si>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</si>
  <si>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</si>
  <si>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</si>
  <si>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</si>
  <si>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</si>
  <si>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</si>
  <si>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</si>
  <si>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</si>
  <si>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</si>
  <si>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</si>
  <si>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</si>
  <si>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</si>
  <si>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</si>
  <si>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</si>
  <si>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</si>
  <si>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</si>
  <si>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</si>
  <si>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</si>
  <si>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</si>
  <si>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</si>
  <si>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</si>
  <si>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</si>
  <si>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</si>
  <si>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</si>
  <si>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</si>
  <si>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</si>
  <si>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</si>
  <si>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</si>
  <si>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</si>
  <si>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</si>
  <si>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</si>
  <si>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</si>
  <si>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</si>
  <si>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</si>
  <si>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</si>
  <si>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</si>
  <si>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</si>
  <si>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</si>
  <si>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</si>
  <si>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</si>
  <si>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</si>
  <si>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</si>
  <si>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</si>
  <si>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</si>
  <si>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</si>
  <si>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</si>
  <si>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</si>
  <si>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</si>
  <si>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</si>
  <si>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</si>
  <si>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</si>
  <si>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</si>
  <si>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</si>
  <si>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</si>
  <si>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</si>
  <si>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</si>
  <si>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</si>
  <si>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</si>
  <si>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</si>
  <si>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</si>
  <si>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</si>
  <si>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</si>
  <si>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</si>
  <si>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</si>
  <si>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</si>
  <si>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</si>
  <si>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</si>
  <si>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</si>
  <si>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</si>
  <si>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</si>
  <si>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</si>
  <si>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</si>
  <si>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</si>
  <si>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</si>
  <si>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</si>
  <si>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</si>
  <si>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</si>
  <si>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</si>
  <si>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</si>
  <si>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</si>
  <si>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</si>
  <si>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</si>
  <si>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</si>
  <si>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</si>
  <si>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</si>
  <si>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</si>
  <si>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</si>
  <si>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</si>
  <si>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</si>
  <si>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</si>
  <si>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</si>
  <si>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</si>
  <si>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</si>
  <si>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</si>
  <si>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</si>
  <si>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</si>
  <si>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</si>
  <si>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</si>
  <si>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</si>
  <si>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</si>
  <si>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</si>
  <si>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</si>
  <si>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</si>
  <si>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</si>
  <si>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</si>
  <si>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</si>
  <si>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</si>
  <si>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</si>
  <si>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</si>
  <si>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</si>
  <si>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</si>
  <si>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</si>
  <si>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</si>
  <si>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</si>
  <si>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</si>
  <si>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</si>
  <si>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</si>
  <si>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</si>
  <si>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</si>
  <si>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</si>
  <si>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</si>
  <si>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</si>
  <si>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</si>
  <si>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</si>
  <si>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</si>
  <si>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</si>
  <si>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</si>
  <si>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</si>
  <si>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</si>
  <si>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</si>
  <si>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</si>
  <si>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</si>
  <si>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</si>
  <si>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</si>
  <si>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</si>
  <si>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</si>
  <si>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</si>
  <si>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</si>
  <si>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</si>
  <si>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</si>
  <si>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</si>
  <si>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</si>
  <si>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</si>
  <si>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</si>
  <si>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</si>
  <si>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</si>
  <si>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</si>
  <si>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</si>
  <si>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</si>
  <si>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</si>
  <si>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</si>
  <si>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</si>
  <si>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</si>
  <si>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</si>
  <si>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</si>
  <si>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</si>
  <si>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</si>
  <si>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</si>
  <si>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</si>
  <si>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</si>
  <si>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</si>
  <si>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</si>
  <si>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</si>
  <si>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</si>
  <si>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</si>
  <si>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</si>
  <si>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</si>
  <si>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</si>
  <si>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</si>
  <si>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</si>
  <si>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</si>
  <si>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</si>
  <si>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</si>
  <si>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</si>
  <si>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</si>
  <si>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</si>
  <si>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</si>
  <si>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</si>
  <si>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</si>
  <si>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</si>
  <si>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</si>
  <si>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</si>
  <si>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</si>
  <si>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</si>
  <si>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</si>
  <si>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</si>
  <si>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</si>
  <si>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</si>
  <si>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</si>
  <si>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</si>
  <si>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</si>
  <si>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</si>
  <si>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</si>
  <si>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</si>
  <si>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</si>
  <si>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</si>
  <si>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</si>
  <si>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</si>
  <si>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</si>
  <si>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</si>
  <si>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</si>
  <si>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</si>
  <si>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</si>
  <si>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</si>
  <si>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</si>
  <si>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</si>
  <si>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</si>
  <si>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</si>
  <si>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</si>
  <si>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</si>
  <si>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</si>
  <si>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</si>
  <si>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</si>
  <si>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</si>
  <si>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</si>
  <si>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</si>
  <si>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</si>
  <si>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</si>
  <si>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</si>
  <si>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</si>
  <si>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</si>
  <si>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</si>
  <si>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</si>
  <si>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</si>
  <si>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</si>
  <si>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</si>
  <si>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</si>
  <si>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</si>
  <si>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</si>
  <si>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</si>
  <si>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</si>
  <si>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</si>
  <si>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</si>
  <si>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</si>
  <si>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</si>
  <si>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</si>
  <si>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</si>
  <si>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</si>
  <si>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</si>
  <si>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</si>
  <si>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</si>
  <si>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</si>
  <si>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</si>
  <si>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</si>
  <si>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</si>
  <si>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</si>
  <si>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</si>
  <si>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</si>
  <si>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</si>
  <si>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</si>
  <si>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</si>
  <si>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</si>
  <si>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</si>
  <si>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</si>
  <si>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</si>
  <si>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</si>
  <si>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</si>
  <si>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</si>
  <si>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</si>
  <si>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</si>
  <si>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</si>
  <si>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</si>
  <si>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</si>
  <si>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</si>
  <si>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</si>
  <si>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</si>
  <si>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</si>
  <si>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</si>
  <si>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</si>
  <si>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</si>
  <si>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Bicycle Pedestrian</t>
  </si>
  <si>
    <t>Transit Service Expansion</t>
  </si>
  <si>
    <t>Transit Electrification</t>
  </si>
  <si>
    <t>Traffic Ops</t>
  </si>
  <si>
    <t>MDHD Replacement</t>
  </si>
  <si>
    <t>EV and EVSE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</si>
  <si>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</si>
  <si>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</si>
  <si>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</si>
  <si>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</si>
  <si>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</si>
  <si>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</si>
  <si>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</si>
  <si>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mdhd_funding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</si>
  <si>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</si>
  <si>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</si>
  <si>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</si>
  <si>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</si>
  <si>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</si>
  <si>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</si>
  <si>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</si>
  <si>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</si>
  <si>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</si>
  <si>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</si>
  <si>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</si>
  <si>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</si>
  <si>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</si>
  <si>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</si>
  <si>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</si>
  <si>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</si>
  <si>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</si>
  <si>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</si>
  <si>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</si>
  <si>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</si>
  <si>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</si>
  <si>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</si>
  <si>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</si>
  <si>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</si>
  <si>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</si>
  <si>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</si>
  <si>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</si>
  <si>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</si>
  <si>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</si>
  <si>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</si>
  <si>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</si>
  <si>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</si>
  <si>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</si>
  <si>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</si>
  <si>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</si>
  <si>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</si>
  <si>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</si>
  <si>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</si>
  <si>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Urban Density</t>
  </si>
  <si>
    <t>units_per_ac</t>
  </si>
  <si>
    <t>TOD Density - higher</t>
  </si>
  <si>
    <t>TOD Density - lower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</si>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</sst>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0" borderId="0" xfId="0" applyNumberFormat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3" totalsRowShown="0">
  <autoFilter ref="A1:B103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38" tableType="queryTable" totalsRowShown="0">
  <autoFilter ref="A1:O238" xr:uid="{68072E4F-E6E1-4BE3-86C3-20AEB7497CCB}"/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3"/>
  <sheetViews>
    <sheetView topLeftCell="A80" workbookViewId="0">
      <selection activeCell="B93" sqref="B93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258</v>
      </c>
    </row>
    <row r="2" spans="1:2" x14ac:dyDescent="0.3">
      <c r="A2" t="s">
        <v>198</v>
      </c>
      <c r="B2" t="s">
        <v>287</v>
      </c>
    </row>
    <row r="3" spans="1:2" x14ac:dyDescent="0.3">
      <c r="A3" t="s">
        <v>47</v>
      </c>
      <c r="B3" t="s">
        <v>305</v>
      </c>
    </row>
    <row r="4" spans="1:2" x14ac:dyDescent="0.3">
      <c r="A4" t="s">
        <v>1</v>
      </c>
      <c r="B4" t="s">
        <v>249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265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266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273</v>
      </c>
    </row>
    <row r="14" spans="1:2" x14ac:dyDescent="0.3">
      <c r="A14" t="s">
        <v>0</v>
      </c>
      <c r="B14" t="s">
        <v>246</v>
      </c>
    </row>
    <row r="15" spans="1:2" x14ac:dyDescent="0.3">
      <c r="A15" t="s">
        <v>254</v>
      </c>
      <c r="B15" t="s">
        <v>255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288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291</v>
      </c>
    </row>
    <row r="21" spans="1:2" x14ac:dyDescent="0.3">
      <c r="A21" t="s">
        <v>221</v>
      </c>
      <c r="B21" t="s">
        <v>359</v>
      </c>
    </row>
    <row r="22" spans="1:2" x14ac:dyDescent="0.3">
      <c r="A22" t="s">
        <v>325</v>
      </c>
      <c r="B22" t="s">
        <v>326</v>
      </c>
    </row>
    <row r="23" spans="1:2" x14ac:dyDescent="0.3">
      <c r="A23" t="s">
        <v>206</v>
      </c>
      <c r="B23" t="s">
        <v>293</v>
      </c>
    </row>
    <row r="24" spans="1:2" x14ac:dyDescent="0.3">
      <c r="A24" t="s">
        <v>208</v>
      </c>
      <c r="B24" t="s">
        <v>295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294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259</v>
      </c>
      <c r="B29" t="s">
        <v>260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252</v>
      </c>
      <c r="B32" t="s">
        <v>253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250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299</v>
      </c>
      <c r="B37" t="s">
        <v>302</v>
      </c>
    </row>
    <row r="38" spans="1:2" x14ac:dyDescent="0.3">
      <c r="A38" t="s">
        <v>298</v>
      </c>
      <c r="B38" t="s">
        <v>301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274</v>
      </c>
      <c r="B41" t="s">
        <v>275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358</v>
      </c>
    </row>
    <row r="49" spans="1:2" x14ac:dyDescent="0.3">
      <c r="A49" t="s">
        <v>99</v>
      </c>
      <c r="B49" t="s">
        <v>292</v>
      </c>
    </row>
    <row r="50" spans="1:2" x14ac:dyDescent="0.3">
      <c r="A50" t="s">
        <v>112</v>
      </c>
      <c r="B50" t="s">
        <v>283</v>
      </c>
    </row>
    <row r="51" spans="1:2" x14ac:dyDescent="0.3">
      <c r="A51" t="s">
        <v>113</v>
      </c>
      <c r="B51" t="s">
        <v>284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290</v>
      </c>
    </row>
    <row r="54" spans="1:2" x14ac:dyDescent="0.3">
      <c r="A54" t="s">
        <v>101</v>
      </c>
      <c r="B54" t="s">
        <v>289</v>
      </c>
    </row>
    <row r="55" spans="1:2" x14ac:dyDescent="0.3">
      <c r="A55" t="s">
        <v>106</v>
      </c>
      <c r="B55" t="s">
        <v>286</v>
      </c>
    </row>
    <row r="56" spans="1:2" x14ac:dyDescent="0.3">
      <c r="A56" t="s">
        <v>110</v>
      </c>
      <c r="B56" t="s">
        <v>282</v>
      </c>
    </row>
    <row r="57" spans="1:2" x14ac:dyDescent="0.3">
      <c r="A57" t="s">
        <v>111</v>
      </c>
      <c r="B57" t="s">
        <v>285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264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257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296</v>
      </c>
    </row>
    <row r="70" spans="1:2" x14ac:dyDescent="0.3">
      <c r="A70" t="s">
        <v>6</v>
      </c>
      <c r="B70" t="s">
        <v>251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247</v>
      </c>
    </row>
    <row r="74" spans="1:2" x14ac:dyDescent="0.3">
      <c r="A74" t="s">
        <v>222</v>
      </c>
      <c r="B74" t="s">
        <v>360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248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306</v>
      </c>
      <c r="B79" t="s">
        <v>307</v>
      </c>
    </row>
    <row r="80" spans="1:2" x14ac:dyDescent="0.3">
      <c r="A80" t="s">
        <v>4</v>
      </c>
      <c r="B80" t="s">
        <v>256</v>
      </c>
    </row>
    <row r="81" spans="1:2" x14ac:dyDescent="0.3">
      <c r="A81" t="s">
        <v>36</v>
      </c>
      <c r="B81" t="s">
        <v>356</v>
      </c>
    </row>
    <row r="82" spans="1:2" x14ac:dyDescent="0.3">
      <c r="A82" t="s">
        <v>37</v>
      </c>
      <c r="B82" t="s">
        <v>357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353</v>
      </c>
      <c r="B84" t="s">
        <v>329</v>
      </c>
    </row>
    <row r="85" spans="1:2" x14ac:dyDescent="0.3">
      <c r="A85" t="s">
        <v>355</v>
      </c>
      <c r="B85" t="s">
        <v>330</v>
      </c>
    </row>
    <row r="86" spans="1:2" x14ac:dyDescent="0.3">
      <c r="A86" t="s">
        <v>54</v>
      </c>
      <c r="B86" t="s">
        <v>305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312</v>
      </c>
      <c r="B88" t="s">
        <v>309</v>
      </c>
    </row>
    <row r="89" spans="1:2" x14ac:dyDescent="0.3">
      <c r="A89" t="s">
        <v>320</v>
      </c>
      <c r="B89" t="s">
        <v>321</v>
      </c>
    </row>
    <row r="90" spans="1:2" x14ac:dyDescent="0.3">
      <c r="A90" t="s">
        <v>311</v>
      </c>
      <c r="B90" t="s">
        <v>328</v>
      </c>
    </row>
    <row r="91" spans="1:2" x14ac:dyDescent="0.3">
      <c r="A91" t="s">
        <v>310</v>
      </c>
      <c r="B91" t="s">
        <v>327</v>
      </c>
    </row>
    <row r="92" spans="1:2" x14ac:dyDescent="0.3">
      <c r="A92" t="s">
        <v>319</v>
      </c>
      <c r="B92" t="s">
        <v>322</v>
      </c>
    </row>
    <row r="93" spans="1:2" x14ac:dyDescent="0.3">
      <c r="A93" t="s">
        <v>361</v>
      </c>
      <c r="B93" t="s">
        <v>362</v>
      </c>
    </row>
    <row r="94" spans="1:2" x14ac:dyDescent="0.3">
      <c r="A94" t="s">
        <v>363</v>
      </c>
      <c r="B94" t="s">
        <v>364</v>
      </c>
    </row>
    <row r="95" spans="1:2" x14ac:dyDescent="0.3">
      <c r="A95" t="s">
        <v>363</v>
      </c>
      <c r="B95" t="s">
        <v>364</v>
      </c>
    </row>
    <row r="96" spans="1:2" x14ac:dyDescent="0.3">
      <c r="A96" t="s">
        <v>365</v>
      </c>
      <c r="B96" t="s">
        <v>378</v>
      </c>
    </row>
    <row r="97" spans="1:2" x14ac:dyDescent="0.3">
      <c r="A97" t="s">
        <v>365</v>
      </c>
      <c r="B97" t="s">
        <v>378</v>
      </c>
    </row>
    <row r="98" spans="1:2" x14ac:dyDescent="0.3">
      <c r="A98" t="s">
        <v>366</v>
      </c>
      <c r="B98" t="s">
        <v>377</v>
      </c>
    </row>
    <row r="99" spans="1:2" x14ac:dyDescent="0.3">
      <c r="A99" t="s">
        <v>367</v>
      </c>
      <c r="B99" t="s">
        <v>376</v>
      </c>
    </row>
    <row r="100" spans="1:2" x14ac:dyDescent="0.3">
      <c r="A100" t="s">
        <v>368</v>
      </c>
      <c r="B100" t="s">
        <v>375</v>
      </c>
    </row>
    <row r="101" spans="1:2" x14ac:dyDescent="0.3">
      <c r="A101" t="s">
        <v>369</v>
      </c>
      <c r="B101" t="s">
        <v>370</v>
      </c>
    </row>
    <row r="102" spans="1:2" x14ac:dyDescent="0.3">
      <c r="A102" t="s">
        <v>371</v>
      </c>
      <c r="B102" t="s">
        <v>373</v>
      </c>
    </row>
    <row r="103" spans="1:2" x14ac:dyDescent="0.3">
      <c r="A103" t="s">
        <v>372</v>
      </c>
      <c r="B103" t="s">
        <v>374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268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38"/>
  <sheetViews>
    <sheetView showGridLines="0" tabSelected="1" topLeftCell="A232" zoomScale="80" zoomScaleNormal="80" workbookViewId="0">
      <selection activeCell="A243" sqref="A24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">
      <c r="A185" t="s">
        <v>129</v>
      </c>
      <c r="B185">
        <v>13</v>
      </c>
      <c r="C185" t="s">
        <v>129</v>
      </c>
      <c r="D185" t="s">
        <v>269</v>
      </c>
      <c r="N185" t="s">
        <v>145</v>
      </c>
      <c r="O185">
        <v>0</v>
      </c>
    </row>
    <row r="186" spans="1:15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x14ac:dyDescent="0.3">
      <c r="A188" t="s">
        <v>140</v>
      </c>
      <c r="B188">
        <v>14</v>
      </c>
      <c r="C188" t="s">
        <v>97</v>
      </c>
      <c r="D188" t="s">
        <v>269</v>
      </c>
      <c r="E188" t="s">
        <v>10</v>
      </c>
      <c r="J188" t="s">
        <v>34</v>
      </c>
      <c r="N188" t="s">
        <v>81</v>
      </c>
      <c r="O188">
        <v>0</v>
      </c>
    </row>
    <row r="189" spans="1:15" x14ac:dyDescent="0.3">
      <c r="A189" t="s">
        <v>140</v>
      </c>
      <c r="B189">
        <v>14</v>
      </c>
      <c r="C189" t="s">
        <v>97</v>
      </c>
      <c r="D189" t="s">
        <v>269</v>
      </c>
      <c r="E189" t="s">
        <v>12</v>
      </c>
      <c r="J189" t="s">
        <v>34</v>
      </c>
      <c r="N189" t="s">
        <v>81</v>
      </c>
      <c r="O189">
        <v>0</v>
      </c>
    </row>
    <row r="190" spans="1:15" x14ac:dyDescent="0.3">
      <c r="A190" t="s">
        <v>140</v>
      </c>
      <c r="B190">
        <v>14</v>
      </c>
      <c r="C190" t="s">
        <v>97</v>
      </c>
      <c r="D190" t="s">
        <v>269</v>
      </c>
      <c r="E190" t="s">
        <v>10</v>
      </c>
      <c r="J190" t="s">
        <v>29</v>
      </c>
      <c r="N190" t="s">
        <v>81</v>
      </c>
      <c r="O190">
        <v>0</v>
      </c>
    </row>
    <row r="191" spans="1:15" x14ac:dyDescent="0.3">
      <c r="A191" t="s">
        <v>140</v>
      </c>
      <c r="B191">
        <v>14</v>
      </c>
      <c r="C191" t="s">
        <v>97</v>
      </c>
      <c r="D191" t="s">
        <v>269</v>
      </c>
      <c r="E191" t="s">
        <v>12</v>
      </c>
      <c r="J191" t="s">
        <v>29</v>
      </c>
      <c r="N191" t="s">
        <v>81</v>
      </c>
      <c r="O191">
        <v>0</v>
      </c>
    </row>
    <row r="192" spans="1:15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x14ac:dyDescent="0.3">
      <c r="A200" t="s">
        <v>308</v>
      </c>
      <c r="B200">
        <v>15</v>
      </c>
      <c r="C200" t="s">
        <v>308</v>
      </c>
      <c r="D200" t="s">
        <v>269</v>
      </c>
      <c r="E200" t="s">
        <v>10</v>
      </c>
      <c r="K200" t="s">
        <v>55</v>
      </c>
      <c r="N200" t="s">
        <v>320</v>
      </c>
      <c r="O200">
        <v>0</v>
      </c>
    </row>
    <row r="201" spans="1:15" x14ac:dyDescent="0.3">
      <c r="A201" t="s">
        <v>308</v>
      </c>
      <c r="B201">
        <v>15</v>
      </c>
      <c r="C201" t="s">
        <v>308</v>
      </c>
      <c r="D201" t="s">
        <v>269</v>
      </c>
      <c r="E201" t="s">
        <v>12</v>
      </c>
      <c r="K201" t="s">
        <v>55</v>
      </c>
      <c r="N201" t="s">
        <v>320</v>
      </c>
      <c r="O201">
        <v>0</v>
      </c>
    </row>
    <row r="202" spans="1:15" x14ac:dyDescent="0.3">
      <c r="A202" t="s">
        <v>308</v>
      </c>
      <c r="B202">
        <v>15</v>
      </c>
      <c r="C202" t="s">
        <v>308</v>
      </c>
      <c r="D202" t="s">
        <v>122</v>
      </c>
      <c r="E202" t="s">
        <v>10</v>
      </c>
      <c r="K202" t="s">
        <v>55</v>
      </c>
      <c r="N202" t="s">
        <v>320</v>
      </c>
      <c r="O202">
        <v>0</v>
      </c>
    </row>
    <row r="203" spans="1:15" x14ac:dyDescent="0.3">
      <c r="A203" t="s">
        <v>308</v>
      </c>
      <c r="B203">
        <v>15</v>
      </c>
      <c r="C203" t="s">
        <v>308</v>
      </c>
      <c r="D203" t="s">
        <v>122</v>
      </c>
      <c r="E203" t="s">
        <v>12</v>
      </c>
      <c r="K203" t="s">
        <v>55</v>
      </c>
      <c r="N203" t="s">
        <v>320</v>
      </c>
      <c r="O203">
        <v>0</v>
      </c>
    </row>
    <row r="204" spans="1:15" x14ac:dyDescent="0.3">
      <c r="A204" t="s">
        <v>308</v>
      </c>
      <c r="B204">
        <v>15</v>
      </c>
      <c r="C204" t="s">
        <v>308</v>
      </c>
      <c r="D204" t="s">
        <v>123</v>
      </c>
      <c r="E204" t="s">
        <v>10</v>
      </c>
      <c r="K204" t="s">
        <v>55</v>
      </c>
      <c r="N204" t="s">
        <v>320</v>
      </c>
      <c r="O204">
        <v>0</v>
      </c>
    </row>
    <row r="205" spans="1:15" x14ac:dyDescent="0.3">
      <c r="A205" t="s">
        <v>308</v>
      </c>
      <c r="B205">
        <v>15</v>
      </c>
      <c r="C205" t="s">
        <v>308</v>
      </c>
      <c r="D205" t="s">
        <v>123</v>
      </c>
      <c r="E205" t="s">
        <v>12</v>
      </c>
      <c r="K205" t="s">
        <v>55</v>
      </c>
      <c r="N205" t="s">
        <v>320</v>
      </c>
      <c r="O205">
        <v>0</v>
      </c>
    </row>
    <row r="206" spans="1:15" x14ac:dyDescent="0.3">
      <c r="A206" t="s">
        <v>308</v>
      </c>
      <c r="B206">
        <v>15</v>
      </c>
      <c r="C206" t="s">
        <v>308</v>
      </c>
      <c r="D206" t="s">
        <v>269</v>
      </c>
      <c r="E206" t="s">
        <v>10</v>
      </c>
      <c r="K206" t="s">
        <v>58</v>
      </c>
      <c r="N206" t="s">
        <v>320</v>
      </c>
      <c r="O206">
        <v>0</v>
      </c>
    </row>
    <row r="207" spans="1:15" x14ac:dyDescent="0.3">
      <c r="A207" t="s">
        <v>308</v>
      </c>
      <c r="B207">
        <v>15</v>
      </c>
      <c r="C207" t="s">
        <v>308</v>
      </c>
      <c r="D207" t="s">
        <v>269</v>
      </c>
      <c r="E207" t="s">
        <v>12</v>
      </c>
      <c r="K207" t="s">
        <v>58</v>
      </c>
      <c r="N207" t="s">
        <v>320</v>
      </c>
      <c r="O207">
        <v>0</v>
      </c>
    </row>
    <row r="208" spans="1:15" x14ac:dyDescent="0.3">
      <c r="A208" t="s">
        <v>308</v>
      </c>
      <c r="B208">
        <v>15</v>
      </c>
      <c r="C208" t="s">
        <v>308</v>
      </c>
      <c r="D208" t="s">
        <v>122</v>
      </c>
      <c r="E208" t="s">
        <v>10</v>
      </c>
      <c r="K208" t="s">
        <v>58</v>
      </c>
      <c r="N208" t="s">
        <v>320</v>
      </c>
      <c r="O208">
        <v>0</v>
      </c>
    </row>
    <row r="209" spans="1:15" x14ac:dyDescent="0.3">
      <c r="A209" t="s">
        <v>308</v>
      </c>
      <c r="B209">
        <v>15</v>
      </c>
      <c r="C209" t="s">
        <v>308</v>
      </c>
      <c r="D209" t="s">
        <v>122</v>
      </c>
      <c r="E209" t="s">
        <v>12</v>
      </c>
      <c r="K209" t="s">
        <v>58</v>
      </c>
      <c r="N209" t="s">
        <v>320</v>
      </c>
      <c r="O209">
        <v>0</v>
      </c>
    </row>
    <row r="210" spans="1:15" x14ac:dyDescent="0.3">
      <c r="A210" t="s">
        <v>308</v>
      </c>
      <c r="B210">
        <v>15</v>
      </c>
      <c r="C210" t="s">
        <v>308</v>
      </c>
      <c r="D210" t="s">
        <v>123</v>
      </c>
      <c r="E210" t="s">
        <v>10</v>
      </c>
      <c r="K210" t="s">
        <v>58</v>
      </c>
      <c r="N210" t="s">
        <v>320</v>
      </c>
      <c r="O210">
        <v>0</v>
      </c>
    </row>
    <row r="211" spans="1:15" x14ac:dyDescent="0.3">
      <c r="A211" t="s">
        <v>308</v>
      </c>
      <c r="B211">
        <v>15</v>
      </c>
      <c r="C211" t="s">
        <v>308</v>
      </c>
      <c r="D211" t="s">
        <v>123</v>
      </c>
      <c r="E211" t="s">
        <v>12</v>
      </c>
      <c r="K211" t="s">
        <v>58</v>
      </c>
      <c r="N211" t="s">
        <v>320</v>
      </c>
      <c r="O211">
        <v>0</v>
      </c>
    </row>
    <row r="212" spans="1:15" x14ac:dyDescent="0.3">
      <c r="A212" t="s">
        <v>308</v>
      </c>
      <c r="B212">
        <v>15</v>
      </c>
      <c r="C212" t="s">
        <v>308</v>
      </c>
      <c r="D212" t="s">
        <v>269</v>
      </c>
      <c r="E212" t="s">
        <v>33</v>
      </c>
      <c r="K212" t="s">
        <v>213</v>
      </c>
      <c r="N212" t="s">
        <v>320</v>
      </c>
      <c r="O212">
        <v>0</v>
      </c>
    </row>
    <row r="213" spans="1:15" x14ac:dyDescent="0.3">
      <c r="A213" t="s">
        <v>308</v>
      </c>
      <c r="B213">
        <v>15</v>
      </c>
      <c r="C213" t="s">
        <v>308</v>
      </c>
      <c r="D213" t="s">
        <v>122</v>
      </c>
      <c r="E213" t="s">
        <v>33</v>
      </c>
      <c r="K213" t="s">
        <v>213</v>
      </c>
      <c r="N213" t="s">
        <v>320</v>
      </c>
      <c r="O213">
        <v>0</v>
      </c>
    </row>
    <row r="214" spans="1:15" x14ac:dyDescent="0.3">
      <c r="A214" t="s">
        <v>308</v>
      </c>
      <c r="B214">
        <v>15</v>
      </c>
      <c r="C214" t="s">
        <v>308</v>
      </c>
      <c r="D214" t="s">
        <v>123</v>
      </c>
      <c r="E214" t="s">
        <v>33</v>
      </c>
      <c r="K214" t="s">
        <v>213</v>
      </c>
      <c r="N214" t="s">
        <v>320</v>
      </c>
      <c r="O214">
        <v>0</v>
      </c>
    </row>
    <row r="215" spans="1:15" x14ac:dyDescent="0.3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91</v>
      </c>
      <c r="N215" t="s">
        <v>320</v>
      </c>
      <c r="O215">
        <v>0</v>
      </c>
    </row>
    <row r="216" spans="1:15" x14ac:dyDescent="0.3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91</v>
      </c>
      <c r="N216" t="s">
        <v>320</v>
      </c>
      <c r="O216">
        <v>0</v>
      </c>
    </row>
    <row r="217" spans="1:15" x14ac:dyDescent="0.3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91</v>
      </c>
      <c r="N217" t="s">
        <v>320</v>
      </c>
      <c r="O217">
        <v>0</v>
      </c>
    </row>
    <row r="218" spans="1:15" x14ac:dyDescent="0.3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92</v>
      </c>
      <c r="N218" t="s">
        <v>320</v>
      </c>
      <c r="O218">
        <v>0</v>
      </c>
    </row>
    <row r="219" spans="1:15" x14ac:dyDescent="0.3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92</v>
      </c>
      <c r="N219" t="s">
        <v>320</v>
      </c>
      <c r="O219">
        <v>0</v>
      </c>
    </row>
    <row r="220" spans="1:15" x14ac:dyDescent="0.3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92</v>
      </c>
      <c r="N220" t="s">
        <v>320</v>
      </c>
      <c r="O220">
        <v>0</v>
      </c>
    </row>
    <row r="221" spans="1:15" x14ac:dyDescent="0.3">
      <c r="A221" t="s">
        <v>309</v>
      </c>
      <c r="B221">
        <v>16</v>
      </c>
      <c r="C221" t="s">
        <v>309</v>
      </c>
      <c r="D221" t="s">
        <v>269</v>
      </c>
      <c r="M221" t="s">
        <v>313</v>
      </c>
      <c r="N221" t="s">
        <v>311</v>
      </c>
      <c r="O221">
        <v>0</v>
      </c>
    </row>
    <row r="222" spans="1:15" x14ac:dyDescent="0.3">
      <c r="A222" t="s">
        <v>309</v>
      </c>
      <c r="B222">
        <v>16</v>
      </c>
      <c r="C222" t="s">
        <v>309</v>
      </c>
      <c r="D222" t="s">
        <v>122</v>
      </c>
      <c r="M222" t="s">
        <v>313</v>
      </c>
      <c r="N222" t="s">
        <v>311</v>
      </c>
      <c r="O222">
        <v>0</v>
      </c>
    </row>
    <row r="223" spans="1:15" x14ac:dyDescent="0.3">
      <c r="A223" t="s">
        <v>309</v>
      </c>
      <c r="B223">
        <v>16</v>
      </c>
      <c r="C223" t="s">
        <v>309</v>
      </c>
      <c r="D223" t="s">
        <v>123</v>
      </c>
      <c r="M223" t="s">
        <v>313</v>
      </c>
      <c r="N223" t="s">
        <v>311</v>
      </c>
      <c r="O223">
        <v>0</v>
      </c>
    </row>
    <row r="224" spans="1:15" x14ac:dyDescent="0.3">
      <c r="A224" t="s">
        <v>309</v>
      </c>
      <c r="B224">
        <v>16</v>
      </c>
      <c r="C224" t="s">
        <v>309</v>
      </c>
      <c r="D224" t="s">
        <v>269</v>
      </c>
      <c r="M224" t="s">
        <v>314</v>
      </c>
      <c r="N224" t="s">
        <v>310</v>
      </c>
      <c r="O224">
        <v>0</v>
      </c>
    </row>
    <row r="225" spans="1:15" x14ac:dyDescent="0.3">
      <c r="A225" t="s">
        <v>309</v>
      </c>
      <c r="B225">
        <v>16</v>
      </c>
      <c r="C225" t="s">
        <v>309</v>
      </c>
      <c r="D225" t="s">
        <v>122</v>
      </c>
      <c r="M225" t="s">
        <v>314</v>
      </c>
      <c r="N225" t="s">
        <v>310</v>
      </c>
      <c r="O225">
        <v>0</v>
      </c>
    </row>
    <row r="226" spans="1:15" x14ac:dyDescent="0.3">
      <c r="A226" t="s">
        <v>309</v>
      </c>
      <c r="B226">
        <v>16</v>
      </c>
      <c r="C226" t="s">
        <v>309</v>
      </c>
      <c r="D226" t="s">
        <v>123</v>
      </c>
      <c r="M226" t="s">
        <v>314</v>
      </c>
      <c r="N226" t="s">
        <v>310</v>
      </c>
      <c r="O226">
        <v>0</v>
      </c>
    </row>
    <row r="227" spans="1:15" x14ac:dyDescent="0.3">
      <c r="A227" t="s">
        <v>309</v>
      </c>
      <c r="B227">
        <v>16</v>
      </c>
      <c r="C227" t="s">
        <v>309</v>
      </c>
      <c r="D227" t="s">
        <v>269</v>
      </c>
      <c r="M227" s="7" t="s">
        <v>315</v>
      </c>
      <c r="N227" t="s">
        <v>310</v>
      </c>
      <c r="O227">
        <v>0</v>
      </c>
    </row>
    <row r="228" spans="1:15" x14ac:dyDescent="0.3">
      <c r="A228" t="s">
        <v>309</v>
      </c>
      <c r="B228">
        <v>16</v>
      </c>
      <c r="C228" t="s">
        <v>309</v>
      </c>
      <c r="D228" t="s">
        <v>122</v>
      </c>
      <c r="M228" s="7" t="s">
        <v>315</v>
      </c>
      <c r="N228" t="s">
        <v>310</v>
      </c>
      <c r="O228">
        <v>0</v>
      </c>
    </row>
    <row r="229" spans="1:15" x14ac:dyDescent="0.3">
      <c r="A229" t="s">
        <v>309</v>
      </c>
      <c r="B229">
        <v>16</v>
      </c>
      <c r="C229" t="s">
        <v>309</v>
      </c>
      <c r="D229" t="s">
        <v>123</v>
      </c>
      <c r="M229" s="7" t="s">
        <v>315</v>
      </c>
      <c r="N229" t="s">
        <v>310</v>
      </c>
      <c r="O229">
        <v>0</v>
      </c>
    </row>
    <row r="230" spans="1:15" x14ac:dyDescent="0.3">
      <c r="A230" t="s">
        <v>309</v>
      </c>
      <c r="B230">
        <v>16</v>
      </c>
      <c r="C230" t="s">
        <v>309</v>
      </c>
      <c r="D230" t="s">
        <v>269</v>
      </c>
      <c r="M230" s="7" t="s">
        <v>316</v>
      </c>
      <c r="N230" t="s">
        <v>310</v>
      </c>
      <c r="O230">
        <v>0</v>
      </c>
    </row>
    <row r="231" spans="1:15" x14ac:dyDescent="0.3">
      <c r="A231" t="s">
        <v>309</v>
      </c>
      <c r="B231">
        <v>16</v>
      </c>
      <c r="C231" t="s">
        <v>309</v>
      </c>
      <c r="D231" t="s">
        <v>122</v>
      </c>
      <c r="M231" s="7" t="s">
        <v>316</v>
      </c>
      <c r="N231" t="s">
        <v>310</v>
      </c>
      <c r="O231">
        <v>0</v>
      </c>
    </row>
    <row r="232" spans="1:15" x14ac:dyDescent="0.3">
      <c r="A232" t="s">
        <v>309</v>
      </c>
      <c r="B232">
        <v>16</v>
      </c>
      <c r="C232" t="s">
        <v>309</v>
      </c>
      <c r="D232" t="s">
        <v>123</v>
      </c>
      <c r="M232" s="7" t="s">
        <v>316</v>
      </c>
      <c r="N232" t="s">
        <v>310</v>
      </c>
      <c r="O232">
        <v>0</v>
      </c>
    </row>
    <row r="233" spans="1:15" x14ac:dyDescent="0.3">
      <c r="A233" t="s">
        <v>309</v>
      </c>
      <c r="B233">
        <v>16</v>
      </c>
      <c r="C233" t="s">
        <v>309</v>
      </c>
      <c r="D233" t="s">
        <v>269</v>
      </c>
      <c r="M233" s="7" t="s">
        <v>317</v>
      </c>
      <c r="N233" t="s">
        <v>310</v>
      </c>
      <c r="O233">
        <v>0</v>
      </c>
    </row>
    <row r="234" spans="1:15" x14ac:dyDescent="0.3">
      <c r="A234" t="s">
        <v>309</v>
      </c>
      <c r="B234">
        <v>16</v>
      </c>
      <c r="C234" t="s">
        <v>309</v>
      </c>
      <c r="D234" t="s">
        <v>122</v>
      </c>
      <c r="M234" s="7" t="s">
        <v>317</v>
      </c>
      <c r="N234" t="s">
        <v>310</v>
      </c>
      <c r="O234">
        <v>0</v>
      </c>
    </row>
    <row r="235" spans="1:15" x14ac:dyDescent="0.3">
      <c r="A235" t="s">
        <v>309</v>
      </c>
      <c r="B235">
        <v>16</v>
      </c>
      <c r="C235" t="s">
        <v>309</v>
      </c>
      <c r="D235" t="s">
        <v>123</v>
      </c>
      <c r="M235" s="7" t="s">
        <v>317</v>
      </c>
      <c r="N235" t="s">
        <v>310</v>
      </c>
      <c r="O235">
        <v>0</v>
      </c>
    </row>
    <row r="236" spans="1:15" x14ac:dyDescent="0.3">
      <c r="A236" t="s">
        <v>318</v>
      </c>
      <c r="B236">
        <v>17</v>
      </c>
      <c r="C236" t="s">
        <v>318</v>
      </c>
      <c r="D236" t="s">
        <v>269</v>
      </c>
      <c r="N236" t="s">
        <v>319</v>
      </c>
      <c r="O236">
        <v>0</v>
      </c>
    </row>
    <row r="237" spans="1:15" x14ac:dyDescent="0.3">
      <c r="A237" t="s">
        <v>318</v>
      </c>
      <c r="B237">
        <v>17</v>
      </c>
      <c r="C237" t="s">
        <v>318</v>
      </c>
      <c r="D237" t="s">
        <v>122</v>
      </c>
      <c r="N237" t="s">
        <v>319</v>
      </c>
      <c r="O237">
        <v>0</v>
      </c>
    </row>
    <row r="238" spans="1:15" x14ac:dyDescent="0.3">
      <c r="A238" t="s">
        <v>318</v>
      </c>
      <c r="B238">
        <v>17</v>
      </c>
      <c r="C238" t="s">
        <v>318</v>
      </c>
      <c r="D238" t="s">
        <v>123</v>
      </c>
      <c r="N238" t="s">
        <v>319</v>
      </c>
      <c r="O238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zoomScale="80" zoomScaleNormal="80" workbookViewId="0">
      <selection activeCell="H35" sqref="H35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252</v>
      </c>
      <c r="F1" s="1" t="s">
        <v>254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300</v>
      </c>
      <c r="L1" s="1" t="s">
        <v>312</v>
      </c>
      <c r="M1" s="5" t="s">
        <v>170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8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323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323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323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323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323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323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323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323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8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8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229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230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230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231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8">
        <v>11</v>
      </c>
      <c r="C59" t="s">
        <v>20</v>
      </c>
      <c r="M59" t="s">
        <v>196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324</v>
      </c>
      <c r="M65" s="4" t="s">
        <v>325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308</v>
      </c>
      <c r="B71">
        <v>16</v>
      </c>
      <c r="C71" t="s">
        <v>308</v>
      </c>
      <c r="D71" t="s">
        <v>10</v>
      </c>
      <c r="J71" t="s">
        <v>55</v>
      </c>
      <c r="M71" t="s">
        <v>320</v>
      </c>
      <c r="N71">
        <v>0</v>
      </c>
    </row>
    <row r="72" spans="1:14" x14ac:dyDescent="0.3">
      <c r="A72" t="s">
        <v>308</v>
      </c>
      <c r="B72">
        <v>16</v>
      </c>
      <c r="C72" t="s">
        <v>308</v>
      </c>
      <c r="D72" t="s">
        <v>12</v>
      </c>
      <c r="J72" t="s">
        <v>55</v>
      </c>
      <c r="M72" t="s">
        <v>320</v>
      </c>
      <c r="N72">
        <v>0</v>
      </c>
    </row>
    <row r="73" spans="1:14" x14ac:dyDescent="0.3">
      <c r="A73" t="s">
        <v>308</v>
      </c>
      <c r="B73">
        <v>16</v>
      </c>
      <c r="C73" t="s">
        <v>308</v>
      </c>
      <c r="D73" t="s">
        <v>10</v>
      </c>
      <c r="J73" t="s">
        <v>58</v>
      </c>
      <c r="M73" t="s">
        <v>320</v>
      </c>
      <c r="N73">
        <v>0</v>
      </c>
    </row>
    <row r="74" spans="1:14" x14ac:dyDescent="0.3">
      <c r="A74" t="s">
        <v>308</v>
      </c>
      <c r="B74">
        <v>16</v>
      </c>
      <c r="C74" t="s">
        <v>308</v>
      </c>
      <c r="D74" t="s">
        <v>12</v>
      </c>
      <c r="J74" t="s">
        <v>58</v>
      </c>
      <c r="M74" t="s">
        <v>320</v>
      </c>
      <c r="N74">
        <v>0</v>
      </c>
    </row>
    <row r="75" spans="1:14" x14ac:dyDescent="0.3">
      <c r="A75" t="s">
        <v>308</v>
      </c>
      <c r="B75">
        <v>16</v>
      </c>
      <c r="C75" t="s">
        <v>308</v>
      </c>
      <c r="D75" t="s">
        <v>33</v>
      </c>
      <c r="J75" t="s">
        <v>213</v>
      </c>
      <c r="M75" t="s">
        <v>320</v>
      </c>
      <c r="N75">
        <v>0</v>
      </c>
    </row>
    <row r="76" spans="1:14" x14ac:dyDescent="0.3">
      <c r="A76" t="s">
        <v>308</v>
      </c>
      <c r="B76">
        <v>16</v>
      </c>
      <c r="C76" t="s">
        <v>308</v>
      </c>
      <c r="D76" t="s">
        <v>33</v>
      </c>
      <c r="J76" t="s">
        <v>91</v>
      </c>
      <c r="M76" t="s">
        <v>320</v>
      </c>
      <c r="N76">
        <v>0</v>
      </c>
    </row>
    <row r="77" spans="1:14" x14ac:dyDescent="0.3">
      <c r="A77" t="s">
        <v>308</v>
      </c>
      <c r="B77">
        <v>16</v>
      </c>
      <c r="C77" t="s">
        <v>308</v>
      </c>
      <c r="D77" t="s">
        <v>33</v>
      </c>
      <c r="J77" t="s">
        <v>92</v>
      </c>
      <c r="M77" t="s">
        <v>320</v>
      </c>
      <c r="N77">
        <v>0</v>
      </c>
    </row>
    <row r="78" spans="1:14" x14ac:dyDescent="0.3">
      <c r="A78" t="s">
        <v>309</v>
      </c>
      <c r="B78">
        <v>15</v>
      </c>
      <c r="C78" t="s">
        <v>309</v>
      </c>
      <c r="L78" t="s">
        <v>313</v>
      </c>
      <c r="M78" t="s">
        <v>311</v>
      </c>
      <c r="N78">
        <v>0</v>
      </c>
    </row>
    <row r="79" spans="1:14" x14ac:dyDescent="0.3">
      <c r="A79" t="s">
        <v>309</v>
      </c>
      <c r="B79">
        <v>15</v>
      </c>
      <c r="C79" t="s">
        <v>309</v>
      </c>
      <c r="L79" t="s">
        <v>314</v>
      </c>
      <c r="M79" t="s">
        <v>310</v>
      </c>
      <c r="N79">
        <v>0</v>
      </c>
    </row>
    <row r="80" spans="1:14" x14ac:dyDescent="0.3">
      <c r="A80" t="s">
        <v>309</v>
      </c>
      <c r="B80">
        <v>15</v>
      </c>
      <c r="C80" t="s">
        <v>309</v>
      </c>
      <c r="L80" t="s">
        <v>315</v>
      </c>
      <c r="M80" t="s">
        <v>310</v>
      </c>
      <c r="N80">
        <v>0</v>
      </c>
    </row>
    <row r="81" spans="1:14" x14ac:dyDescent="0.3">
      <c r="A81" t="s">
        <v>309</v>
      </c>
      <c r="B81">
        <v>15</v>
      </c>
      <c r="C81" t="s">
        <v>309</v>
      </c>
      <c r="L81" t="s">
        <v>316</v>
      </c>
      <c r="M81" t="s">
        <v>310</v>
      </c>
      <c r="N81">
        <v>0</v>
      </c>
    </row>
    <row r="82" spans="1:14" x14ac:dyDescent="0.3">
      <c r="A82" t="s">
        <v>309</v>
      </c>
      <c r="B82">
        <v>15</v>
      </c>
      <c r="C82" t="s">
        <v>309</v>
      </c>
      <c r="L82" t="s">
        <v>317</v>
      </c>
      <c r="M82" t="s">
        <v>310</v>
      </c>
      <c r="N82">
        <v>0</v>
      </c>
    </row>
    <row r="83" spans="1:14" x14ac:dyDescent="0.3">
      <c r="A83" t="s">
        <v>318</v>
      </c>
      <c r="B83" s="8">
        <v>17</v>
      </c>
      <c r="C83" t="s">
        <v>318</v>
      </c>
      <c r="M83" t="s">
        <v>319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H6" sqref="H6"/>
    </sheetView>
  </sheetViews>
  <sheetFormatPr defaultRowHeight="14.4" x14ac:dyDescent="0.3"/>
  <cols>
    <col min="1" max="1" width="21.77734375" bestFit="1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353</v>
      </c>
      <c r="B1" t="s">
        <v>354</v>
      </c>
      <c r="C1" t="s">
        <v>355</v>
      </c>
      <c r="D1" t="s">
        <v>311</v>
      </c>
    </row>
    <row r="2" spans="1:4" x14ac:dyDescent="0.3">
      <c r="A2" t="s">
        <v>331</v>
      </c>
      <c r="B2" t="s">
        <v>338</v>
      </c>
      <c r="C2">
        <v>0</v>
      </c>
      <c r="D2">
        <v>0</v>
      </c>
    </row>
    <row r="3" spans="1:4" x14ac:dyDescent="0.3">
      <c r="A3" t="s">
        <v>332</v>
      </c>
      <c r="B3" t="s">
        <v>339</v>
      </c>
      <c r="C3">
        <v>0</v>
      </c>
      <c r="D3">
        <v>10</v>
      </c>
    </row>
    <row r="4" spans="1:4" x14ac:dyDescent="0.3">
      <c r="A4" t="s">
        <v>333</v>
      </c>
      <c r="B4" t="s">
        <v>340</v>
      </c>
      <c r="C4">
        <v>0</v>
      </c>
      <c r="D4">
        <v>0</v>
      </c>
    </row>
    <row r="5" spans="1:4" x14ac:dyDescent="0.3">
      <c r="A5" t="s">
        <v>44</v>
      </c>
      <c r="B5" t="s">
        <v>341</v>
      </c>
      <c r="C5">
        <v>0</v>
      </c>
      <c r="D5">
        <v>0</v>
      </c>
    </row>
    <row r="6" spans="1:4" x14ac:dyDescent="0.3">
      <c r="A6" t="s">
        <v>38</v>
      </c>
      <c r="B6" t="s">
        <v>342</v>
      </c>
      <c r="C6">
        <v>0</v>
      </c>
      <c r="D6">
        <v>0</v>
      </c>
    </row>
    <row r="7" spans="1:4" x14ac:dyDescent="0.3">
      <c r="A7" t="s">
        <v>334</v>
      </c>
      <c r="B7" t="s">
        <v>343</v>
      </c>
      <c r="C7">
        <v>0.5</v>
      </c>
      <c r="D7">
        <v>0</v>
      </c>
    </row>
    <row r="8" spans="1:4" x14ac:dyDescent="0.3">
      <c r="A8" t="s">
        <v>335</v>
      </c>
      <c r="B8" t="s">
        <v>344</v>
      </c>
      <c r="C8">
        <v>0</v>
      </c>
      <c r="D8">
        <v>3</v>
      </c>
    </row>
    <row r="9" spans="1:4" x14ac:dyDescent="0.3">
      <c r="A9" t="s">
        <v>20</v>
      </c>
      <c r="B9" t="s">
        <v>345</v>
      </c>
      <c r="C9">
        <v>0</v>
      </c>
      <c r="D9">
        <v>0</v>
      </c>
    </row>
    <row r="10" spans="1:4" x14ac:dyDescent="0.3">
      <c r="A10" t="s">
        <v>336</v>
      </c>
      <c r="B10" t="s">
        <v>346</v>
      </c>
      <c r="C10">
        <v>0</v>
      </c>
      <c r="D10">
        <v>0</v>
      </c>
    </row>
    <row r="11" spans="1:4" x14ac:dyDescent="0.3">
      <c r="A11" t="s">
        <v>217</v>
      </c>
      <c r="B11" t="s">
        <v>347</v>
      </c>
      <c r="C11">
        <v>0</v>
      </c>
      <c r="D11">
        <v>0</v>
      </c>
    </row>
    <row r="12" spans="1:4" x14ac:dyDescent="0.3">
      <c r="A12" t="s">
        <v>309</v>
      </c>
      <c r="B12" t="s">
        <v>348</v>
      </c>
      <c r="C12">
        <v>0.1</v>
      </c>
      <c r="D12">
        <v>0</v>
      </c>
    </row>
    <row r="13" spans="1:4" x14ac:dyDescent="0.3">
      <c r="A13" t="s">
        <v>308</v>
      </c>
      <c r="B13" t="s">
        <v>349</v>
      </c>
      <c r="C13">
        <v>0</v>
      </c>
      <c r="D13">
        <v>0</v>
      </c>
    </row>
    <row r="14" spans="1:4" x14ac:dyDescent="0.3">
      <c r="A14" t="s">
        <v>97</v>
      </c>
      <c r="B14" t="s">
        <v>350</v>
      </c>
      <c r="C14">
        <v>0</v>
      </c>
      <c r="D14">
        <v>0</v>
      </c>
    </row>
    <row r="15" spans="1:4" x14ac:dyDescent="0.3">
      <c r="A15" t="s">
        <v>318</v>
      </c>
      <c r="B15" t="s">
        <v>351</v>
      </c>
      <c r="C15">
        <v>0</v>
      </c>
      <c r="D15">
        <v>1</v>
      </c>
    </row>
    <row r="16" spans="1:4" x14ac:dyDescent="0.3">
      <c r="A16" t="s">
        <v>337</v>
      </c>
      <c r="B16" t="s">
        <v>352</v>
      </c>
      <c r="C16">
        <v>0</v>
      </c>
      <c r="D1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D103" sqref="D103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276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>
        <v>11742.720000000001</v>
      </c>
    </row>
    <row r="44" spans="1:14" x14ac:dyDescent="0.3">
      <c r="A44" t="s">
        <v>48</v>
      </c>
      <c r="B44">
        <v>2</v>
      </c>
      <c r="C44">
        <v>2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>
        <v>507824.03333333333</v>
      </c>
    </row>
    <row r="45" spans="1:14" x14ac:dyDescent="0.3">
      <c r="A45" t="s">
        <v>48</v>
      </c>
      <c r="B45">
        <v>2</v>
      </c>
      <c r="C45">
        <v>2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>
        <v>0.70316123608534298</v>
      </c>
    </row>
    <row r="46" spans="1:14" x14ac:dyDescent="0.3">
      <c r="A46" t="s">
        <v>48</v>
      </c>
      <c r="B46">
        <v>2</v>
      </c>
      <c r="C46">
        <v>2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>
        <v>7.814468991711423</v>
      </c>
    </row>
    <row r="47" spans="1:14" x14ac:dyDescent="0.3">
      <c r="A47" t="s">
        <v>48</v>
      </c>
      <c r="B47">
        <v>2</v>
      </c>
      <c r="C47">
        <v>2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>
        <v>507824.03333333333</v>
      </c>
    </row>
    <row r="48" spans="1:14" x14ac:dyDescent="0.3">
      <c r="A48" t="s">
        <v>48</v>
      </c>
      <c r="B48">
        <v>2</v>
      </c>
      <c r="C48">
        <v>2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>
        <v>0.70316123608534298</v>
      </c>
    </row>
    <row r="49" spans="1:14" x14ac:dyDescent="0.3">
      <c r="A49" t="s">
        <v>48</v>
      </c>
      <c r="B49">
        <v>2</v>
      </c>
      <c r="C49">
        <v>2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>
        <v>7.814468991711423</v>
      </c>
    </row>
    <row r="50" spans="1:14" x14ac:dyDescent="0.3">
      <c r="A50" t="s">
        <v>48</v>
      </c>
      <c r="B50">
        <v>2</v>
      </c>
      <c r="C50">
        <v>2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>
        <v>557247.875</v>
      </c>
    </row>
    <row r="51" spans="1:14" x14ac:dyDescent="0.3">
      <c r="A51" t="s">
        <v>48</v>
      </c>
      <c r="B51">
        <v>2</v>
      </c>
      <c r="C51">
        <v>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>
        <v>0.57269119769119758</v>
      </c>
    </row>
    <row r="52" spans="1:14" x14ac:dyDescent="0.3">
      <c r="A52" t="s">
        <v>48</v>
      </c>
      <c r="B52">
        <v>2</v>
      </c>
      <c r="C52">
        <v>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>
        <v>7.814468991711423</v>
      </c>
    </row>
    <row r="53" spans="1:14" x14ac:dyDescent="0.3">
      <c r="A53" t="s">
        <v>48</v>
      </c>
      <c r="B53">
        <v>2</v>
      </c>
      <c r="C53">
        <v>2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>
        <v>557247.875</v>
      </c>
    </row>
    <row r="54" spans="1:14" x14ac:dyDescent="0.3">
      <c r="A54" t="s">
        <v>48</v>
      </c>
      <c r="B54">
        <v>2</v>
      </c>
      <c r="C54">
        <v>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>
        <v>0.57269119769119758</v>
      </c>
    </row>
    <row r="55" spans="1:14" x14ac:dyDescent="0.3">
      <c r="A55" t="s">
        <v>48</v>
      </c>
      <c r="B55">
        <v>2</v>
      </c>
      <c r="C55">
        <v>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>
        <v>7.814468991711423</v>
      </c>
    </row>
    <row r="56" spans="1:14" x14ac:dyDescent="0.3">
      <c r="A56" t="s">
        <v>48</v>
      </c>
      <c r="B56">
        <v>2</v>
      </c>
      <c r="C56">
        <v>2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>
        <v>887500.21428571432</v>
      </c>
    </row>
    <row r="57" spans="1:14" x14ac:dyDescent="0.3">
      <c r="A57" t="s">
        <v>48</v>
      </c>
      <c r="B57">
        <v>2</v>
      </c>
      <c r="C57">
        <v>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>
        <v>0.22944967090526897</v>
      </c>
    </row>
    <row r="58" spans="1:14" x14ac:dyDescent="0.3">
      <c r="A58" t="s">
        <v>48</v>
      </c>
      <c r="B58">
        <v>2</v>
      </c>
      <c r="C58">
        <v>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>
        <v>5.9389964337006811</v>
      </c>
    </row>
    <row r="59" spans="1:14" x14ac:dyDescent="0.3">
      <c r="A59" t="s">
        <v>48</v>
      </c>
      <c r="B59">
        <v>2</v>
      </c>
      <c r="C59">
        <v>2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>
        <v>887500.21428571432</v>
      </c>
    </row>
    <row r="60" spans="1:14" x14ac:dyDescent="0.3">
      <c r="A60" t="s">
        <v>48</v>
      </c>
      <c r="B60">
        <v>2</v>
      </c>
      <c r="C60">
        <v>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>
        <v>0.22944967090526897</v>
      </c>
    </row>
    <row r="61" spans="1:14" x14ac:dyDescent="0.3">
      <c r="A61" t="s">
        <v>48</v>
      </c>
      <c r="B61">
        <v>2</v>
      </c>
      <c r="C61">
        <v>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>
        <v>5.9389964337006811</v>
      </c>
    </row>
    <row r="62" spans="1:14" x14ac:dyDescent="0.3">
      <c r="A62" t="s">
        <v>48</v>
      </c>
      <c r="B62">
        <v>0</v>
      </c>
      <c r="C62">
        <v>0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>
        <v>72634.162790697679</v>
      </c>
    </row>
    <row r="66" spans="1:14" x14ac:dyDescent="0.3">
      <c r="A66" t="s">
        <v>48</v>
      </c>
      <c r="B66">
        <v>3</v>
      </c>
      <c r="C66">
        <v>3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>
        <v>0.44197515446533014</v>
      </c>
    </row>
    <row r="67" spans="1:14" x14ac:dyDescent="0.3">
      <c r="A67" t="s">
        <v>48</v>
      </c>
      <c r="B67">
        <v>3</v>
      </c>
      <c r="C67">
        <v>3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>
        <v>3.613784727969656</v>
      </c>
    </row>
    <row r="68" spans="1:14" x14ac:dyDescent="0.3">
      <c r="A68" t="s">
        <v>48</v>
      </c>
      <c r="B68">
        <v>3</v>
      </c>
      <c r="C68">
        <v>3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>
        <v>72634.162790697679</v>
      </c>
    </row>
    <row r="69" spans="1:14" x14ac:dyDescent="0.3">
      <c r="A69" t="s">
        <v>48</v>
      </c>
      <c r="B69">
        <v>3</v>
      </c>
      <c r="C69">
        <v>3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>
        <v>0.44197515446533014</v>
      </c>
    </row>
    <row r="70" spans="1:14" x14ac:dyDescent="0.3">
      <c r="A70" t="s">
        <v>48</v>
      </c>
      <c r="B70">
        <v>3</v>
      </c>
      <c r="C70">
        <v>3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>
        <v>3.613784727969656</v>
      </c>
    </row>
    <row r="71" spans="1:14" x14ac:dyDescent="0.3">
      <c r="A71" t="s">
        <v>48</v>
      </c>
      <c r="B71">
        <v>3</v>
      </c>
      <c r="C71">
        <v>3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>
        <v>127961.88571428572</v>
      </c>
    </row>
    <row r="72" spans="1:14" x14ac:dyDescent="0.3">
      <c r="A72" t="s">
        <v>48</v>
      </c>
      <c r="B72">
        <v>3</v>
      </c>
      <c r="C72">
        <v>3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>
        <v>0.3599861767971585</v>
      </c>
    </row>
    <row r="73" spans="1:14" x14ac:dyDescent="0.3">
      <c r="A73" t="s">
        <v>48</v>
      </c>
      <c r="B73">
        <v>3</v>
      </c>
      <c r="C73">
        <v>3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>
        <v>3.613784727969656</v>
      </c>
    </row>
    <row r="74" spans="1:14" x14ac:dyDescent="0.3">
      <c r="A74" t="s">
        <v>48</v>
      </c>
      <c r="B74">
        <v>3</v>
      </c>
      <c r="C74">
        <v>3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>
        <v>127961.88571428572</v>
      </c>
    </row>
    <row r="75" spans="1:14" x14ac:dyDescent="0.3">
      <c r="A75" t="s">
        <v>48</v>
      </c>
      <c r="B75">
        <v>3</v>
      </c>
      <c r="C75">
        <v>3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>
        <v>0.3599861767971585</v>
      </c>
    </row>
    <row r="76" spans="1:14" x14ac:dyDescent="0.3">
      <c r="A76" t="s">
        <v>48</v>
      </c>
      <c r="B76">
        <v>3</v>
      </c>
      <c r="C76">
        <v>3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>
        <v>3.613784727969656</v>
      </c>
    </row>
    <row r="77" spans="1:14" x14ac:dyDescent="0.3">
      <c r="A77" t="s">
        <v>48</v>
      </c>
      <c r="B77">
        <v>3</v>
      </c>
      <c r="C77">
        <v>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>
        <v>126939.31521530519</v>
      </c>
    </row>
    <row r="78" spans="1:14" x14ac:dyDescent="0.3">
      <c r="A78" t="s">
        <v>48</v>
      </c>
      <c r="B78">
        <v>3</v>
      </c>
      <c r="C78">
        <v>3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>
        <v>0.1300214801796524</v>
      </c>
    </row>
    <row r="79" spans="1:14" x14ac:dyDescent="0.3">
      <c r="A79" t="s">
        <v>48</v>
      </c>
      <c r="B79">
        <v>3</v>
      </c>
      <c r="C79">
        <v>3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>
        <v>2.7464763932569385</v>
      </c>
    </row>
    <row r="80" spans="1:14" x14ac:dyDescent="0.3">
      <c r="A80" t="s">
        <v>48</v>
      </c>
      <c r="B80">
        <v>3</v>
      </c>
      <c r="C80">
        <v>3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>
        <v>126939.31521530519</v>
      </c>
    </row>
    <row r="81" spans="1:14" x14ac:dyDescent="0.3">
      <c r="A81" t="s">
        <v>48</v>
      </c>
      <c r="B81">
        <v>3</v>
      </c>
      <c r="C81">
        <v>3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>
        <v>0.1300214801796524</v>
      </c>
    </row>
    <row r="82" spans="1:14" x14ac:dyDescent="0.3">
      <c r="A82" t="s">
        <v>48</v>
      </c>
      <c r="B82">
        <v>3</v>
      </c>
      <c r="C82">
        <v>3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>
        <v>2.7464763932569385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277</v>
      </c>
      <c r="M83" t="s">
        <v>79</v>
      </c>
      <c r="N83">
        <v>30800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>
        <v>2200000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>
        <v>1.7782540748068197E-2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>
        <v>9.0474209917833246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>
        <v>2200000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>
        <v>3.2571058992039076E-2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>
        <v>8.3307280899871667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>
        <v>2200000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>
        <v>1.1884709668099125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>
        <v>15.951632821457332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>
        <v>2200000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>
        <v>1.1884709668099125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>
        <v>15.951632821457332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277</v>
      </c>
      <c r="M96" t="s">
        <v>201</v>
      </c>
      <c r="N96">
        <v>50</v>
      </c>
    </row>
    <row r="97" spans="1:14" x14ac:dyDescent="0.3">
      <c r="A97" t="s">
        <v>38</v>
      </c>
      <c r="B97">
        <v>7</v>
      </c>
      <c r="C97">
        <v>8</v>
      </c>
      <c r="D97" t="s">
        <v>203</v>
      </c>
      <c r="L97" t="s">
        <v>277</v>
      </c>
      <c r="M97" t="s">
        <v>139</v>
      </c>
      <c r="N97">
        <v>750</v>
      </c>
    </row>
    <row r="98" spans="1:14" x14ac:dyDescent="0.3">
      <c r="A98" t="s">
        <v>80</v>
      </c>
      <c r="B98">
        <v>8</v>
      </c>
      <c r="C98">
        <v>9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>
        <v>0</v>
      </c>
    </row>
    <row r="99" spans="1:14" x14ac:dyDescent="0.3">
      <c r="A99" t="s">
        <v>80</v>
      </c>
      <c r="B99">
        <v>8</v>
      </c>
      <c r="C99">
        <v>9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>
        <v>3000</v>
      </c>
    </row>
    <row r="104" spans="1:14" x14ac:dyDescent="0.3">
      <c r="A104" t="s">
        <v>80</v>
      </c>
      <c r="B104">
        <v>8</v>
      </c>
      <c r="C104">
        <v>9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>
        <v>375000</v>
      </c>
    </row>
    <row r="105" spans="1:14" x14ac:dyDescent="0.3">
      <c r="A105" t="s">
        <v>80</v>
      </c>
      <c r="B105">
        <v>8</v>
      </c>
      <c r="C105">
        <v>9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>
        <v>240000</v>
      </c>
    </row>
    <row r="115" spans="1:14" x14ac:dyDescent="0.3">
      <c r="A115" t="s">
        <v>172</v>
      </c>
      <c r="B115">
        <v>10</v>
      </c>
      <c r="C115">
        <v>11</v>
      </c>
      <c r="D115" t="s">
        <v>195</v>
      </c>
      <c r="L115" t="s">
        <v>277</v>
      </c>
      <c r="M115" t="s">
        <v>196</v>
      </c>
      <c r="N115">
        <v>8200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277</v>
      </c>
      <c r="M116" t="s">
        <v>100</v>
      </c>
      <c r="N116">
        <v>938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277</v>
      </c>
      <c r="M117" t="s">
        <v>101</v>
      </c>
      <c r="N117">
        <v>3090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277</v>
      </c>
      <c r="M118" t="s">
        <v>100</v>
      </c>
      <c r="N118">
        <v>28401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277</v>
      </c>
      <c r="M119" t="s">
        <v>101</v>
      </c>
      <c r="N119">
        <v>26964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277</v>
      </c>
      <c r="M120" t="s">
        <v>100</v>
      </c>
      <c r="N120">
        <v>75000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277</v>
      </c>
      <c r="M121" t="s">
        <v>101</v>
      </c>
      <c r="N121">
        <v>28312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277</v>
      </c>
      <c r="M122" t="s">
        <v>100</v>
      </c>
      <c r="N122">
        <v>28401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277</v>
      </c>
      <c r="M123" t="s">
        <v>101</v>
      </c>
      <c r="N123">
        <v>26964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277</v>
      </c>
      <c r="M124" t="s">
        <v>100</v>
      </c>
      <c r="N124">
        <v>140000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277</v>
      </c>
      <c r="M125" t="s">
        <v>101</v>
      </c>
      <c r="N125">
        <v>39097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277</v>
      </c>
      <c r="M126" t="s">
        <v>100</v>
      </c>
      <c r="N126">
        <v>50000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277</v>
      </c>
      <c r="M127" t="s">
        <v>101</v>
      </c>
      <c r="N127">
        <v>39097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277</v>
      </c>
      <c r="M128" t="s">
        <v>100</v>
      </c>
      <c r="N128">
        <v>28401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277</v>
      </c>
      <c r="M129" t="s">
        <v>101</v>
      </c>
      <c r="N129">
        <v>26964</v>
      </c>
    </row>
    <row r="130" spans="1:14" x14ac:dyDescent="0.3">
      <c r="A130" t="s">
        <v>129</v>
      </c>
      <c r="B130">
        <v>14</v>
      </c>
      <c r="C130">
        <v>13</v>
      </c>
      <c r="D130" t="s">
        <v>210</v>
      </c>
      <c r="L130" t="s">
        <v>277</v>
      </c>
      <c r="M130" t="s">
        <v>211</v>
      </c>
      <c r="N13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>
        <v>3971846.68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>
        <v>397184.66800000006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>
        <v>2785357.2850000001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>
        <v>278535.72850000003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>
        <v>3275809.4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>
        <v>327580.94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>
        <v>1629814.7250000001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>
        <v>162981.47250000003</v>
      </c>
    </row>
    <row r="139" spans="1:14" x14ac:dyDescent="0.3">
      <c r="A139" t="s">
        <v>204</v>
      </c>
      <c r="B139">
        <v>13</v>
      </c>
      <c r="C139">
        <v>15</v>
      </c>
      <c r="D139" t="s">
        <v>205</v>
      </c>
      <c r="H139" t="s">
        <v>66</v>
      </c>
      <c r="L139" t="s">
        <v>277</v>
      </c>
      <c r="M139" t="s">
        <v>206</v>
      </c>
      <c r="N139">
        <v>3.4649999999999999</v>
      </c>
    </row>
    <row r="140" spans="1:14" x14ac:dyDescent="0.3">
      <c r="A140" t="s">
        <v>204</v>
      </c>
      <c r="B140">
        <v>13</v>
      </c>
      <c r="C140">
        <v>15</v>
      </c>
      <c r="D140" t="s">
        <v>205</v>
      </c>
      <c r="H140" t="s">
        <v>61</v>
      </c>
      <c r="L140" t="s">
        <v>277</v>
      </c>
      <c r="M140" t="s">
        <v>206</v>
      </c>
      <c r="N140">
        <v>3.8809999999999998</v>
      </c>
    </row>
    <row r="141" spans="1:14" x14ac:dyDescent="0.3">
      <c r="A141" t="s">
        <v>204</v>
      </c>
      <c r="B141">
        <v>13</v>
      </c>
      <c r="C141">
        <v>15</v>
      </c>
      <c r="D141" t="s">
        <v>205</v>
      </c>
      <c r="H141" t="s">
        <v>209</v>
      </c>
      <c r="L141" t="s">
        <v>277</v>
      </c>
      <c r="M141" t="s">
        <v>207</v>
      </c>
      <c r="N141">
        <v>0.1148</v>
      </c>
    </row>
    <row r="142" spans="1:14" x14ac:dyDescent="0.3">
      <c r="A142" t="s">
        <v>204</v>
      </c>
      <c r="B142">
        <v>13</v>
      </c>
      <c r="C142">
        <v>15</v>
      </c>
      <c r="D142" t="s">
        <v>205</v>
      </c>
      <c r="H142" t="s">
        <v>64</v>
      </c>
      <c r="L142" t="s">
        <v>277</v>
      </c>
      <c r="M142" t="s">
        <v>208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C88" zoomScale="70" zoomScaleNormal="70" workbookViewId="0">
      <selection activeCell="I93" sqref="I93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">
      <c r="A92" s="9" t="s">
        <v>309</v>
      </c>
      <c r="B92">
        <v>9</v>
      </c>
      <c r="E92" t="s">
        <v>309</v>
      </c>
      <c r="G92" s="9"/>
      <c r="H92" s="9"/>
      <c r="I92" s="9" t="s">
        <v>393</v>
      </c>
      <c r="J92" s="9"/>
      <c r="K92" s="9"/>
      <c r="L92" s="9"/>
      <c r="M92" s="9"/>
      <c r="N92" s="9" t="s">
        <v>361</v>
      </c>
      <c r="O92">
        <v>25000</v>
      </c>
    </row>
    <row r="93" spans="1:15" x14ac:dyDescent="0.3">
      <c r="A93" s="9" t="s">
        <v>309</v>
      </c>
      <c r="B93">
        <v>9</v>
      </c>
      <c r="E93" t="s">
        <v>309</v>
      </c>
      <c r="G93" s="9"/>
      <c r="H93" s="9"/>
      <c r="I93" s="9" t="s">
        <v>392</v>
      </c>
      <c r="J93" s="9"/>
      <c r="K93" s="9"/>
      <c r="L93" s="9"/>
      <c r="M93" s="9"/>
      <c r="N93" s="9" t="s">
        <v>363</v>
      </c>
      <c r="O93">
        <v>10553</v>
      </c>
    </row>
    <row r="94" spans="1:15" x14ac:dyDescent="0.3">
      <c r="A94" s="9" t="s">
        <v>309</v>
      </c>
      <c r="B94">
        <v>9</v>
      </c>
      <c r="E94" t="s">
        <v>309</v>
      </c>
      <c r="G94" s="9"/>
      <c r="H94" s="9"/>
      <c r="I94" s="9" t="s">
        <v>391</v>
      </c>
      <c r="J94" s="9"/>
      <c r="K94" s="9"/>
      <c r="L94" s="9"/>
      <c r="M94" s="9"/>
      <c r="N94" s="9" t="s">
        <v>363</v>
      </c>
      <c r="O94">
        <v>7646</v>
      </c>
    </row>
    <row r="95" spans="1:15" x14ac:dyDescent="0.3">
      <c r="A95" s="9" t="s">
        <v>309</v>
      </c>
      <c r="B95">
        <v>9</v>
      </c>
      <c r="E95" t="s">
        <v>309</v>
      </c>
      <c r="G95" s="9"/>
      <c r="H95" s="9"/>
      <c r="I95" s="9" t="s">
        <v>379</v>
      </c>
      <c r="J95" s="9"/>
      <c r="K95" s="9"/>
      <c r="L95" s="9"/>
      <c r="M95" s="9"/>
      <c r="N95" s="9" t="s">
        <v>365</v>
      </c>
      <c r="O95">
        <v>-0.22</v>
      </c>
    </row>
    <row r="96" spans="1:15" x14ac:dyDescent="0.3">
      <c r="A96" s="9" t="s">
        <v>309</v>
      </c>
      <c r="B96">
        <v>9</v>
      </c>
      <c r="E96" t="s">
        <v>309</v>
      </c>
      <c r="G96" s="9"/>
      <c r="H96" s="9"/>
      <c r="I96" s="9" t="s">
        <v>380</v>
      </c>
      <c r="J96" s="9"/>
      <c r="K96" s="9"/>
      <c r="L96" s="9"/>
      <c r="M96" s="9"/>
      <c r="N96" s="9" t="s">
        <v>365</v>
      </c>
      <c r="O96">
        <v>-7.0000000000000007E-2</v>
      </c>
    </row>
    <row r="97" spans="1:15" x14ac:dyDescent="0.3">
      <c r="A97" s="9" t="s">
        <v>309</v>
      </c>
      <c r="B97">
        <v>9</v>
      </c>
      <c r="E97" t="s">
        <v>309</v>
      </c>
      <c r="G97" s="9"/>
      <c r="H97" s="9"/>
      <c r="I97" s="9" t="s">
        <v>377</v>
      </c>
      <c r="J97" s="9"/>
      <c r="K97" s="9"/>
      <c r="L97" s="9"/>
      <c r="M97" s="9"/>
      <c r="N97" s="9" t="s">
        <v>366</v>
      </c>
      <c r="O97">
        <v>19642</v>
      </c>
    </row>
    <row r="98" spans="1:15" x14ac:dyDescent="0.3">
      <c r="A98" s="9" t="s">
        <v>309</v>
      </c>
      <c r="B98">
        <v>9</v>
      </c>
      <c r="E98" t="s">
        <v>309</v>
      </c>
      <c r="G98" s="9"/>
      <c r="H98" s="9"/>
      <c r="I98" s="9" t="s">
        <v>376</v>
      </c>
      <c r="J98" s="9"/>
      <c r="K98" s="9"/>
      <c r="L98" s="9"/>
      <c r="M98" s="9"/>
      <c r="N98" s="9" t="s">
        <v>367</v>
      </c>
      <c r="O98">
        <v>2.5</v>
      </c>
    </row>
    <row r="99" spans="1:15" x14ac:dyDescent="0.3">
      <c r="A99" s="9" t="s">
        <v>309</v>
      </c>
      <c r="B99">
        <v>9</v>
      </c>
      <c r="E99" t="s">
        <v>309</v>
      </c>
      <c r="G99" s="9"/>
      <c r="H99" s="9"/>
      <c r="I99" s="9" t="s">
        <v>390</v>
      </c>
      <c r="J99" s="9"/>
      <c r="K99" s="9"/>
      <c r="L99" s="9"/>
      <c r="M99" s="9"/>
      <c r="N99" s="9" t="s">
        <v>368</v>
      </c>
      <c r="O99">
        <v>6350</v>
      </c>
    </row>
    <row r="100" spans="1:15" x14ac:dyDescent="0.3">
      <c r="A100" s="9" t="s">
        <v>309</v>
      </c>
      <c r="B100">
        <v>9</v>
      </c>
      <c r="E100" t="s">
        <v>309</v>
      </c>
      <c r="G100" s="9"/>
      <c r="H100" s="9"/>
      <c r="I100" s="9" t="s">
        <v>389</v>
      </c>
      <c r="J100" s="9"/>
      <c r="K100" s="9"/>
      <c r="L100" s="9"/>
      <c r="M100" s="9"/>
      <c r="N100" s="9" t="s">
        <v>42</v>
      </c>
      <c r="O100">
        <v>12.7</v>
      </c>
    </row>
    <row r="101" spans="1:15" x14ac:dyDescent="0.3">
      <c r="A101" s="9" t="s">
        <v>309</v>
      </c>
      <c r="B101">
        <v>9</v>
      </c>
      <c r="E101" t="s">
        <v>309</v>
      </c>
      <c r="G101" s="9"/>
      <c r="H101" s="9"/>
      <c r="I101" s="9" t="s">
        <v>388</v>
      </c>
      <c r="J101" s="9"/>
      <c r="K101" s="9"/>
      <c r="L101" s="9"/>
      <c r="M101" s="9"/>
      <c r="N101" s="9" t="s">
        <v>47</v>
      </c>
      <c r="O101">
        <v>250</v>
      </c>
    </row>
    <row r="102" spans="1:15" x14ac:dyDescent="0.3">
      <c r="A102" s="9" t="s">
        <v>309</v>
      </c>
      <c r="B102">
        <v>9</v>
      </c>
      <c r="E102" t="s">
        <v>309</v>
      </c>
      <c r="G102" s="9"/>
      <c r="H102" s="9"/>
      <c r="I102" s="9" t="s">
        <v>381</v>
      </c>
      <c r="J102" s="9"/>
      <c r="K102" s="9"/>
      <c r="L102" s="9"/>
      <c r="M102" s="9"/>
      <c r="N102" s="9" t="s">
        <v>369</v>
      </c>
      <c r="O102">
        <v>300</v>
      </c>
    </row>
    <row r="103" spans="1:15" x14ac:dyDescent="0.3">
      <c r="A103" s="9" t="s">
        <v>309</v>
      </c>
      <c r="B103">
        <v>9</v>
      </c>
      <c r="E103" t="s">
        <v>309</v>
      </c>
      <c r="G103" s="9"/>
      <c r="H103" s="9"/>
      <c r="I103" s="9" t="s">
        <v>382</v>
      </c>
      <c r="J103" s="9"/>
      <c r="K103" s="9"/>
      <c r="L103" s="9"/>
      <c r="M103" s="9"/>
      <c r="N103" s="9" t="s">
        <v>371</v>
      </c>
      <c r="O103">
        <v>145.19999999999999</v>
      </c>
    </row>
    <row r="104" spans="1:15" x14ac:dyDescent="0.3">
      <c r="A104" s="9" t="s">
        <v>309</v>
      </c>
      <c r="B104">
        <v>9</v>
      </c>
      <c r="E104" t="s">
        <v>309</v>
      </c>
      <c r="G104" s="9"/>
      <c r="H104" s="9"/>
      <c r="I104" s="9" t="s">
        <v>387</v>
      </c>
      <c r="J104" s="9"/>
      <c r="K104" s="9"/>
      <c r="L104" s="9"/>
      <c r="M104" s="9"/>
      <c r="N104" s="9" t="s">
        <v>372</v>
      </c>
      <c r="O104">
        <v>9</v>
      </c>
    </row>
    <row r="105" spans="1:15" x14ac:dyDescent="0.3">
      <c r="A105" s="9" t="s">
        <v>309</v>
      </c>
      <c r="B105">
        <v>9</v>
      </c>
      <c r="E105" t="s">
        <v>309</v>
      </c>
      <c r="G105" s="9"/>
      <c r="H105" s="9"/>
      <c r="I105" s="9" t="s">
        <v>383</v>
      </c>
      <c r="J105" s="9"/>
      <c r="K105" s="9"/>
      <c r="L105" s="9"/>
      <c r="M105" s="9"/>
      <c r="N105" s="9" t="s">
        <v>384</v>
      </c>
      <c r="O105">
        <v>18</v>
      </c>
    </row>
    <row r="106" spans="1:15" x14ac:dyDescent="0.3">
      <c r="A106" s="9" t="s">
        <v>309</v>
      </c>
      <c r="B106">
        <v>9</v>
      </c>
      <c r="E106" t="s">
        <v>309</v>
      </c>
      <c r="G106" s="9"/>
      <c r="H106" s="9"/>
      <c r="I106" s="9" t="s">
        <v>385</v>
      </c>
      <c r="J106" s="9"/>
      <c r="K106" s="9"/>
      <c r="L106" s="9"/>
      <c r="M106" s="9"/>
      <c r="N106" s="9" t="s">
        <v>384</v>
      </c>
      <c r="O106">
        <v>25</v>
      </c>
    </row>
    <row r="107" spans="1:15" x14ac:dyDescent="0.3">
      <c r="A107" s="9" t="s">
        <v>309</v>
      </c>
      <c r="B107">
        <v>9</v>
      </c>
      <c r="E107" t="s">
        <v>309</v>
      </c>
      <c r="G107" s="9"/>
      <c r="H107" s="9"/>
      <c r="I107" s="9" t="s">
        <v>386</v>
      </c>
      <c r="J107" s="9"/>
      <c r="K107" s="9"/>
      <c r="L107" s="9"/>
      <c r="M107" s="9"/>
      <c r="N107" s="9" t="s">
        <v>384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E1" zoomScaleNormal="100" workbookViewId="0">
      <selection activeCell="O271" sqref="O271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Funding_Summary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2025-06-11T01:43:05Z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