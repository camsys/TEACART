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eller\Documents\GitHub\TEACART\data\"/>
    </mc:Choice>
  </mc:AlternateContent>
  <xr:revisionPtr revIDLastSave="0" documentId="13_ncr:1_{C56F8EA3-CBD2-420F-ACE1-0C4686D9A77B}" xr6:coauthVersionLast="47" xr6:coauthVersionMax="47" xr10:uidLastSave="{00000000-0000-0000-0000-000000000000}"/>
  <bookViews>
    <workbookView xWindow="-108" yWindow="-108" windowWidth="23256" windowHeight="12456" tabRatio="643" xr2:uid="{7ED227F8-E8D7-4F0B-9DDD-FC991517E453}"/>
  </bookViews>
  <sheets>
    <sheet name="References" sheetId="5" r:id="rId1"/>
    <sheet name="Tables" sheetId="8" r:id="rId2"/>
    <sheet name="Baseline" sheetId="6" r:id="rId3"/>
    <sheet name="Budget" sheetId="10" r:id="rId4"/>
    <sheet name="Projects" sheetId="2" r:id="rId5"/>
    <sheet name="Costs" sheetId="3" r:id="rId6"/>
    <sheet name="Assumptions" sheetId="1" r:id="rId7"/>
    <sheet name="UI_Tables" sheetId="12" r:id="rId8"/>
    <sheet name="Funding_Summary" sheetId="11" r:id="rId9"/>
    <sheet name="Scenarios" sheetId="9" r:id="rId10"/>
    <sheet name="Advanced" sheetId="7" r:id="rId11"/>
  </sheets>
  <externalReferences>
    <externalReference r:id="rId12"/>
    <externalReference r:id="rId13"/>
  </externalReferences>
  <definedNames>
    <definedName name="ExternalData_14" localSheetId="6" hidden="1">Assumptions!$A$1:$O$107</definedName>
    <definedName name="ExternalData_8" localSheetId="3" hidden="1">Budget!$A$1:$O$79</definedName>
    <definedName name="ExternalData_8" localSheetId="4" hidden="1">Projects!$A$1:$O$247</definedName>
    <definedName name="ExternalData_9" localSheetId="5" hidden="1">Costs!$A$1:$N$143</definedName>
    <definedName name="PHEV_Elec">#REF!</definedName>
    <definedName name="up_cng">#REF!</definedName>
    <definedName name="up_dies">#REF!</definedName>
    <definedName name="up_eth">#REF!</definedName>
    <definedName name="up_gas">#REF!</definedName>
    <definedName name="up_lpg">#REF!</definedName>
    <definedName name="ViewMode">'[1]Project Inputs'!$B$299:$B$300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0" i="3" l="1"/>
  <c r="N139" i="3"/>
  <c r="D17" i="8" l="1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16" i="8" a="1"/>
  <c r="D16" i="8" s="1"/>
  <c r="D3" i="8" a="1"/>
  <c r="D3" i="8" s="1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2" i="8" a="1"/>
  <c r="D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tc={A0048F40-3169-4EE6-8873-A46DA3FDD1B2}</author>
  </authors>
  <commentList>
    <comment ref="D62" authorId="0" shapeId="0" xr:uid="{A0048F40-3169-4EE6-8873-A46DA3FDD1B2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Transit Fixed Route Service?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23717-EC0F-4411-9BF2-42F1D0A42815}" keepAlive="1" name="Query - Assumptions" description="Connection to the 'Assumptions' query in the workbook." type="5" refreshedVersion="0" background="1">
    <dbPr connection="Provider=Microsoft.Mashup.OleDb.1;Data Source=$Workbook$;Location=Assumptions;Extended Properties=&quot;&quot;" command="SELECT * FROM [Assumptions]"/>
  </connection>
  <connection id="2" xr16:uid="{9CEDD28B-7ED7-4E22-AF19-EC35CA359B68}" keepAlive="1" name="Query - Assumptions_UNPIVOTED" description="Connection to the 'Assumptions_UNPIVOTED' query in the workbook." type="5" refreshedVersion="8" background="1" saveData="1">
    <dbPr connection="Provider=Microsoft.Mashup.OleDb.1;Data Source=$Workbook$;Location=Assumptions_UNPIVOTED;Extended Properties=&quot;&quot;" command="SELECT * FROM [Assumptions_UNPIVOTED]"/>
  </connection>
  <connection id="3" xr16:uid="{77606B74-0260-4766-92ED-1A3CF2C5DB01}" keepAlive="1" name="Query - Baseline_Parameters_UNPIVOTED" description="Connection to the 'Baseline_Parameters_UNPIVOTED' query in the workbook." type="5" refreshedVersion="8" background="1" saveData="1">
    <dbPr connection="Provider=Microsoft.Mashup.OleDb.1;Data Source=$Workbook$;Location=Baseline_Parameters_UNPIVOTED;Extended Properties=&quot;&quot;" command="SELECT * FROM [Baseline_Parameters_UNPIVOTED]"/>
  </connection>
  <connection id="4" xr16:uid="{9DC46691-D9FF-473B-A43E-2CEB69BDEE3E}" keepAlive="1" name="Query - Basline_Parameters_Query" description="Connection to the 'Basline_Parameters_Query' query in the workbook." type="5" refreshedVersion="0" background="1">
    <dbPr connection="Provider=Microsoft.Mashup.OleDb.1;Data Source=$Workbook$;Location=Basline_Parameters_Query;Extended Properties=&quot;&quot;" command="SELECT * FROM [Basline_Parameters_Query]"/>
  </connection>
  <connection id="5" xr16:uid="{6B07B2B9-C70C-4425-928A-7D065D2E32E2}" keepAlive="1" name="Query - BP_Areas" description="Connection to the 'BP_Areas' query in the workbook." type="5" refreshedVersion="0" background="1">
    <dbPr connection="Provider=Microsoft.Mashup.OleDb.1;Data Source=$Workbook$;Location=BP_Areas;Extended Properties=&quot;&quot;" command="SELECT * FROM [BP_Areas]"/>
  </connection>
  <connection id="6" xr16:uid="{28898D01-A0F0-432A-B57D-7D8791001E99}" keepAlive="1" name="Query - BP_Modes" description="Connection to the 'BP_Modes' query in the workbook." type="5" refreshedVersion="0" background="1">
    <dbPr connection="Provider=Microsoft.Mashup.OleDb.1;Data Source=$Workbook$;Location=BP_Modes;Extended Properties=&quot;&quot;" command="SELECT * FROM [BP_Modes]"/>
  </connection>
  <connection id="7" xr16:uid="{21FF3714-7DC3-4E53-B58A-7308258A6AA4}" keepAlive="1" name="Query - BP_Params" description="Connection to the 'BP_Params' query in the workbook." type="5" refreshedVersion="0" background="1">
    <dbPr connection="Provider=Microsoft.Mashup.OleDb.1;Data Source=$Workbook$;Location=BP_Params;Extended Properties=&quot;&quot;" command="SELECT * FROM [BP_Params]"/>
  </connection>
  <connection id="8" xr16:uid="{D6B0C34E-0A93-478F-BACE-7E2AB0C3BDB2}" keepAlive="1" name="Query - Capital_Project_Inputs" description="Connection to the 'Capital_Project_Inputs' query in the workbook." type="5" refreshedVersion="0" background="1">
    <dbPr connection="Provider=Microsoft.Mashup.OleDb.1;Data Source=$Workbook$;Location=Capital_Project_Inputs;Extended Properties=&quot;&quot;" command="SELECT * FROM [Capital_Project_Inputs]"/>
  </connection>
  <connection id="9" xr16:uid="{A95E9CC3-7AF3-4163-8887-549D816418C6}" keepAlive="1" name="Query - Capital_Project_Inputs_UNPIVOTED" description="Connection to the 'Capital_Project_Inputs_UNPIVOTED' query in the workbook." type="5" refreshedVersion="8" background="1" saveData="1">
    <dbPr connection="Provider=Microsoft.Mashup.OleDb.1;Data Source=$Workbook$;Location=Capital_Project_Inputs_UNPIVOTED;Extended Properties=&quot;&quot;" command="SELECT * FROM [Capital_Project_Inputs_UNPIVOTED]"/>
  </connection>
  <connection id="10" xr16:uid="{121769E5-2FDD-4A63-AEC0-7F05805287FD}" keepAlive="1" name="Query - Capital_Project_Inputs_UNPIVOTED (2)" description="Connection to the 'Capital_Project_Inputs_UNPIVOTED (2)' query in the workbook." type="5" refreshedVersion="8" background="1" saveData="1">
    <dbPr connection="Provider=Microsoft.Mashup.OleDb.1;Data Source=$Workbook$;Location=&quot;Capital_Project_Inputs_UNPIVOTED (2)&quot;;Extended Properties=&quot;&quot;" command="SELECT * FROM [Capital_Project_Inputs_UNPIVOTED (2)]"/>
  </connection>
  <connection id="11" xr16:uid="{AE2B7204-9406-499E-8B66-68303B0E6E19}" keepAlive="1" name="Query - Cost_Parameters" description="Connection to the 'Cost_Parameters' query in the workbook." type="5" refreshedVersion="0" background="1">
    <dbPr connection="Provider=Microsoft.Mashup.OleDb.1;Data Source=$Workbook$;Location=Cost_Parameters;Extended Properties=&quot;&quot;" command="SELECT * FROM [Cost_Parameters]"/>
  </connection>
  <connection id="12" xr16:uid="{8B034D4F-0E00-4246-B808-3045F5D68DBD}" keepAlive="1" name="Query - Cost_Parameters_UNPIVOTED" description="Connection to the 'Cost_Parameters_UNPIVOTED' query in the workbook." type="5" refreshedVersion="8" background="1" saveData="1">
    <dbPr connection="Provider=Microsoft.Mashup.OleDb.1;Data Source=$Workbook$;Location=Cost_Parameters_UNPIVOTED;Extended Properties=&quot;&quot;" command="SELECT * FROM [Cost_Parameters_UNPIVOTED]"/>
  </connection>
  <connection id="13" xr16:uid="{EC33B306-05DB-40E4-8DB5-BFE74E3DB9BD}" keepAlive="1" name="Query - CP_BP_Proj_Areas" description="Connection to the 'CP_BP_Proj_Areas' query in the workbook." type="5" refreshedVersion="0" background="1">
    <dbPr connection="Provider=Microsoft.Mashup.OleDb.1;Data Source=$Workbook$;Location=CP_BP_Proj_Areas;Extended Properties=&quot;&quot;" command="SELECT * FROM [CP_BP_Proj_Areas]"/>
  </connection>
  <connection id="14" xr16:uid="{5E56A327-EBAE-45B0-BB9D-413CE854AE50}" keepAlive="1" name="Query - CP_Class_Areas" description="Connection to the 'CP_Class_Areas' query in the workbook." type="5" refreshedVersion="0" background="1">
    <dbPr connection="Provider=Microsoft.Mashup.OleDb.1;Data Source=$Workbook$;Location=CP_Class_Areas;Extended Properties=&quot;&quot;" command="SELECT * FROM [CP_Class_Areas]"/>
  </connection>
  <connection id="15" xr16:uid="{A2655F7F-87B3-4C81-A5DB-C82FFB7884E0}" keepAlive="1" name="Query - CP_EV_Levels" description="Connection to the 'CP_EV_Levels' query in the workbook." type="5" refreshedVersion="0" background="1">
    <dbPr connection="Provider=Microsoft.Mashup.OleDb.1;Data Source=$Workbook$;Location=CP_EV_Levels;Extended Properties=&quot;&quot;" command="SELECT * FROM [CP_EV_Levels]"/>
  </connection>
  <connection id="16" xr16:uid="{0FD21B43-E620-448A-84DD-F4B98AD8B1B0}" keepAlive="1" name="Query - CP_Fuel_Prices" description="Connection to the 'CP_Fuel_Prices' query in the workbook." type="5" refreshedVersion="0" background="1">
    <dbPr connection="Provider=Microsoft.Mashup.OleDb.1;Data Source=$Workbook$;Location=CP_Fuel_Prices;Extended Properties=&quot;&quot;" command="SELECT * FROM [CP_Fuel_Prices]"/>
  </connection>
  <connection id="17" xr16:uid="{69D1C328-0A37-4F39-8755-ABD4F88ED8B7}" keepAlive="1" name="Query - CP_Proj_Class_Areas" description="Connection to the 'CP_Proj_Class_Areas' query in the workbook." type="5" refreshedVersion="0" background="1">
    <dbPr connection="Provider=Microsoft.Mashup.OleDb.1;Data Source=$Workbook$;Location=CP_Proj_Class_Areas;Extended Properties=&quot;&quot;" command="SELECT * FROM [CP_Proj_Class_Areas]"/>
  </connection>
  <connection id="18" xr16:uid="{3C4E2CC3-AF43-4907-B9A5-097FD741D0DD}" keepAlive="1" name="Query - CP_Transit_Mode_Fuel_Areas" description="Connection to the 'CP_Transit_Mode_Fuel_Areas' query in the workbook." type="5" refreshedVersion="0" background="1">
    <dbPr connection="Provider=Microsoft.Mashup.OleDb.1;Data Source=$Workbook$;Location=CP_Transit_Mode_Fuel_Areas;Extended Properties=&quot;&quot;" command="SELECT * FROM [CP_Transit_Mode_Fuel_Areas]"/>
  </connection>
  <connection id="19" xr16:uid="{7C23206D-33E5-466E-9145-607F6844FFA0}" keepAlive="1" name="Query - CP_Veh_Fuels" description="Connection to the 'CP_Veh_Fuels' query in the workbook." type="5" refreshedVersion="0" background="1">
    <dbPr connection="Provider=Microsoft.Mashup.OleDb.1;Data Source=$Workbook$;Location=CP_Veh_Fuels;Extended Properties=&quot;&quot;" command="SELECT * FROM [CP_Veh_Fuels]"/>
  </connection>
  <connection id="20" xr16:uid="{653659E9-14F6-42BE-84D0-F20175319989}" keepAlive="1" name="Query - CPI_Area_Mode_Fuels" description="Connection to the 'CPI_Area_Mode_Fuels' query in the workbook." type="5" refreshedVersion="0" background="1">
    <dbPr connection="Provider=Microsoft.Mashup.OleDb.1;Data Source=$Workbook$;Location=CPI_Area_Mode_Fuels;Extended Properties=&quot;&quot;" command="SELECT * FROM [CPI_Area_Mode_Fuels]"/>
  </connection>
  <connection id="21" xr16:uid="{41B5443D-1FB7-40AF-ACD1-123DD55DCBB5}" keepAlive="1" name="Query - CPI_Area_Projs" description="Connection to the 'CPI_Area_Projs' query in the workbook." type="5" refreshedVersion="0" background="1">
    <dbPr connection="Provider=Microsoft.Mashup.OleDb.1;Data Source=$Workbook$;Location=CPI_Area_Projs;Extended Properties=&quot;&quot;" command="SELECT * FROM [CPI_Area_Projs]"/>
  </connection>
  <connection id="22" xr16:uid="{5E3CBAC6-64CB-4FF6-AA66-0B71BC1EF51F}" keepAlive="1" name="Query - CPI_Class_Areas" description="Connection to the 'CPI_Class_Areas' query in the workbook." type="5" refreshedVersion="0" background="1">
    <dbPr connection="Provider=Microsoft.Mashup.OleDb.1;Data Source=$Workbook$;Location=CPI_Class_Areas;Extended Properties=&quot;&quot;" command="SELECT * FROM [CPI_Class_Areas]"/>
  </connection>
  <connection id="23" xr16:uid="{6E198218-A17C-4C30-AC29-626A31FE1CC9}" keepAlive="1" name="Query - CPI_DCFC_Levels" description="Connection to the 'CPI_DCFC_Levels' query in the workbook." type="5" refreshedVersion="0" background="1">
    <dbPr connection="Provider=Microsoft.Mashup.OleDb.1;Data Source=$Workbook$;Location=CPI_DCFC_Levels;Extended Properties=&quot;&quot;" command="SELECT * FROM [CPI_DCFC_Levels]"/>
  </connection>
  <connection id="24" xr16:uid="{4A626EA4-02CF-45A5-B894-43C65726F630}" keepAlive="1" name="Query - CPI_Params" description="Connection to the 'CPI_Params' query in the workbook." type="5" refreshedVersion="0" background="1">
    <dbPr connection="Provider=Microsoft.Mashup.OleDb.1;Data Source=$Workbook$;Location=CPI_Params;Extended Properties=&quot;&quot;" command="SELECT * FROM [CPI_Params]"/>
  </connection>
  <connection id="25" xr16:uid="{02647EDD-E41F-4E05-B373-C4ACB63C4BD9}" keepAlive="1" name="Query - CPI_Veh_Fuels" description="Connection to the 'CPI_Veh_Fuels' query in the workbook." type="5" refreshedVersion="0" background="1">
    <dbPr connection="Provider=Microsoft.Mashup.OleDb.1;Data Source=$Workbook$;Location=CPI_Veh_Fuels;Extended Properties=&quot;&quot;" command="SELECT * FROM [CPI_Veh_Fuels]"/>
  </connection>
  <connection id="26" xr16:uid="{A8877D91-0F73-4D1E-BE9D-B57F2BC16E23}" keepAlive="1" name="Query - Electricity_Params" description="Connection to the 'Electricity_Params' query in the workbook." type="5" refreshedVersion="0" background="1">
    <dbPr connection="Provider=Microsoft.Mashup.OleDb.1;Data Source=$Workbook$;Location=Electricity_Params;Extended Properties=&quot;&quot;" command="SELECT * FROM [Electricity_Params]"/>
  </connection>
  <connection id="27" xr16:uid="{A7C76A86-96C9-4136-ABF6-BF165E2FECF2}" keepAlive="1" name="Query - EV_DCFC_Levels" description="Connection to the 'EV_DCFC_Levels' query in the workbook." type="5" refreshedVersion="0" background="1">
    <dbPr connection="Provider=Microsoft.Mashup.OleDb.1;Data Source=$Workbook$;Location=EV_DCFC_Levels;Extended Properties=&quot;&quot;" command="SELECT * FROM [EV_DCFC_Levels]"/>
  </connection>
  <connection id="28" xr16:uid="{AEC89BD6-0813-4128-9E4B-A231A3895718}" keepAlive="1" name="Query - Freight_Rail_Params" description="Connection to the 'Freight_Rail_Params' query in the workbook." type="5" refreshedVersion="0" background="1">
    <dbPr connection="Provider=Microsoft.Mashup.OleDb.1;Data Source=$Workbook$;Location=Freight_Rail_Params;Extended Properties=&quot;&quot;" command="SELECT * FROM [Freight_Rail_Params]"/>
  </connection>
  <connection id="29" xr16:uid="{E043C4D3-DF9B-4302-954D-C91DD8A6009F}" keepAlive="1" name="Query - Medium_Heavy_Vehicles" description="Connection to the 'Medium_Heavy_Vehicles' query in the workbook." type="5" refreshedVersion="0" background="1">
    <dbPr connection="Provider=Microsoft.Mashup.OleDb.1;Data Source=$Workbook$;Location=Medium_Heavy_Vehicles;Extended Properties=&quot;&quot;" command="SELECT * FROM [Medium_Heavy_Vehicles]"/>
  </connection>
  <connection id="30" xr16:uid="{F0734A16-5EA5-4461-B903-551516B9EB97}" keepAlive="1" name="Query - Micromobility_Params" description="Connection to the 'Micromobility_Params' query in the workbook." type="5" refreshedVersion="0" background="1">
    <dbPr connection="Provider=Microsoft.Mashup.OleDb.1;Data Source=$Workbook$;Location=Micromobility_Params;Extended Properties=&quot;&quot;" command="SELECT * FROM [Micromobility_Params]"/>
  </connection>
  <connection id="31" xr16:uid="{372E4713-31C9-4261-98C2-839FC63C29A4}" keepAlive="1" name="Query - Park_Ride_Params" description="Connection to the 'Park_Ride_Params' query in the workbook." type="5" refreshedVersion="0" background="1">
    <dbPr connection="Provider=Microsoft.Mashup.OleDb.1;Data Source=$Workbook$;Location=Park_Ride_Params;Extended Properties=&quot;&quot;" command="SELECT * FROM [Park_Ride_Params]"/>
  </connection>
  <connection id="32" xr16:uid="{E4B96BDA-5456-4A84-B6D6-EA22FA57E4DB}" keepAlive="1" name="Query - Pass_Rail_Vehs" description="Connection to the 'Pass_Rail_Vehs' query in the workbook." type="5" refreshedVersion="0" background="1">
    <dbPr connection="Provider=Microsoft.Mashup.OleDb.1;Data Source=$Workbook$;Location=Pass_Rail_Vehs;Extended Properties=&quot;&quot;" command="SELECT * FROM [Pass_Rail_Vehs]"/>
  </connection>
  <connection id="33" xr16:uid="{0B43D1BC-4744-439B-9CF1-70B528EB8503}" keepAlive="1" name="Query - Roadway_Class_Areas" description="Connection to the 'Roadway_Class_Areas' query in the workbook." type="5" refreshedVersion="0" background="1">
    <dbPr connection="Provider=Microsoft.Mashup.OleDb.1;Data Source=$Workbook$;Location=Roadway_Class_Areas;Extended Properties=&quot;&quot;" command="SELECT * FROM [Roadway_Class_Areas]"/>
  </connection>
  <connection id="34" xr16:uid="{5F32080E-A450-4609-98DD-D661A8F49004}" keepAlive="1" name="Query - TDM_Params" description="Connection to the 'TDM_Params' query in the workbook." type="5" refreshedVersion="0" background="1">
    <dbPr connection="Provider=Microsoft.Mashup.OleDb.1;Data Source=$Workbook$;Location=TDM_Params;Extended Properties=&quot;&quot;" command="SELECT * FROM [TDM_Params]"/>
  </connection>
  <connection id="35" xr16:uid="{A4FFA7B8-B4FD-4E22-8C67-31C439BEB287}" keepAlive="1" name="Query - Transit_Mode_Areas" description="Connection to the 'Transit_Mode_Areas' query in the workbook." type="5" refreshedVersion="0" background="1">
    <dbPr connection="Provider=Microsoft.Mashup.OleDb.1;Data Source=$Workbook$;Location=Transit_Mode_Areas;Extended Properties=&quot;&quot;" command="SELECT * FROM [Transit_Mode_Areas]"/>
  </connection>
  <connection id="36" xr16:uid="{D724FDC7-3A24-4A32-82D9-D1CBECD72144}" keepAlive="1" name="Query - Transit_Mode_Fuels" description="Connection to the 'Transit_Mode_Fuels' query in the workbook." type="5" refreshedVersion="0" background="1">
    <dbPr connection="Provider=Microsoft.Mashup.OleDb.1;Data Source=$Workbook$;Location=Transit_Mode_Fuels;Extended Properties=&quot;&quot;" command="SELECT * FROM [Transit_Mode_Fuels]"/>
  </connection>
  <connection id="37" xr16:uid="{326B5261-8621-46BB-B7B1-56801E0B51C7}" keepAlive="1" name="Query - Transit_Params" description="Connection to the 'Transit_Params' query in the workbook." type="5" refreshedVersion="0" background="1">
    <dbPr connection="Provider=Microsoft.Mashup.OleDb.1;Data Source=$Workbook$;Location=Transit_Params;Extended Properties=&quot;&quot;" command="SELECT * FROM [Transit_Params]"/>
  </connection>
  <connection id="38" xr16:uid="{9EA120FA-34ED-45EF-AC01-EF2C98C29511}" keepAlive="1" name="Query - Veh_Types" description="Connection to the 'Veh_Types' query in the workbook." type="5" refreshedVersion="0" background="1">
    <dbPr connection="Provider=Microsoft.Mashup.OleDb.1;Data Source=$Workbook$;Location=Veh_Types;Extended Properties=&quot;&quot;" command="SELECT * FROM [Veh_Typ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<sst xmlns="http://schemas.openxmlformats.org/spreadsheetml/2006/main" count="4905" uniqueCount="502">
  <si>
    <t>category</t>
  </si>
  <si>
    <t>area_type</t>
  </si>
  <si>
    <t>DCFC_level</t>
  </si>
  <si>
    <t>mode_type</t>
  </si>
  <si>
    <t>veh_type</t>
  </si>
  <si>
    <t>road_class</t>
  </si>
  <si>
    <t>transit_mode</t>
  </si>
  <si>
    <t>fuel_type</t>
  </si>
  <si>
    <t>Bicycle and Pedestrian</t>
  </si>
  <si>
    <t>prior_mode_share</t>
  </si>
  <si>
    <t>Urban</t>
  </si>
  <si>
    <t>Suburban</t>
  </si>
  <si>
    <t>Rural</t>
  </si>
  <si>
    <t>EV Charging Infrastructure Data</t>
  </si>
  <si>
    <t>Level 2: General public</t>
  </si>
  <si>
    <t>veh_sales_elasticity_wrt_ports</t>
  </si>
  <si>
    <t>DCFC: Dedicated truck/bus (50kw)</t>
  </si>
  <si>
    <t>DCFC: Dedicated truck/bus (350kw)</t>
  </si>
  <si>
    <t>Park and Ride</t>
  </si>
  <si>
    <t>utilization_pct</t>
  </si>
  <si>
    <t>miles_per_veh_per_year</t>
  </si>
  <si>
    <t>School Bus</t>
  </si>
  <si>
    <t>Traffic &amp; Roadway</t>
  </si>
  <si>
    <t>Principal Arterial</t>
  </si>
  <si>
    <t>avg_AADT</t>
  </si>
  <si>
    <t>VMT_per_lane_mile</t>
  </si>
  <si>
    <t>travel_speed_mph</t>
  </si>
  <si>
    <t>All</t>
  </si>
  <si>
    <t>Freeway</t>
  </si>
  <si>
    <t>truck_traffic_pct</t>
  </si>
  <si>
    <t>VMT_elasticity_lane_mi</t>
  </si>
  <si>
    <t>VMT_elasticity_trav_time</t>
  </si>
  <si>
    <t>Micromobility</t>
  </si>
  <si>
    <t>e_bike_cost</t>
  </si>
  <si>
    <t>subsidy_coverage_pct</t>
  </si>
  <si>
    <t>bike_trips_per_week</t>
  </si>
  <si>
    <t>avg_trip_miles</t>
  </si>
  <si>
    <t>prior_auto_mode_share</t>
  </si>
  <si>
    <t>TDM</t>
  </si>
  <si>
    <t>avg_reduction_in_drive_along_pct</t>
  </si>
  <si>
    <t>avg_work_trip_miles</t>
  </si>
  <si>
    <t>annualization_factor</t>
  </si>
  <si>
    <t>Transit</t>
  </si>
  <si>
    <t>bus_priority_travel_time_change</t>
  </si>
  <si>
    <t>bus_elasticity_trav_time</t>
  </si>
  <si>
    <t>routes_affected</t>
  </si>
  <si>
    <t>daily_buses_per_route</t>
  </si>
  <si>
    <t>route_hours_affected_pct</t>
  </si>
  <si>
    <t>weekday_annualization</t>
  </si>
  <si>
    <t>Bus</t>
  </si>
  <si>
    <t>avg_pax_mi_per_veh_mi</t>
  </si>
  <si>
    <t>rev_mi_per_veh</t>
  </si>
  <si>
    <t>Demand Response</t>
  </si>
  <si>
    <t>Commuter Bus</t>
  </si>
  <si>
    <t>Vanpool</t>
  </si>
  <si>
    <t>Diesel</t>
  </si>
  <si>
    <t>veh_fuel_economy</t>
  </si>
  <si>
    <t>fuel_tech_fraction</t>
  </si>
  <si>
    <t>CNG</t>
  </si>
  <si>
    <t>Electric</t>
  </si>
  <si>
    <t>Gasoline</t>
  </si>
  <si>
    <t>Walk</t>
  </si>
  <si>
    <t>Bike</t>
  </si>
  <si>
    <t xml:space="preserve">Core </t>
  </si>
  <si>
    <t>New shared-use path</t>
  </si>
  <si>
    <t>New bicycle lane</t>
  </si>
  <si>
    <t>New separated bike lane</t>
  </si>
  <si>
    <t>New/improved sidewalk</t>
  </si>
  <si>
    <t>New Complete Streets treatment</t>
  </si>
  <si>
    <t>Widened shoulder</t>
  </si>
  <si>
    <t>EV Charging Infrastructure</t>
  </si>
  <si>
    <t>new_ports</t>
  </si>
  <si>
    <t>replacement_vehicles</t>
  </si>
  <si>
    <t>miles_priority</t>
  </si>
  <si>
    <t>Traffic Operations</t>
  </si>
  <si>
    <t>new_lane_miles</t>
  </si>
  <si>
    <t>Transit: Increased Fixed Route Service</t>
  </si>
  <si>
    <t xml:space="preserve"> CNG</t>
  </si>
  <si>
    <t>new_VOMS</t>
  </si>
  <si>
    <t xml:space="preserve"> Diesel</t>
  </si>
  <si>
    <t>Transit: Increased Demand Response Service</t>
  </si>
  <si>
    <t xml:space="preserve"> Electric</t>
  </si>
  <si>
    <t xml:space="preserve"> Gasoline</t>
  </si>
  <si>
    <t>Public Transportation: Rail</t>
  </si>
  <si>
    <t>Light Rail / Streetcar</t>
  </si>
  <si>
    <t>Heavy Rail</t>
  </si>
  <si>
    <t>Commuter Rail</t>
  </si>
  <si>
    <t>field</t>
  </si>
  <si>
    <t>value</t>
  </si>
  <si>
    <t>year</t>
  </si>
  <si>
    <t>cap_proj_type</t>
  </si>
  <si>
    <t>Roadway Expansion</t>
  </si>
  <si>
    <t>per_ln_mile_cap_cost</t>
  </si>
  <si>
    <t>per_ln_mile_cost</t>
  </si>
  <si>
    <t>per_unit_hardware_cost</t>
  </si>
  <si>
    <t>per_unit_installation_cost</t>
  </si>
  <si>
    <t>DCFC: General public (50kw)</t>
  </si>
  <si>
    <t>DCFC: General public (150kw)</t>
  </si>
  <si>
    <t>Charger for Transit Bus</t>
  </si>
  <si>
    <t>Charger for Demand Response</t>
  </si>
  <si>
    <t>per_veh_cap_cost</t>
  </si>
  <si>
    <t>New or retimed signal</t>
  </si>
  <si>
    <t xml:space="preserve">New roundabouts </t>
  </si>
  <si>
    <t>New roundabouts</t>
  </si>
  <si>
    <t>per_VRM_fuel_cost</t>
  </si>
  <si>
    <t>per_VRM_onm_cost</t>
  </si>
  <si>
    <t>per_mile_cost</t>
  </si>
  <si>
    <t>per_mile_maintain_cost</t>
  </si>
  <si>
    <t>Fuel Apportionment</t>
  </si>
  <si>
    <t>Passenger Rail</t>
  </si>
  <si>
    <t>Amtrak</t>
  </si>
  <si>
    <t>Freight Rail</t>
  </si>
  <si>
    <t>growth_rate</t>
  </si>
  <si>
    <t>energy_intensity</t>
  </si>
  <si>
    <t>state</t>
  </si>
  <si>
    <t>base_year</t>
  </si>
  <si>
    <t>horizon_year_2</t>
  </si>
  <si>
    <t>horizon_year_3</t>
  </si>
  <si>
    <t>include_electricity</t>
  </si>
  <si>
    <t>include_upstream_fuels</t>
  </si>
  <si>
    <t>Maryland</t>
  </si>
  <si>
    <t>All Roadways</t>
  </si>
  <si>
    <t>Vehicles replaced</t>
  </si>
  <si>
    <t>Freight Intermodal Facilities</t>
  </si>
  <si>
    <t>Transit: Increased Demand Response Service (VOMS)</t>
  </si>
  <si>
    <t>Bus Priority Treatment</t>
  </si>
  <si>
    <t>table</t>
  </si>
  <si>
    <t>Bicycle and Pedestrian Lane Miles of New Infrastructure</t>
  </si>
  <si>
    <t>Public Transportation: Bus Priority Treatment</t>
  </si>
  <si>
    <t>Traffic Operations (intersection Improvements)</t>
  </si>
  <si>
    <t>Transit: Increased Fixed Route Service (VOMS)</t>
  </si>
  <si>
    <t>Public Transportation: Rail (VOMS)</t>
  </si>
  <si>
    <t>Travel Demand Management</t>
  </si>
  <si>
    <t>e_bike_subsidies</t>
  </si>
  <si>
    <t>Roadway expansion</t>
  </si>
  <si>
    <t>Fleet Electrification</t>
  </si>
  <si>
    <t>new_retimed_signal</t>
  </si>
  <si>
    <t>new_roundabouts</t>
  </si>
  <si>
    <t>table_no_ui</t>
  </si>
  <si>
    <t>intermodal_investment</t>
  </si>
  <si>
    <t>Intermodal investment</t>
  </si>
  <si>
    <t>New ports</t>
  </si>
  <si>
    <t>New lane-miles</t>
  </si>
  <si>
    <t>New parking spaces</t>
  </si>
  <si>
    <t>E-bike subsidies</t>
  </si>
  <si>
    <t>covered_employees</t>
  </si>
  <si>
    <t>Covered employees</t>
  </si>
  <si>
    <t>New Vehicles Operating in Maximum Service (VOMS)</t>
  </si>
  <si>
    <t>Miles of bus priority</t>
  </si>
  <si>
    <t>Travel Demand Management (TDM)</t>
  </si>
  <si>
    <t>tab</t>
  </si>
  <si>
    <t>Assumptions</t>
  </si>
  <si>
    <t>Capital_Project_Inputs</t>
  </si>
  <si>
    <t>E-bike cost</t>
  </si>
  <si>
    <t>Subsidy coverage (%)</t>
  </si>
  <si>
    <t>Bike trips per week</t>
  </si>
  <si>
    <t>Average trip length</t>
  </si>
  <si>
    <t>Prior auto mode share</t>
  </si>
  <si>
    <t>Traffic Operations &amp; Roadway Expansion</t>
  </si>
  <si>
    <t>Average AADT</t>
  </si>
  <si>
    <t>VMT per lane-mile</t>
  </si>
  <si>
    <t>Travel speed (MPH)</t>
  </si>
  <si>
    <t>Truck Traffic (%)</t>
  </si>
  <si>
    <t>Miles per vehicle per year</t>
  </si>
  <si>
    <t>unit</t>
  </si>
  <si>
    <t>Utilization (%)</t>
  </si>
  <si>
    <t>Park &amp; Ride</t>
  </si>
  <si>
    <t>Elasticity of vehicle sales w/r/t/ sales</t>
  </si>
  <si>
    <t>Average passenger miles per vehicle (load factor)</t>
  </si>
  <si>
    <t>On-road Vehicle Fuel Economy (MPGGE)</t>
  </si>
  <si>
    <t>Revenue mile per vehicle</t>
  </si>
  <si>
    <t>Bus ridership elasticity w/r/t travel time</t>
  </si>
  <si>
    <t>Bus priority % travel time change</t>
  </si>
  <si>
    <t>Daily buses per route (number)</t>
  </si>
  <si>
    <t>Route-hours affected (%)</t>
  </si>
  <si>
    <t>Routes affected (number)</t>
  </si>
  <si>
    <t>transit_category</t>
  </si>
  <si>
    <t>Bus Priority Factors</t>
  </si>
  <si>
    <t>On-Road Vehicle Fuel Economy</t>
  </si>
  <si>
    <t>Average Trip Length</t>
  </si>
  <si>
    <t>Average Passenger-Mile Per Vehicle</t>
  </si>
  <si>
    <t>Prior drive mode share of new riders</t>
  </si>
  <si>
    <t>Revenue Mile Per Vehicle</t>
  </si>
  <si>
    <t>Onroad Public Transit - Fuel Technology Fraction (Advanced)</t>
  </si>
  <si>
    <t>Bicycle &amp; Pedestrian</t>
  </si>
  <si>
    <t>Cost</t>
  </si>
  <si>
    <t>Traffic Operations (Intersection Improvements)</t>
  </si>
  <si>
    <t>per_mile_onm_cost</t>
  </si>
  <si>
    <t>Operating cost per mile</t>
  </si>
  <si>
    <t>New/Expanded Park &amp; Ride</t>
  </si>
  <si>
    <t>new_spaces</t>
  </si>
  <si>
    <t>cost_per_improvement</t>
  </si>
  <si>
    <t>annual_maintenance_cost</t>
  </si>
  <si>
    <t>Transit: Demand Response Service</t>
  </si>
  <si>
    <t>Transit: Fixed Route Service</t>
  </si>
  <si>
    <t>cost_per_employee</t>
  </si>
  <si>
    <t>Cost per employee</t>
  </si>
  <si>
    <t>State subsidy per e-bike</t>
  </si>
  <si>
    <t>Fuel Price</t>
  </si>
  <si>
    <t>Fuel Price (2022$)</t>
  </si>
  <si>
    <t>dollars_per_gallon</t>
  </si>
  <si>
    <t>dollars_per_kwh</t>
  </si>
  <si>
    <t>dollars_per_gge</t>
  </si>
  <si>
    <t>Electricity</t>
  </si>
  <si>
    <t>Intermodal Freight Investment</t>
  </si>
  <si>
    <t>dollars_per_intermodal_investment</t>
  </si>
  <si>
    <t>Dollars per intermodal freight investment</t>
  </si>
  <si>
    <t>Light Rail</t>
  </si>
  <si>
    <t>energy_source</t>
  </si>
  <si>
    <t>Energy source (Diesel/Electric)</t>
  </si>
  <si>
    <t>Advanced</t>
  </si>
  <si>
    <t>Freight</t>
  </si>
  <si>
    <t>Growth rate</t>
  </si>
  <si>
    <t>Energy intensity (BTU/ton-mile)</t>
  </si>
  <si>
    <t>Construction</t>
  </si>
  <si>
    <t>direct_emissions</t>
  </si>
  <si>
    <t>upstream_emissions</t>
  </si>
  <si>
    <t>Construction and Maintenance</t>
  </si>
  <si>
    <t>Fuel Apportionments</t>
  </si>
  <si>
    <t>phev_miles_on_el</t>
  </si>
  <si>
    <t>% PHEV miles driven on electricity</t>
  </si>
  <si>
    <t>Fuel technology fraction</t>
  </si>
  <si>
    <t>Passenger Cars</t>
  </si>
  <si>
    <t>EV Forecast</t>
  </si>
  <si>
    <t>Custom Forecast: Percent of on-road vehicles that are Evs</t>
  </si>
  <si>
    <t>Custom Forecast: Vehicles Miled Traveled (VMT)</t>
  </si>
  <si>
    <t>VMT Forecast</t>
  </si>
  <si>
    <t>table #</t>
  </si>
  <si>
    <t>Custom Forecast: Percent of on-road vehicles that are EVs</t>
  </si>
  <si>
    <t>Onroad Public Transit - Fuel Technology Fraction</t>
  </si>
  <si>
    <t>vmt_forecast</t>
  </si>
  <si>
    <t>trans_system_scope</t>
  </si>
  <si>
    <t>Default</t>
  </si>
  <si>
    <t>veh_elec_baseline</t>
  </si>
  <si>
    <t>AEO Baseline</t>
  </si>
  <si>
    <t>elec_grid_emissions_net_zero</t>
  </si>
  <si>
    <t>Category</t>
  </si>
  <si>
    <t>Unit</t>
  </si>
  <si>
    <t>Value</t>
  </si>
  <si>
    <t>Area Type</t>
  </si>
  <si>
    <t>Fuel Type</t>
  </si>
  <si>
    <t>Transit Mode</t>
  </si>
  <si>
    <t>facility_type</t>
  </si>
  <si>
    <t>Facility Type</t>
  </si>
  <si>
    <t>charge_port_detail</t>
  </si>
  <si>
    <t>Charging Port Detail</t>
  </si>
  <si>
    <t>Vehicle Type</t>
  </si>
  <si>
    <t>Road Classification</t>
  </si>
  <si>
    <t>description</t>
  </si>
  <si>
    <t>element</t>
  </si>
  <si>
    <t>Element</t>
  </si>
  <si>
    <t>Urban (4,000 - 10,000 ppsm)</t>
  </si>
  <si>
    <t>Suburban (500 - 4,000 ppsm)</t>
  </si>
  <si>
    <t>Annualization</t>
  </si>
  <si>
    <t>Prior drive mode share of new walkers/bikers</t>
  </si>
  <si>
    <t>Average reduction in drive-alone (%)</t>
  </si>
  <si>
    <t>Average work trip length (auto)</t>
  </si>
  <si>
    <t>Commuter Reduction Program</t>
  </si>
  <si>
    <t>Unique units</t>
  </si>
  <si>
    <t>horizon_year_1</t>
  </si>
  <si>
    <t>AmTrak</t>
  </si>
  <si>
    <t>Core ( greater than 10,000 ppsm)</t>
  </si>
  <si>
    <t>Rural ( less than 500 ppsm)</t>
  </si>
  <si>
    <t>mode_service</t>
  </si>
  <si>
    <t>Mode/Service</t>
  </si>
  <si>
    <t>cost_type</t>
  </si>
  <si>
    <t>cap</t>
  </si>
  <si>
    <t>var</t>
  </si>
  <si>
    <t>var1</t>
  </si>
  <si>
    <t>var2</t>
  </si>
  <si>
    <t>table_no_ui_revised</t>
  </si>
  <si>
    <t>Fuel Cost per VRM</t>
  </si>
  <si>
    <t>Cost per Facility Mile</t>
  </si>
  <si>
    <t>Annual Maintenance Cost per Facility Mile</t>
  </si>
  <si>
    <t>O&amp;M Cost per VRM</t>
  </si>
  <si>
    <t>Per Vehicle Capital Cost</t>
  </si>
  <si>
    <t>Annual Maintenance Cost</t>
  </si>
  <si>
    <t>Cost per Improvement</t>
  </si>
  <si>
    <t>Installation Cost per Unit</t>
  </si>
  <si>
    <t>Hardware Cost per Unit</t>
  </si>
  <si>
    <t>Charger Type</t>
  </si>
  <si>
    <t>Cost per Lane Mile</t>
  </si>
  <si>
    <t>Dollars per gallon (2022 $)</t>
  </si>
  <si>
    <t>Dollars per kWh  (2022 $)</t>
  </si>
  <si>
    <t>Dollars per Gasoline Gallon Equivalents (GGE)  (2022 $)</t>
  </si>
  <si>
    <t>Transit Category</t>
  </si>
  <si>
    <t>-</t>
  </si>
  <si>
    <t>intermodal_investment_factor_truck</t>
  </si>
  <si>
    <t>intermodal_investment_factor_rail</t>
  </si>
  <si>
    <t>custom_project</t>
  </si>
  <si>
    <t>Intermodal Investment (Truck)</t>
  </si>
  <si>
    <t>Intermodal Investment (Rail)</t>
  </si>
  <si>
    <t>Passenger Rail - Energy Source</t>
  </si>
  <si>
    <t>Passenger Rail - Average Trip Length</t>
  </si>
  <si>
    <t>Annualization factor</t>
  </si>
  <si>
    <t>veh_subtype</t>
  </si>
  <si>
    <t>Fuel</t>
  </si>
  <si>
    <t>Transit Service Cuts</t>
  </si>
  <si>
    <t>Land Use</t>
  </si>
  <si>
    <t>rezoned_acres</t>
  </si>
  <si>
    <t>$million</t>
  </si>
  <si>
    <t>land_use</t>
  </si>
  <si>
    <t>Land Use Incentives</t>
  </si>
  <si>
    <t>Increase Residential Density</t>
  </si>
  <si>
    <t>Increase Job Density</t>
  </si>
  <si>
    <t>Mixed-Use TOD (higher intensity)</t>
  </si>
  <si>
    <t>Mixed-Use TOD (moderate intensity)</t>
  </si>
  <si>
    <t>Roadway Resurfacing</t>
  </si>
  <si>
    <t>lane_miles_resurfaced</t>
  </si>
  <si>
    <t>reduced_service</t>
  </si>
  <si>
    <t>% of service reduction</t>
  </si>
  <si>
    <t># of lane miles resurfaced</t>
  </si>
  <si>
    <t>dollars</t>
  </si>
  <si>
    <t>Dollars</t>
  </si>
  <si>
    <t># of rezoned acres</t>
  </si>
  <si>
    <t>Million $</t>
  </si>
  <si>
    <t>% Allocated</t>
  </si>
  <si>
    <t>Transit Service Expansion</t>
  </si>
  <si>
    <t>Transit Electrification</t>
  </si>
  <si>
    <t>Total</t>
  </si>
  <si>
    <t>bike_ped_funding</t>
  </si>
  <si>
    <t>transit_service_funding</t>
  </si>
  <si>
    <t>transit_elec_funding</t>
  </si>
  <si>
    <t>tdm_funding</t>
  </si>
  <si>
    <t>micromobility_funding</t>
  </si>
  <si>
    <t>traffic_ops_funding</t>
  </si>
  <si>
    <t>pnr_funding</t>
  </si>
  <si>
    <t>ev_evse_funding</t>
  </si>
  <si>
    <t>freight_funding</t>
  </si>
  <si>
    <t>roadway_exp_funding</t>
  </si>
  <si>
    <t>total_funding</t>
  </si>
  <si>
    <t>funding_summary</t>
  </si>
  <si>
    <t>funding_name</t>
  </si>
  <si>
    <t>perc_allocated</t>
  </si>
  <si>
    <t>Induced travel elasticity w/r/t/ lane mile</t>
  </si>
  <si>
    <t>Induced travel elasticity w/r/t/ travel time</t>
  </si>
  <si>
    <t>Capital Cost per Lane Mile</t>
  </si>
  <si>
    <t>Direct emissions (Annual MT CO2e)</t>
  </si>
  <si>
    <t>Upstream emissions (Annual MT CO2e)</t>
  </si>
  <si>
    <t>usd</t>
  </si>
  <si>
    <t>Dollars (2022 $)</t>
  </si>
  <si>
    <t>vmt_per_capita</t>
  </si>
  <si>
    <t>VMT per capita</t>
  </si>
  <si>
    <t>vmt_elasticity_density</t>
  </si>
  <si>
    <t>vmt_per_hh</t>
  </si>
  <si>
    <t>ppl_per_hh</t>
  </si>
  <si>
    <t>vmt_per_emp</t>
  </si>
  <si>
    <t>sq_feet_per_emp</t>
  </si>
  <si>
    <t>Square feet per employee</t>
  </si>
  <si>
    <t>emp_per_acre</t>
  </si>
  <si>
    <t>Employees per acre</t>
  </si>
  <si>
    <t>Units per acre</t>
  </si>
  <si>
    <t>VMT per employee</t>
  </si>
  <si>
    <t>People per household</t>
  </si>
  <si>
    <t>VMT per household</t>
  </si>
  <si>
    <t>VMT elasticity w/r/t density</t>
  </si>
  <si>
    <t>Elasticity of VMT w/r/t residential density</t>
  </si>
  <si>
    <t>Elasticity of VMT w/r/t job density</t>
  </si>
  <si>
    <t>Square feet of building space per employee</t>
  </si>
  <si>
    <t>Employees per acre at 1.0 FAR</t>
  </si>
  <si>
    <t>units_per_ac</t>
  </si>
  <si>
    <t>Suburban density</t>
  </si>
  <si>
    <t>Work annualization factor</t>
  </si>
  <si>
    <t>Work trip length</t>
  </si>
  <si>
    <t>Work VMT per employee</t>
  </si>
  <si>
    <t>VMT per capita: Urban (Low VMT)</t>
  </si>
  <si>
    <t>VMT per capita: Suburban (High VMT)</t>
  </si>
  <si>
    <t>$ per household shifted</t>
  </si>
  <si>
    <t>mhdv_funding</t>
  </si>
  <si>
    <t>land_use_factor</t>
  </si>
  <si>
    <t>No</t>
  </si>
  <si>
    <t>Urban density</t>
  </si>
  <si>
    <t>TOD density - higher</t>
  </si>
  <si>
    <t>TOD density - lower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</si>
  <si>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</si>
  <si>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</si>
  <si>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</si>
  <si>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</si>
  <si>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</si>
  <si>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</si>
  <si>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</si>
  <si>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</si>
  <si>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</si>
  <si>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</si>
  <si>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</si>
  <si>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</si>
  <si>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</si>
  <si>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</si>
  <si>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</si>
  <si>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</si>
  <si>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</si>
  <si>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</si>
  <si>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</si>
  <si>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</si>
  <si>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</si>
  <si>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</si>
  <si>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</si>
  <si>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</si>
  <si>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</si>
  <si>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</si>
  <si>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</si>
  <si>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</si>
  <si>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</si>
  <si>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</si>
  <si>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</si>
  <si>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3.5</t>
  </si>
  <si>
    <t>3.6</t>
  </si>
  <si>
    <t>5.1</t>
  </si>
  <si>
    <t>6.1</t>
  </si>
  <si>
    <t>6.2</t>
  </si>
  <si>
    <t>6.3</t>
  </si>
  <si>
    <t>6.4</t>
  </si>
  <si>
    <t>7.1</t>
  </si>
  <si>
    <t>8.1</t>
  </si>
  <si>
    <t>9.1</t>
  </si>
  <si>
    <t>9.2</t>
  </si>
  <si>
    <t>9.3</t>
  </si>
  <si>
    <t>9.4</t>
  </si>
  <si>
    <t>10.1</t>
  </si>
  <si>
    <t>10.2</t>
  </si>
  <si>
    <t>10.3</t>
  </si>
  <si>
    <t>10.4</t>
  </si>
  <si>
    <t>10.5</t>
  </si>
  <si>
    <t>11.1</t>
  </si>
  <si>
    <t>12.1</t>
  </si>
  <si>
    <t>12.2</t>
  </si>
  <si>
    <t>12.3</t>
  </si>
  <si>
    <t>12.4</t>
  </si>
  <si>
    <t>12.5</t>
  </si>
  <si>
    <t>12.6</t>
  </si>
  <si>
    <t>13.1</t>
  </si>
  <si>
    <t>14.2</t>
  </si>
  <si>
    <t>14.3</t>
  </si>
  <si>
    <t>14.4</t>
  </si>
  <si>
    <t>16.1</t>
  </si>
  <si>
    <t>16.2</t>
  </si>
  <si>
    <t>16.3</t>
  </si>
  <si>
    <t>16.4</t>
  </si>
  <si>
    <t>16.5</t>
  </si>
  <si>
    <t>16.6</t>
  </si>
  <si>
    <t>16.7</t>
  </si>
  <si>
    <t>17.1</t>
  </si>
  <si>
    <t>-1</t>
  </si>
  <si>
    <t>12.7</t>
  </si>
  <si>
    <t>14.1</t>
  </si>
  <si>
    <t>$</t>
  </si>
  <si>
    <t>Grouped Projects</t>
  </si>
  <si>
    <t>Relation to Project Tab</t>
  </si>
  <si>
    <t>Scenario1</t>
  </si>
  <si>
    <t>Scenario2</t>
  </si>
  <si>
    <t>Projects 1</t>
  </si>
  <si>
    <t>Projects 2, Projects 3, Projects 5, Projects 6</t>
  </si>
  <si>
    <t>Projects 8</t>
  </si>
  <si>
    <t>Projects 7</t>
  </si>
  <si>
    <t>Projects 11</t>
  </si>
  <si>
    <t>MD/HD Truck Replacement</t>
  </si>
  <si>
    <t>Projects 10</t>
  </si>
  <si>
    <t>Electric Vehicle Charging Infraucture</t>
  </si>
  <si>
    <t>Projects 12</t>
  </si>
  <si>
    <t>Projects 13</t>
  </si>
  <si>
    <t>Projects 9</t>
  </si>
  <si>
    <t>Projects 14</t>
  </si>
  <si>
    <t>Projects 15</t>
  </si>
  <si>
    <t>Projects 16</t>
  </si>
  <si>
    <t>Projects 17</t>
  </si>
  <si>
    <t>include_rail</t>
  </si>
  <si>
    <t>Medium- and Heavy-Duty Vehicle Replacement</t>
  </si>
  <si>
    <t>Land Use Multiplier</t>
  </si>
  <si>
    <t>multiplier</t>
  </si>
  <si>
    <t>VMT increase</t>
  </si>
  <si>
    <t>budget_start_year</t>
  </si>
  <si>
    <t>budget_years_covered</t>
  </si>
  <si>
    <t>budget_total</t>
  </si>
  <si>
    <t>Transit: Fleet Electrification</t>
  </si>
  <si>
    <t>Park-and-Ride</t>
  </si>
  <si>
    <t>Charging Infrastructure and EV Incentives</t>
  </si>
  <si>
    <t>transit_dr_funding</t>
  </si>
  <si>
    <t>bus_priority_funding</t>
  </si>
  <si>
    <t>rail_funding</t>
  </si>
  <si>
    <t>roadway_resurfacing</t>
  </si>
  <si>
    <t>Medium-Duty Trucks</t>
  </si>
  <si>
    <t>Heavy-Duty Trucks</t>
  </si>
  <si>
    <t>Light-Duty Trucks</t>
  </si>
  <si>
    <t>Light-Duty EV Incentives</t>
  </si>
  <si>
    <t>Light-Duty Truck</t>
  </si>
  <si>
    <t>Medium-Duty Truck</t>
  </si>
  <si>
    <t>Heavy-Duty Truck</t>
  </si>
  <si>
    <t>Budget No.</t>
  </si>
  <si>
    <t>x</t>
  </si>
  <si>
    <t>Bicycle &amp; Pedestrian Lane Miles of New Infrastructure</t>
  </si>
  <si>
    <t>Medium- and Heavy-Duty Vehicle (MHDV) Replacement</t>
  </si>
  <si>
    <t>Park-and-Ride Projects</t>
  </si>
  <si>
    <t>Traffic Operations - Intersection Improvements</t>
  </si>
  <si>
    <t>per_hh_shifted</t>
  </si>
  <si>
    <t>Concept</t>
  </si>
  <si>
    <t>UI #</t>
  </si>
  <si>
    <t>budget</t>
  </si>
  <si>
    <t>projects</t>
  </si>
  <si>
    <t>costs</t>
  </si>
  <si>
    <t>Projects 4</t>
  </si>
  <si>
    <t>Count</t>
  </si>
  <si>
    <t>Funding Summary (Based on inputs provided in Budget Tables 1-15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</si>
</sst>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"/>
    <numFmt numFmtId="165" formatCode="0.000000"/>
    <numFmt numFmtId="166" formatCode="0.0000"/>
    <numFmt numFmtId="167" formatCode="#,##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Segoe UI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rgb="FFDCBE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DCBE22"/>
      </left>
      <right/>
      <top style="medium">
        <color rgb="FFDCBE22"/>
      </top>
      <bottom style="medium">
        <color rgb="FFDCBE22"/>
      </bottom>
      <diagonal/>
    </border>
    <border>
      <left/>
      <right/>
      <top style="medium">
        <color rgb="FFDCBE22"/>
      </top>
      <bottom style="medium">
        <color rgb="FFDCBE22"/>
      </bottom>
      <diagonal/>
    </border>
    <border>
      <left/>
      <right style="medium">
        <color rgb="FFDCBE22"/>
      </right>
      <top style="medium">
        <color rgb="FFDCBE22"/>
      </top>
      <bottom style="medium">
        <color rgb="FFDCBE22"/>
      </bottom>
      <diagonal/>
    </border>
    <border>
      <left style="medium">
        <color rgb="FFDCBE22"/>
      </left>
      <right style="medium">
        <color rgb="FFDCBE22"/>
      </right>
      <top style="medium">
        <color rgb="FFDCBE22"/>
      </top>
      <bottom style="medium">
        <color rgb="FFDCBE2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1" fontId="0" fillId="0" borderId="0" xfId="0" applyNumberFormat="1"/>
    <xf numFmtId="1" fontId="2" fillId="0" borderId="0" xfId="1" applyNumberFormat="1" applyFont="1"/>
    <xf numFmtId="0" fontId="0" fillId="3" borderId="0" xfId="0" applyFill="1"/>
    <xf numFmtId="0" fontId="3" fillId="3" borderId="0" xfId="0" applyFont="1" applyFill="1"/>
    <xf numFmtId="0" fontId="0" fillId="0" borderId="0" xfId="0" quotePrefix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/>
    <xf numFmtId="49" fontId="0" fillId="2" borderId="0" xfId="0" applyNumberFormat="1" applyFill="1"/>
    <xf numFmtId="49" fontId="0" fillId="0" borderId="0" xfId="0" applyNumberFormat="1"/>
    <xf numFmtId="49" fontId="0" fillId="5" borderId="0" xfId="0" applyNumberFormat="1" applyFill="1"/>
    <xf numFmtId="49" fontId="0" fillId="3" borderId="0" xfId="0" applyNumberFormat="1" applyFill="1"/>
    <xf numFmtId="49" fontId="0" fillId="0" borderId="0" xfId="0" quotePrefix="1" applyNumberFormat="1"/>
    <xf numFmtId="0" fontId="0" fillId="7" borderId="1" xfId="0" applyFill="1" applyBorder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8" borderId="0" xfId="0" applyFill="1"/>
    <xf numFmtId="0" fontId="7" fillId="9" borderId="6" xfId="0" applyFont="1" applyFill="1" applyBorder="1" applyAlignment="1">
      <alignment vertical="center"/>
    </xf>
    <xf numFmtId="0" fontId="7" fillId="9" borderId="7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 vertical="center"/>
    </xf>
    <xf numFmtId="49" fontId="5" fillId="0" borderId="0" xfId="0" quotePrefix="1" applyNumberFormat="1" applyFont="1"/>
    <xf numFmtId="0" fontId="5" fillId="11" borderId="0" xfId="0" applyFont="1" applyFill="1"/>
    <xf numFmtId="0" fontId="0" fillId="11" borderId="0" xfId="0" applyFill="1"/>
    <xf numFmtId="2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4" fontId="5" fillId="4" borderId="0" xfId="0" applyNumberFormat="1" applyFont="1" applyFill="1"/>
    <xf numFmtId="2" fontId="5" fillId="4" borderId="0" xfId="0" applyNumberFormat="1" applyFont="1" applyFill="1"/>
    <xf numFmtId="166" fontId="0" fillId="0" borderId="0" xfId="0" applyNumberFormat="1"/>
    <xf numFmtId="167" fontId="3" fillId="12" borderId="0" xfId="0" applyNumberFormat="1" applyFont="1" applyFill="1"/>
  </cellXfs>
  <cellStyles count="2">
    <cellStyle name="Comma 2" xfId="1" xr:uid="{FD569F20-4BBB-467F-AADF-315D8A75F8BC}"/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msys-my.sharepoint.com/personal/cporter_camsys_com/Documents/Documents/Library/Energy_&amp;_GHG/Analysis%20Methods/ICE%20Tool/ICE%20v2.0.2%20Fina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msys.sharepoint.com/sites/PROJGeorgetown-TCI200020/Shared%20Documents/General/Prioritization/Tool/TEACART_v1.11_rshiny.xlsx" TargetMode="External"/><Relationship Id="rId1" Type="http://schemas.openxmlformats.org/officeDocument/2006/relationships/externalLinkPath" Target="https://camsys.sharepoint.com/sites/PROJGeorgetown-TCI200020/Shared%20Documents/General/Prioritization/Tool/TEACART_v1.11_rshi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hiny"/>
      <sheetName val="Cover"/>
      <sheetName val="ReadMe"/>
      <sheetName val="Terms and Navigation"/>
      <sheetName val="VMT_Type_Tech_NHS"/>
      <sheetName val="Key Inputs"/>
      <sheetName val="Capital Project Inputs"/>
      <sheetName val="Budget"/>
      <sheetName val="Strategy Parameters"/>
      <sheetName val="Cost Parameters"/>
      <sheetName val="Cost Parameters_pre"/>
      <sheetName val="Baseline Parameters"/>
      <sheetName val="EVSE"/>
      <sheetName val="MDHD"/>
      <sheetName val="HPMS_Data"/>
      <sheetName val="Lookups"/>
      <sheetName val="RoadwayExp"/>
      <sheetName val="Cost Effectiveness (2)"/>
      <sheetName val="Strategy Summary"/>
      <sheetName val="Scenario and Strategy Summary"/>
      <sheetName val="Baseline GHG Forecast"/>
      <sheetName val="Emissions Base"/>
      <sheetName val="Resurfacing"/>
      <sheetName val="LandUse"/>
      <sheetName val="OPS"/>
      <sheetName val="Micro"/>
      <sheetName val="Fuel Factors"/>
      <sheetName val="Freight"/>
      <sheetName val="VMT_Type_Tech_BASE"/>
      <sheetName val="FuelEcon"/>
      <sheetName val="Transit_Service"/>
      <sheetName val="Cost Effectiveness"/>
      <sheetName val="Cost_TimeSeries"/>
      <sheetName val="Freight_Rail"/>
      <sheetName val="Passenger_Rail"/>
      <sheetName val="Public Transit"/>
      <sheetName val="Electricity_EmRate"/>
      <sheetName val="EmRate_by_Tech"/>
      <sheetName val="Em_OnRoad_BASE"/>
      <sheetName val="Transit_Elec"/>
      <sheetName val="Scenario Testing"/>
      <sheetName val="Transit_ServiceCuts"/>
      <sheetName val="AEO_VMT_Base"/>
      <sheetName val="VMT_State_Allocation"/>
      <sheetName val="VMT Forecast"/>
      <sheetName val="VMT_NHS"/>
      <sheetName val="Custom Project Inputs"/>
      <sheetName val="Bicycle and Pedestrian"/>
      <sheetName val="TDM"/>
      <sheetName val="EV Forecast"/>
      <sheetName val="State_Population"/>
      <sheetName val="TechFrac"/>
      <sheetName val="Stock_Type_Tech_BASE"/>
      <sheetName val="Transit Cost Data"/>
      <sheetName val="ParkNRide"/>
      <sheetName val="Custom"/>
      <sheetName val="FuelPrices"/>
      <sheetName val="EmRate_Multipliers"/>
      <sheetName val="Em_OnRoad_NHS"/>
      <sheetName val="Sources"/>
      <sheetName val="NTD_Serv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C4" t="str">
            <v>Maryland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4">
          <cell r="A4" t="str">
            <v>Alaska</v>
          </cell>
          <cell r="B4">
            <v>3.7519999999999998</v>
          </cell>
          <cell r="E4">
            <v>3.996</v>
          </cell>
        </row>
        <row r="5">
          <cell r="A5" t="str">
            <v>Alabama</v>
          </cell>
          <cell r="B5">
            <v>2.802</v>
          </cell>
          <cell r="E5">
            <v>3.4529999999999998</v>
          </cell>
        </row>
        <row r="6">
          <cell r="A6" t="str">
            <v>Arkansas</v>
          </cell>
          <cell r="B6">
            <v>2.8029999999999999</v>
          </cell>
          <cell r="E6">
            <v>3.3809999999999998</v>
          </cell>
        </row>
        <row r="7">
          <cell r="A7" t="str">
            <v>Arizona</v>
          </cell>
          <cell r="B7">
            <v>3.214</v>
          </cell>
          <cell r="E7">
            <v>3.6520000000000001</v>
          </cell>
        </row>
        <row r="8">
          <cell r="A8" t="str">
            <v>California</v>
          </cell>
          <cell r="B8">
            <v>4.5140000000000002</v>
          </cell>
          <cell r="E8">
            <v>5.19</v>
          </cell>
        </row>
        <row r="9">
          <cell r="A9" t="str">
            <v>Colorado</v>
          </cell>
          <cell r="B9">
            <v>3.048</v>
          </cell>
          <cell r="E9">
            <v>3.4249999999999998</v>
          </cell>
        </row>
        <row r="10">
          <cell r="A10" t="str">
            <v>Connecticut</v>
          </cell>
          <cell r="B10">
            <v>3.1360000000000001</v>
          </cell>
          <cell r="E10">
            <v>3.8140000000000001</v>
          </cell>
        </row>
        <row r="11">
          <cell r="A11" t="str">
            <v>District of Columbia</v>
          </cell>
          <cell r="B11">
            <v>3.3330000000000002</v>
          </cell>
          <cell r="E11">
            <v>3.83</v>
          </cell>
        </row>
        <row r="12">
          <cell r="A12" t="str">
            <v>Delaware</v>
          </cell>
          <cell r="B12">
            <v>3.1070000000000002</v>
          </cell>
          <cell r="E12">
            <v>3.7639999999999998</v>
          </cell>
        </row>
        <row r="13">
          <cell r="A13" t="str">
            <v>Florida</v>
          </cell>
          <cell r="B13">
            <v>3.0830000000000002</v>
          </cell>
          <cell r="E13">
            <v>3.7240000000000002</v>
          </cell>
        </row>
        <row r="14">
          <cell r="A14" t="str">
            <v>Georgia</v>
          </cell>
          <cell r="B14">
            <v>2.9209999999999998</v>
          </cell>
          <cell r="E14">
            <v>3.5950000000000002</v>
          </cell>
        </row>
        <row r="15">
          <cell r="A15" t="str">
            <v>Hawaii</v>
          </cell>
          <cell r="B15">
            <v>4.476</v>
          </cell>
          <cell r="E15">
            <v>5.2610000000000001</v>
          </cell>
        </row>
        <row r="16">
          <cell r="A16" t="str">
            <v>Iowa</v>
          </cell>
          <cell r="B16">
            <v>2.93</v>
          </cell>
          <cell r="E16">
            <v>3.5329999999999999</v>
          </cell>
        </row>
        <row r="17">
          <cell r="A17" t="str">
            <v>Idaho</v>
          </cell>
          <cell r="B17">
            <v>3.48</v>
          </cell>
          <cell r="E17">
            <v>3.9279999999999999</v>
          </cell>
        </row>
        <row r="18">
          <cell r="A18" t="str">
            <v>Illinois</v>
          </cell>
          <cell r="B18">
            <v>3.452</v>
          </cell>
          <cell r="E18">
            <v>3.7690000000000001</v>
          </cell>
        </row>
        <row r="19">
          <cell r="A19" t="str">
            <v>Indiana</v>
          </cell>
          <cell r="B19">
            <v>3.1619999999999999</v>
          </cell>
          <cell r="E19">
            <v>3.802</v>
          </cell>
        </row>
        <row r="20">
          <cell r="A20" t="str">
            <v>Kansas</v>
          </cell>
          <cell r="B20">
            <v>2.871</v>
          </cell>
          <cell r="E20">
            <v>3.4390000000000001</v>
          </cell>
        </row>
        <row r="21">
          <cell r="A21" t="str">
            <v>Kentucky</v>
          </cell>
          <cell r="B21">
            <v>2.8530000000000002</v>
          </cell>
          <cell r="E21">
            <v>3.403</v>
          </cell>
        </row>
        <row r="22">
          <cell r="A22" t="str">
            <v>Louisiana</v>
          </cell>
          <cell r="B22">
            <v>2.7949999999999999</v>
          </cell>
          <cell r="E22">
            <v>3.3410000000000002</v>
          </cell>
        </row>
        <row r="23">
          <cell r="A23" t="str">
            <v>Massachusetts</v>
          </cell>
          <cell r="B23">
            <v>3.0590000000000002</v>
          </cell>
          <cell r="E23">
            <v>3.859</v>
          </cell>
        </row>
        <row r="24">
          <cell r="A24" t="str">
            <v>Maryland</v>
          </cell>
          <cell r="B24">
            <v>3.16</v>
          </cell>
          <cell r="E24">
            <v>3.7759999999999998</v>
          </cell>
        </row>
        <row r="25">
          <cell r="A25" t="str">
            <v>Maine</v>
          </cell>
          <cell r="B25">
            <v>3.08</v>
          </cell>
          <cell r="E25">
            <v>3.89</v>
          </cell>
        </row>
        <row r="26">
          <cell r="A26" t="str">
            <v>Michigan</v>
          </cell>
          <cell r="B26">
            <v>3.2170000000000001</v>
          </cell>
          <cell r="E26">
            <v>3.7309999999999999</v>
          </cell>
        </row>
        <row r="27">
          <cell r="A27" t="str">
            <v>Minnesota</v>
          </cell>
          <cell r="B27">
            <v>3.024</v>
          </cell>
          <cell r="E27">
            <v>3.6179999999999999</v>
          </cell>
        </row>
        <row r="28">
          <cell r="A28" t="str">
            <v>Missouri</v>
          </cell>
          <cell r="B28">
            <v>2.8580000000000001</v>
          </cell>
          <cell r="E28">
            <v>3.395</v>
          </cell>
        </row>
        <row r="29">
          <cell r="A29" t="str">
            <v>Mississippi</v>
          </cell>
          <cell r="B29">
            <v>2.7160000000000002</v>
          </cell>
          <cell r="E29">
            <v>3.298</v>
          </cell>
        </row>
        <row r="30">
          <cell r="A30" t="str">
            <v>Montana</v>
          </cell>
          <cell r="B30">
            <v>3.262</v>
          </cell>
          <cell r="E30">
            <v>3.649</v>
          </cell>
        </row>
        <row r="31">
          <cell r="A31" t="str">
            <v>North Carolina</v>
          </cell>
          <cell r="B31">
            <v>2.9060000000000001</v>
          </cell>
          <cell r="E31">
            <v>3.5350000000000001</v>
          </cell>
        </row>
        <row r="32">
          <cell r="A32" t="str">
            <v>North Dakota</v>
          </cell>
          <cell r="B32">
            <v>2.9159999999999999</v>
          </cell>
          <cell r="E32">
            <v>3.4239999999999999</v>
          </cell>
        </row>
        <row r="33">
          <cell r="A33" t="str">
            <v>Nebraska</v>
          </cell>
          <cell r="B33">
            <v>2.9830000000000001</v>
          </cell>
          <cell r="E33">
            <v>3.431</v>
          </cell>
        </row>
        <row r="34">
          <cell r="A34" t="str">
            <v>New Hampshire</v>
          </cell>
          <cell r="B34">
            <v>3.0049999999999999</v>
          </cell>
          <cell r="E34">
            <v>3.82</v>
          </cell>
        </row>
        <row r="35">
          <cell r="A35" t="str">
            <v>New Jersey</v>
          </cell>
          <cell r="B35">
            <v>3.0739999999999998</v>
          </cell>
          <cell r="E35">
            <v>3.6960000000000002</v>
          </cell>
        </row>
        <row r="36">
          <cell r="A36" t="str">
            <v>New Mexico</v>
          </cell>
          <cell r="B36">
            <v>2.87</v>
          </cell>
          <cell r="E36">
            <v>3.4409999999999998</v>
          </cell>
        </row>
        <row r="37">
          <cell r="A37" t="str">
            <v>Nevada</v>
          </cell>
          <cell r="B37">
            <v>3.766</v>
          </cell>
          <cell r="E37">
            <v>3.9649999999999999</v>
          </cell>
        </row>
        <row r="38">
          <cell r="A38" t="str">
            <v>New York</v>
          </cell>
          <cell r="B38">
            <v>3.1859999999999999</v>
          </cell>
          <cell r="E38">
            <v>3.9289999999999998</v>
          </cell>
        </row>
        <row r="39">
          <cell r="A39" t="str">
            <v>Ohio</v>
          </cell>
          <cell r="B39">
            <v>2.9860000000000002</v>
          </cell>
          <cell r="E39">
            <v>3.7080000000000002</v>
          </cell>
        </row>
        <row r="40">
          <cell r="A40" t="str">
            <v>Oklahoma</v>
          </cell>
          <cell r="B40">
            <v>2.746</v>
          </cell>
          <cell r="E40">
            <v>3.278</v>
          </cell>
        </row>
        <row r="41">
          <cell r="A41" t="str">
            <v>Oregon</v>
          </cell>
          <cell r="B41">
            <v>3.9990000000000001</v>
          </cell>
          <cell r="E41">
            <v>4.5</v>
          </cell>
        </row>
        <row r="42">
          <cell r="A42" t="str">
            <v>Pennsylvania</v>
          </cell>
          <cell r="B42">
            <v>3.2480000000000002</v>
          </cell>
          <cell r="E42">
            <v>4.0220000000000002</v>
          </cell>
        </row>
        <row r="43">
          <cell r="A43" t="str">
            <v>Rhode Island</v>
          </cell>
          <cell r="B43">
            <v>3.0350000000000001</v>
          </cell>
          <cell r="E43">
            <v>3.8050000000000002</v>
          </cell>
        </row>
        <row r="44">
          <cell r="A44" t="str">
            <v>South Carolina</v>
          </cell>
          <cell r="B44">
            <v>2.8530000000000002</v>
          </cell>
          <cell r="E44">
            <v>3.5070000000000001</v>
          </cell>
        </row>
        <row r="45">
          <cell r="A45" t="str">
            <v>South Dakota</v>
          </cell>
          <cell r="B45">
            <v>3.0030000000000001</v>
          </cell>
          <cell r="E45">
            <v>3.3610000000000002</v>
          </cell>
        </row>
        <row r="46">
          <cell r="A46" t="str">
            <v>Tennessee</v>
          </cell>
          <cell r="B46">
            <v>2.7810000000000001</v>
          </cell>
          <cell r="E46">
            <v>3.4350000000000001</v>
          </cell>
        </row>
        <row r="47">
          <cell r="A47" t="str">
            <v>Texas</v>
          </cell>
          <cell r="B47">
            <v>2.7869999999999999</v>
          </cell>
          <cell r="E47">
            <v>3.2639999999999998</v>
          </cell>
        </row>
        <row r="48">
          <cell r="A48" t="str">
            <v>Utah</v>
          </cell>
          <cell r="B48">
            <v>3.3780000000000001</v>
          </cell>
          <cell r="E48">
            <v>3.7090000000000001</v>
          </cell>
        </row>
        <row r="49">
          <cell r="A49" t="str">
            <v>Virginia</v>
          </cell>
          <cell r="B49">
            <v>3.0019999999999998</v>
          </cell>
          <cell r="E49">
            <v>3.6339999999999999</v>
          </cell>
        </row>
        <row r="50">
          <cell r="A50" t="str">
            <v>Vermont</v>
          </cell>
          <cell r="B50">
            <v>3.1</v>
          </cell>
          <cell r="E50">
            <v>3.8530000000000002</v>
          </cell>
        </row>
        <row r="51">
          <cell r="A51" t="str">
            <v>Washington</v>
          </cell>
          <cell r="B51">
            <v>4.3949999999999996</v>
          </cell>
          <cell r="E51">
            <v>5.0220000000000002</v>
          </cell>
        </row>
        <row r="52">
          <cell r="A52" t="str">
            <v>Wisconsin</v>
          </cell>
          <cell r="B52">
            <v>2.9729999999999999</v>
          </cell>
          <cell r="E52">
            <v>3.5409999999999999</v>
          </cell>
        </row>
        <row r="53">
          <cell r="A53" t="str">
            <v>West Virginia</v>
          </cell>
          <cell r="B53">
            <v>3.0409999999999999</v>
          </cell>
          <cell r="E53">
            <v>3.609</v>
          </cell>
        </row>
        <row r="54">
          <cell r="A54" t="str">
            <v>Wyoming</v>
          </cell>
          <cell r="B54">
            <v>3.1219999999999999</v>
          </cell>
          <cell r="E54">
            <v>3.5880000000000001</v>
          </cell>
        </row>
        <row r="55">
          <cell r="A55" t="str">
            <v>US Total</v>
          </cell>
          <cell r="B55">
            <v>3.162019607843138</v>
          </cell>
          <cell r="E55">
            <v>3.7371176470588225</v>
          </cell>
        </row>
      </sheetData>
      <sheetData sheetId="57" refreshError="1"/>
      <sheetData sheetId="58" refreshError="1"/>
      <sheetData sheetId="59" refreshError="1"/>
      <sheetData sheetId="6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Qi Si" id="{828896A8-05A4-4D1F-B1BC-AAE9C0961953}" userId="S::qsi@camsys.com::53552851-26a3-4c4a-a9fe-21ebcd97ca47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EE18988D-C276-48D1-B028-67BD7AB66C31}" autoFormatId="16" applyNumberFormats="0" applyBorderFormats="0" applyFontFormats="0" applyPatternFormats="0" applyAlignmentFormats="0" applyWidthHeightFormats="0">
  <queryTableRefresh nextId="22">
    <queryTableFields count="15">
      <queryTableField id="1" name="category" tableColumnId="1"/>
      <queryTableField id="15" dataBound="0" tableColumnId="16"/>
      <queryTableField id="21" dataBound="0" tableColumnId="2"/>
      <queryTableField id="13" dataBound="0" tableColumnId="15"/>
      <queryTableField id="3" name="area_type" tableColumnId="3"/>
      <queryTableField id="4" name="cap_proj_type" tableColumnId="4"/>
      <queryTableField id="5" name="DCFC_level" tableColumnId="5"/>
      <queryTableField id="6" name="veh_type" tableColumnId="6"/>
      <queryTableField id="7" name="fuel_type" tableColumnId="7"/>
      <queryTableField id="8" name="road_class" tableColumnId="8"/>
      <queryTableField id="9" name="transit_mode" tableColumnId="9"/>
      <queryTableField id="16" dataBound="0" tableColumnId="12"/>
      <queryTableField id="19" dataBound="0" tableColumnId="13"/>
      <queryTableField id="10" name="Attribute" tableColumnId="10"/>
      <queryTableField id="11" name="Value" tableColumnId="11"/>
    </queryTableFields>
    <queryTableDeletedFields count="1">
      <deletedField name="yea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3B9C00D3-B0DA-4913-8833-2A2BAC1E6E96}" autoFormatId="16" applyNumberFormats="0" applyBorderFormats="0" applyFontFormats="0" applyPatternFormats="0" applyAlignmentFormats="0" applyWidthHeightFormats="0">
  <queryTableRefresh nextId="21">
    <queryTableFields count="15">
      <queryTableField id="1" name="category" tableColumnId="1"/>
      <queryTableField id="15" dataBound="0" tableColumnId="16"/>
      <queryTableField id="13" dataBound="0" tableColumnId="15"/>
      <queryTableField id="2" name="year" tableColumnId="2"/>
      <queryTableField id="3" name="area_type" tableColumnId="3"/>
      <queryTableField id="4" name="cap_proj_type" tableColumnId="4"/>
      <queryTableField id="5" name="DCFC_level" tableColumnId="5"/>
      <queryTableField id="6" name="veh_type" tableColumnId="6"/>
      <queryTableField id="7" name="fuel_type" tableColumnId="7"/>
      <queryTableField id="8" name="road_class" tableColumnId="8"/>
      <queryTableField id="9" name="transit_mode" tableColumnId="9"/>
      <queryTableField id="16" dataBound="0" tableColumnId="12"/>
      <queryTableField id="19" dataBound="0" tableColumnId="13"/>
      <queryTableField id="10" name="Attribute" tableColumnId="10"/>
      <queryTableField id="11" name="Valu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60BB5190-6895-441C-BD79-1E1B38CBEA0D}" autoFormatId="16" applyNumberFormats="0" applyBorderFormats="0" applyFontFormats="0" applyPatternFormats="0" applyAlignmentFormats="0" applyWidthHeightFormats="0">
  <queryTableRefresh nextId="17">
    <queryTableFields count="14">
      <queryTableField id="1" name="category" tableColumnId="1"/>
      <queryTableField id="12" dataBound="0" tableColumnId="12"/>
      <queryTableField id="14" dataBound="0" tableColumnId="14"/>
      <queryTableField id="11" dataBound="0" tableColumnId="11"/>
      <queryTableField id="2" name="road_class" tableColumnId="2"/>
      <queryTableField id="3" name="area_type" tableColumnId="3"/>
      <queryTableField id="4" name="DCFC_level" tableColumnId="4"/>
      <queryTableField id="5" name="fuel_type" tableColumnId="5"/>
      <queryTableField id="6" name="veh_type" tableColumnId="6"/>
      <queryTableField id="7" name="cap_proj_type" tableColumnId="7"/>
      <queryTableField id="8" name="transit_mode" tableColumnId="8"/>
      <queryTableField id="13" dataBound="0" tableColumnId="13"/>
      <queryTableField id="9" name="Attribute" tableColumnId="9"/>
      <queryTableField id="10" name="Value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2" xr16:uid="{0F6A8814-8CA3-40B3-88DB-8D330D287EF7}" autoFormatId="16" applyNumberFormats="0" applyBorderFormats="0" applyFontFormats="0" applyPatternFormats="0" applyAlignmentFormats="0" applyWidthHeightFormats="0">
  <queryTableRefresh nextId="17">
    <queryTableFields count="15">
      <queryTableField id="1" name="category" tableColumnId="1"/>
      <queryTableField id="12" dataBound="0" tableColumnId="12"/>
      <queryTableField id="16" dataBound="0" tableColumnId="15"/>
      <queryTableField id="15" dataBound="0" tableColumnId="14"/>
      <queryTableField id="11" dataBound="0" tableColumnId="11"/>
      <queryTableField id="13" dataBound="0" tableColumnId="13"/>
      <queryTableField id="2" name="area_type" tableColumnId="2"/>
      <queryTableField id="3" name="DCFC_level" tableColumnId="3"/>
      <queryTableField id="4" name="mode_type" tableColumnId="4"/>
      <queryTableField id="5" name="veh_type" tableColumnId="5"/>
      <queryTableField id="6" name="road_class" tableColumnId="6"/>
      <queryTableField id="7" name="transit_mode" tableColumnId="7"/>
      <queryTableField id="8" name="fuel_type" tableColumnId="8"/>
      <queryTableField id="9" name="Attribute" tableColumnId="9"/>
      <queryTableField id="10" name="Value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7398A4-A723-4594-8114-D4CA3B039C54}" name="Table4" displayName="Table4" ref="A1:B106" totalsRowShown="0">
  <autoFilter ref="A1:B106" xr:uid="{577398A4-A723-4594-8114-D4CA3B039C54}"/>
  <tableColumns count="2">
    <tableColumn id="1" xr3:uid="{861521FB-AFE8-41AC-8235-019E62ECC04C}" name="field"/>
    <tableColumn id="2" xr3:uid="{9AA3EF18-92C6-4042-88B2-ADE2AF3DC99E}" name="description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4C8D5B-1BB4-4688-AF99-470DABEA4A9C}" name="Table20" displayName="Table20" ref="A1:P2" totalsRowShown="0">
  <autoFilter ref="A1:P2" xr:uid="{4F426ABF-DCCB-4752-B294-FF261C891BC6}"/>
  <tableColumns count="16">
    <tableColumn id="1" xr3:uid="{BFA24F73-AFFC-4C68-924D-A7EFEBB93783}" name="state"/>
    <tableColumn id="2" xr3:uid="{86E029DC-C8AD-4B29-A751-FA18A1E32745}" name="base_year"/>
    <tableColumn id="7" xr3:uid="{C09662D7-AB21-4D0B-B9A8-985838C49C33}" name="horizon_year_1" dataDxfId="46"/>
    <tableColumn id="8" xr3:uid="{927D12FA-E6E4-40ED-AB5A-2B742A6ED84E}" name="horizon_year_2" dataDxfId="45"/>
    <tableColumn id="3" xr3:uid="{9BEACC32-3B49-40DA-9E88-0B4D191589E2}" name="horizon_year_3" dataDxfId="44"/>
    <tableColumn id="4" xr3:uid="{C62DCC36-03E0-418F-AE14-A35B95B38D48}" name="trans_system_scope"/>
    <tableColumn id="5" xr3:uid="{9EFB240B-D07D-4429-8752-B7A96D3D7BFC}" name="include_electricity"/>
    <tableColumn id="6" xr3:uid="{2F26DC44-C0E0-42AC-9BF6-F8250946863C}" name="include_upstream_fuels"/>
    <tableColumn id="9" xr3:uid="{A6AC7058-A881-4E8F-8B0B-164A477E2D8E}" name="vmt_forecast"/>
    <tableColumn id="10" xr3:uid="{5F4D5870-A9AC-42C9-8E79-9A66E92247C4}" name="veh_elec_baseline"/>
    <tableColumn id="11" xr3:uid="{9B169FDC-14E0-4755-A5B4-8D111D44137B}" name="elec_grid_emissions_net_zero"/>
    <tableColumn id="12" xr3:uid="{487FD470-6BCC-4D15-AECF-1CAC602E2BF9}" name="land_use_factor"/>
    <tableColumn id="13" xr3:uid="{AF289C7D-75C6-4BF7-8537-953B3ADC1CA9}" name="include_rail"/>
    <tableColumn id="14" xr3:uid="{828E83DA-10B5-4674-8894-C32750E53D15}" name="budget_start_year"/>
    <tableColumn id="15" xr3:uid="{4E6A96A2-26A5-4AD7-96F6-AF12CBE82874}" name="budget_years_covered"/>
    <tableColumn id="16" xr3:uid="{49D740E4-4072-43A3-AC0D-F153D53F8600}" name="budget_total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904A78-A5FC-4C30-83E5-F467F9CA2A7F}" name="Capital_Project_Inputs8" displayName="Capital_Project_Inputs8" ref="A1:O79" tableType="queryTable" totalsRowShown="0">
  <autoFilter ref="A1:O79" xr:uid="{68072E4F-E6E1-4BE3-86C3-20AEB7497CCB}"/>
  <tableColumns count="15">
    <tableColumn id="1" xr3:uid="{4759BFC2-B691-4005-A44B-4B676241B3CB}" uniqueName="1" name="category" queryTableFieldId="1" dataDxfId="43"/>
    <tableColumn id="16" xr3:uid="{6BF2F3DB-B4E5-4860-BC70-F50D07C609C7}" uniqueName="16" name="table_no_ui" queryTableFieldId="15"/>
    <tableColumn id="2" xr3:uid="{F44BF43A-D32C-4337-9125-750D2F0683BE}" uniqueName="2" name="table_no_ui_revised" queryTableFieldId="21" dataDxfId="42"/>
    <tableColumn id="15" xr3:uid="{1AF36C04-F8A2-4C23-B502-D4E87D90A9DC}" uniqueName="15" name="table" queryTableFieldId="13"/>
    <tableColumn id="3" xr3:uid="{678D78DF-2397-4F71-A82F-05450A38DBE3}" uniqueName="3" name="area_type" queryTableFieldId="3" dataDxfId="41"/>
    <tableColumn id="4" xr3:uid="{D3BC72C8-E616-41D1-8BDE-C01981E98C50}" uniqueName="4" name="facility_type" queryTableFieldId="4" dataDxfId="40"/>
    <tableColumn id="5" xr3:uid="{DE9B0B81-D03F-40C8-A7E0-2C4566D75915}" uniqueName="5" name="charge_port_detail" queryTableFieldId="5" dataDxfId="39"/>
    <tableColumn id="6" xr3:uid="{E3A69435-F1EF-4BE0-BBA9-51615447AF4D}" uniqueName="6" name="veh_type" queryTableFieldId="6" dataDxfId="38"/>
    <tableColumn id="7" xr3:uid="{7F2818A7-32C5-4448-9EED-3FA1FD5DD888}" uniqueName="7" name="fuel_type" queryTableFieldId="7" dataDxfId="37"/>
    <tableColumn id="8" xr3:uid="{C6B1FBC7-890F-46C4-93DC-44D9BD6628F8}" uniqueName="8" name="road_class" queryTableFieldId="8" dataDxfId="36"/>
    <tableColumn id="9" xr3:uid="{AC4BB92A-649A-46C1-A1B5-A4163A1F715F}" uniqueName="9" name="transit_mode" queryTableFieldId="9" dataDxfId="35"/>
    <tableColumn id="12" xr3:uid="{571966F0-B22F-4654-A1AF-23869D2014EE}" uniqueName="12" name="custom_project" queryTableFieldId="16" dataDxfId="34"/>
    <tableColumn id="13" xr3:uid="{09535CCD-227E-47EA-AFF9-4103517DE5AE}" uniqueName="13" name="land_use" queryTableFieldId="19" dataDxfId="33"/>
    <tableColumn id="10" xr3:uid="{18C4BBE5-FD66-4AF6-ABF4-4F2DF2EE344E}" uniqueName="10" name="unit" queryTableFieldId="10" dataDxfId="32"/>
    <tableColumn id="11" xr3:uid="{DAB94E5E-CF42-453B-968D-C91B2DC5385C}" uniqueName="11" name="value" queryTableFieldId="1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072E4F-E6E1-4BE3-86C3-20AEB7497CCB}" name="Capital_Project_Inputs" displayName="Capital_Project_Inputs" ref="A1:O247" tableType="queryTable" totalsRowShown="0">
  <autoFilter ref="A1:O247" xr:uid="{68072E4F-E6E1-4BE3-86C3-20AEB7497CCB}">
    <filterColumn colId="1">
      <filters>
        <filter val="15"/>
        <filter val="16"/>
        <filter val="17"/>
      </filters>
    </filterColumn>
  </autoFilter>
  <tableColumns count="15">
    <tableColumn id="1" xr3:uid="{744B819E-05F1-41E4-A27E-6DECFD63BF86}" uniqueName="1" name="category" queryTableFieldId="1" dataDxfId="31"/>
    <tableColumn id="16" xr3:uid="{890BEFF7-A9A4-4CFF-A4F0-C90AF3CE3183}" uniqueName="16" name="table_no_ui" queryTableFieldId="15"/>
    <tableColumn id="15" xr3:uid="{D6881A6C-BB6B-40FA-B5D3-1321BC41440F}" uniqueName="15" name="table" queryTableFieldId="13"/>
    <tableColumn id="2" xr3:uid="{981ED663-4F70-46AC-81FD-7F56C0E382D1}" uniqueName="2" name="year" queryTableFieldId="2"/>
    <tableColumn id="3" xr3:uid="{86617F8C-88D4-459B-85FB-82D86881B5D0}" uniqueName="3" name="area_type" queryTableFieldId="3" dataDxfId="30"/>
    <tableColumn id="4" xr3:uid="{B620AAD0-B9A4-4177-8F0E-7C5D0A04C72C}" uniqueName="4" name="facility_type" queryTableFieldId="4" dataDxfId="29"/>
    <tableColumn id="5" xr3:uid="{65B39EA0-1134-49BF-BFF6-CDF5BACD108C}" uniqueName="5" name="charge_port_detail" queryTableFieldId="5" dataDxfId="28"/>
    <tableColumn id="6" xr3:uid="{D91B8D64-EE26-4F7F-B4D8-8621ACF6CD4E}" uniqueName="6" name="veh_type" queryTableFieldId="6" dataDxfId="27"/>
    <tableColumn id="7" xr3:uid="{EF16A9DF-60D7-403C-ABBD-748A320C6274}" uniqueName="7" name="fuel_type" queryTableFieldId="7" dataDxfId="26"/>
    <tableColumn id="8" xr3:uid="{00A1DE04-2630-431D-8192-A33FECA0793E}" uniqueName="8" name="road_class" queryTableFieldId="8" dataDxfId="25"/>
    <tableColumn id="9" xr3:uid="{96FECE33-0AB7-44CD-A867-E27AFFB4C993}" uniqueName="9" name="transit_mode" queryTableFieldId="9" dataDxfId="24"/>
    <tableColumn id="12" xr3:uid="{5915C8E6-C2D3-4BC6-9487-CA12FEAF8596}" uniqueName="12" name="custom_project" queryTableFieldId="16" dataDxfId="23"/>
    <tableColumn id="13" xr3:uid="{875C28AE-AB79-4510-9D5F-E845B3C0D359}" uniqueName="13" name="land_use" queryTableFieldId="19" dataDxfId="22"/>
    <tableColumn id="10" xr3:uid="{733DE83A-6E8B-4EA6-9AF5-EFE496246852}" uniqueName="10" name="unit" queryTableFieldId="10" dataDxfId="21"/>
    <tableColumn id="11" xr3:uid="{8EBFC20E-CADE-4D51-8FED-1A1BA9939FEF}" uniqueName="11" name="valu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BE325-1C6F-4C09-9176-7A99DAB4A822}" name="Cost_Parameters" displayName="Cost_Parameters" ref="A1:N143" tableType="queryTable" totalsRowShown="0">
  <autoFilter ref="A1:N143" xr:uid="{99BBE325-1C6F-4C09-9176-7A99DAB4A822}">
    <filterColumn colId="1">
      <filters>
        <filter val="1"/>
      </filters>
    </filterColumn>
    <filterColumn colId="2">
      <filters>
        <filter val="1.1"/>
        <filter val="1.10"/>
        <filter val="1.11"/>
        <filter val="1.12"/>
        <filter val="1.13"/>
        <filter val="1.14"/>
        <filter val="1.15"/>
        <filter val="1.16"/>
        <filter val="1.17"/>
        <filter val="1.18"/>
        <filter val="1.19"/>
        <filter val="1.2"/>
        <filter val="1.20"/>
        <filter val="1.21"/>
        <filter val="1.3"/>
        <filter val="1.4"/>
        <filter val="1.5"/>
        <filter val="1.6"/>
        <filter val="1.7"/>
        <filter val="1.8"/>
        <filter val="1.9"/>
        <filter val="10.1"/>
        <filter val="10.2"/>
        <filter val="10.3"/>
        <filter val="10.4"/>
        <filter val="10.5"/>
        <filter val="11.1"/>
        <filter val="12.1"/>
        <filter val="12.2"/>
        <filter val="12.3"/>
        <filter val="12.4"/>
        <filter val="12.5"/>
        <filter val="12.6"/>
        <filter val="12.7"/>
        <filter val="13.1"/>
        <filter val="14.1"/>
        <filter val="14.2"/>
        <filter val="14.3"/>
        <filter val="14.4"/>
        <filter val="16.1"/>
        <filter val="16.2"/>
        <filter val="16.3"/>
        <filter val="16.4"/>
        <filter val="16.5"/>
        <filter val="16.6"/>
        <filter val="16.7"/>
        <filter val="17.1"/>
        <filter val="2.1"/>
        <filter val="2.2"/>
        <filter val="2.3"/>
        <filter val="2.4"/>
        <filter val="2.5"/>
        <filter val="2.6"/>
        <filter val="3.1"/>
        <filter val="3.2"/>
        <filter val="3.3"/>
        <filter val="3.4"/>
        <filter val="3.5"/>
        <filter val="3.6"/>
        <filter val="5.1"/>
        <filter val="6.1"/>
        <filter val="6.2"/>
        <filter val="6.3"/>
        <filter val="6.4"/>
        <filter val="7.1"/>
        <filter val="8.1"/>
        <filter val="9.1"/>
        <filter val="9.2"/>
        <filter val="9.3"/>
        <filter val="9.4"/>
      </filters>
    </filterColumn>
  </autoFilter>
  <tableColumns count="14">
    <tableColumn id="1" xr3:uid="{3DD42230-3709-454B-BD0B-FA6259CCBFFB}" uniqueName="1" name="category" queryTableFieldId="1" dataDxfId="20"/>
    <tableColumn id="12" xr3:uid="{51540D11-62CB-4060-9764-BD474BA77EFD}" uniqueName="12" name="table_no_ui" queryTableFieldId="12"/>
    <tableColumn id="14" xr3:uid="{20DF2385-8296-4A29-A6A0-3E082CA00D21}" uniqueName="14" name="table_no_ui_revised" queryTableFieldId="14" dataDxfId="19"/>
    <tableColumn id="11" xr3:uid="{6F8038DF-AC95-4184-BC3C-AC189D73314C}" uniqueName="11" name="table" queryTableFieldId="11"/>
    <tableColumn id="2" xr3:uid="{C18D127F-55B0-4901-B4FB-0ECE3954A02D}" uniqueName="2" name="road_class" queryTableFieldId="2" dataDxfId="18"/>
    <tableColumn id="3" xr3:uid="{2C320ACC-55F9-4140-A2B2-DEDF98996BCA}" uniqueName="3" name="area_type" queryTableFieldId="3" dataDxfId="17"/>
    <tableColumn id="4" xr3:uid="{AC7F2C49-14CA-4996-8271-682F1343288D}" uniqueName="4" name="charge_port_detail" queryTableFieldId="4" dataDxfId="16"/>
    <tableColumn id="5" xr3:uid="{6A8A0521-2C1E-4347-953A-D3775D7F1C43}" uniqueName="5" name="fuel_type" queryTableFieldId="5" dataDxfId="15"/>
    <tableColumn id="6" xr3:uid="{67D964C1-9292-43FF-AC61-B6E3E6E946BF}" uniqueName="6" name="veh_type" queryTableFieldId="6" dataDxfId="14"/>
    <tableColumn id="7" xr3:uid="{E4C68F3F-3359-4B87-8521-F20B6D03FC1D}" uniqueName="7" name="cap_proj_type" queryTableFieldId="7" dataDxfId="13"/>
    <tableColumn id="8" xr3:uid="{54747636-0341-4D9D-BAE4-FAB2EF045F9F}" uniqueName="8" name="transit_mode" queryTableFieldId="8" dataDxfId="12"/>
    <tableColumn id="13" xr3:uid="{5A14BFBA-43D5-4450-98AE-AA583BAA277B}" uniqueName="13" name="cost_type" queryTableFieldId="13" dataDxfId="11"/>
    <tableColumn id="9" xr3:uid="{54500AF0-1791-4CF6-B7C0-40335E914486}" uniqueName="9" name="unit" queryTableFieldId="9" dataDxfId="10"/>
    <tableColumn id="10" xr3:uid="{4708D513-48C8-4731-91FB-04282EBE1580}" uniqueName="10" name="value" queryTableFieldId="10" dataDxfId="9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7C3A8-46EE-44EB-9FBA-E6FC8F755E4E}" name="Assumptions" displayName="Assumptions" ref="A1:O107" tableType="queryTable" totalsRowShown="0">
  <autoFilter ref="A1:O107" xr:uid="{A297C3A8-46EE-44EB-9FBA-E6FC8F755E4E}">
    <filterColumn colId="1">
      <filters>
        <filter val="2"/>
      </filters>
    </filterColumn>
    <filterColumn colId="13">
      <filters>
        <filter val="avg_trip_miles"/>
        <filter val="veh_fuel_economy"/>
      </filters>
    </filterColumn>
  </autoFilter>
  <sortState xmlns:xlrd2="http://schemas.microsoft.com/office/spreadsheetml/2017/richdata2" ref="A2:O107">
    <sortCondition ref="B2:B107"/>
  </sortState>
  <tableColumns count="15">
    <tableColumn id="1" xr3:uid="{4BD1A21D-E3E5-4384-89EB-562B00E4DF63}" uniqueName="1" name="category" queryTableFieldId="1" dataDxfId="8"/>
    <tableColumn id="12" xr3:uid="{CAE29803-1457-47D1-841A-87584BD9CB5B}" uniqueName="12" name="table_no_ui" queryTableFieldId="12"/>
    <tableColumn id="15" xr3:uid="{E4901DC2-215D-41FE-B6CD-2ADF2FF7A5FB}" uniqueName="15" name="table_no_ui_revised" queryTableFieldId="16"/>
    <tableColumn id="14" xr3:uid="{3FE4B116-FCFB-4F6F-9082-EAC260B10F01}" uniqueName="14" name="cost_type" queryTableFieldId="15"/>
    <tableColumn id="11" xr3:uid="{C059B05C-BA80-46D2-AE02-9CBC074084A2}" uniqueName="11" name="table" queryTableFieldId="11"/>
    <tableColumn id="13" xr3:uid="{5744091B-B0A2-46C5-BD43-10930B7C7A73}" uniqueName="13" name="transit_category" queryTableFieldId="13"/>
    <tableColumn id="2" xr3:uid="{E543836E-F07B-43F7-95A1-AC11FA8DE3A2}" uniqueName="2" name="area_type" queryTableFieldId="2" dataDxfId="7"/>
    <tableColumn id="3" xr3:uid="{5BAE7A67-94B0-49B6-9459-27C6915F8CB9}" uniqueName="3" name="charge_port_detail" queryTableFieldId="3" dataDxfId="6"/>
    <tableColumn id="4" xr3:uid="{6485FBC9-3EC7-4BCB-BC6E-9258C767FA56}" uniqueName="4" name="element" queryTableFieldId="4" dataDxfId="5"/>
    <tableColumn id="5" xr3:uid="{8A7C5B7F-E699-49A1-8271-DB8397E82D07}" uniqueName="5" name="veh_type" queryTableFieldId="5" dataDxfId="4"/>
    <tableColumn id="6" xr3:uid="{4DF23E9A-124F-45BA-BE19-7AD648B3F71B}" uniqueName="6" name="road_class" queryTableFieldId="6" dataDxfId="3"/>
    <tableColumn id="7" xr3:uid="{DB5E30D1-BEA1-41DA-84F3-C92DDE82466A}" uniqueName="7" name="transit_mode" queryTableFieldId="7" dataDxfId="2"/>
    <tableColumn id="8" xr3:uid="{8F66E45A-BFB4-40A7-BBB4-A529260C81B4}" uniqueName="8" name="fuel_type" queryTableFieldId="8" dataDxfId="1"/>
    <tableColumn id="9" xr3:uid="{90422CDB-125C-4279-970D-BF19B95DE434}" uniqueName="9" name="unit" queryTableFieldId="9" dataDxfId="0"/>
    <tableColumn id="10" xr3:uid="{94E89E0D-34CF-4D89-A1CE-FCE592ABC3B1}" uniqueName="10" name="value" queryTableField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FFC9DE-11FC-4305-9AA3-ABF57474CF7F}" name="Advanced" displayName="Advanced" ref="A1:P265" totalsRowShown="0">
  <autoFilter ref="A1:P265" xr:uid="{C6FFC9DE-11FC-4305-9AA3-ABF57474CF7F}"/>
  <tableColumns count="16">
    <tableColumn id="1" xr3:uid="{C37C49E9-9645-4C53-9F21-6315E1C2B1AD}" name="category"/>
    <tableColumn id="2" xr3:uid="{5B46CD01-0A6D-470B-A6F5-F9AB7D563F16}" name="table_no_ui"/>
    <tableColumn id="4" xr3:uid="{59D540AA-B10A-4592-B4B6-473C38CCE453}" name="table_no_ui_revised"/>
    <tableColumn id="16" xr3:uid="{742C7C18-7428-4870-BEC8-47AEEEFE3E95}" name="cost_type"/>
    <tableColumn id="3" xr3:uid="{1F3CFBC8-1064-4C08-856A-AA09B9FFD4D5}" name="table"/>
    <tableColumn id="14" xr3:uid="{DF619B1A-EB1E-427A-AB0F-6D09647D3AE6}" name="year"/>
    <tableColumn id="5" xr3:uid="{756B83B6-AB8A-4B48-B9BE-7A7C575E9761}" name="area_type"/>
    <tableColumn id="6" xr3:uid="{BCFA378F-9565-4254-8A6F-713FD126B94F}" name="DCFC_level"/>
    <tableColumn id="7" xr3:uid="{6F52BBBF-3A62-4FB4-84AE-168529F73EEF}" name="mode_type"/>
    <tableColumn id="8" xr3:uid="{8F94DE70-C11D-4D1F-B877-87ABA118B55C}" name="veh_type"/>
    <tableColumn id="15" xr3:uid="{6700B58B-3E5F-4BA2-8F46-33FB0DE73452}" name="mode_service"/>
    <tableColumn id="9" xr3:uid="{53E4A8E2-1612-4853-AF5F-3903E1E91352}" name="road_class"/>
    <tableColumn id="10" xr3:uid="{C20DEC63-2351-428B-992C-3823018907A5}" name="transit_mode"/>
    <tableColumn id="11" xr3:uid="{1F9B9F50-A6C7-4644-87D4-879921B2C4D0}" name="fuel_type"/>
    <tableColumn id="12" xr3:uid="{D3EE596A-B5EA-4315-BAB4-1E4AC4A81942}" name="unit"/>
    <tableColumn id="13" xr3:uid="{229E7FCA-5109-45A3-A15B-AFC3B97FA8DB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2" dT="2025-06-24T16:20:45.73" personId="{828896A8-05A4-4D1F-B1BC-AAE9C0961953}" id="{A0048F40-3169-4EE6-8873-A46DA3FDD1B2}">
    <text>Transit Fixed Route Service?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B6D-E039-4DB5-8DC1-41A1F59E42C1}">
  <sheetPr>
    <tabColor theme="6"/>
  </sheetPr>
  <dimension ref="A1:B106"/>
  <sheetViews>
    <sheetView tabSelected="1" topLeftCell="A72" workbookViewId="0">
      <selection activeCell="B85" sqref="B85"/>
    </sheetView>
  </sheetViews>
  <sheetFormatPr defaultRowHeight="14.4" x14ac:dyDescent="0.3"/>
  <cols>
    <col min="1" max="1" width="33.77734375" bestFit="1" customWidth="1"/>
    <col min="2" max="2" width="49.21875" bestFit="1" customWidth="1"/>
    <col min="3" max="3" width="36.77734375" customWidth="1"/>
    <col min="4" max="4" width="11.5546875" bestFit="1" customWidth="1"/>
    <col min="8" max="8" width="24.77734375" customWidth="1"/>
  </cols>
  <sheetData>
    <row r="1" spans="1:2" x14ac:dyDescent="0.3">
      <c r="A1" t="s">
        <v>87</v>
      </c>
      <c r="B1" t="s">
        <v>248</v>
      </c>
    </row>
    <row r="2" spans="1:2" x14ac:dyDescent="0.3">
      <c r="A2" t="s">
        <v>192</v>
      </c>
      <c r="B2" t="s">
        <v>276</v>
      </c>
    </row>
    <row r="3" spans="1:2" x14ac:dyDescent="0.3">
      <c r="A3" t="s">
        <v>41</v>
      </c>
      <c r="B3" t="s">
        <v>294</v>
      </c>
    </row>
    <row r="4" spans="1:2" x14ac:dyDescent="0.3">
      <c r="A4" t="s">
        <v>1</v>
      </c>
      <c r="B4" t="s">
        <v>239</v>
      </c>
    </row>
    <row r="5" spans="1:2" x14ac:dyDescent="0.3">
      <c r="A5" t="s">
        <v>24</v>
      </c>
      <c r="B5" t="s">
        <v>159</v>
      </c>
    </row>
    <row r="6" spans="1:2" x14ac:dyDescent="0.3">
      <c r="A6" t="s">
        <v>50</v>
      </c>
      <c r="B6" t="s">
        <v>168</v>
      </c>
    </row>
    <row r="7" spans="1:2" x14ac:dyDescent="0.3">
      <c r="A7" t="s">
        <v>39</v>
      </c>
      <c r="B7" t="s">
        <v>255</v>
      </c>
    </row>
    <row r="8" spans="1:2" x14ac:dyDescent="0.3">
      <c r="A8" t="s">
        <v>36</v>
      </c>
      <c r="B8" t="s">
        <v>156</v>
      </c>
    </row>
    <row r="9" spans="1:2" x14ac:dyDescent="0.3">
      <c r="A9" t="s">
        <v>40</v>
      </c>
      <c r="B9" t="s">
        <v>256</v>
      </c>
    </row>
    <row r="10" spans="1:2" x14ac:dyDescent="0.3">
      <c r="A10" t="s">
        <v>35</v>
      </c>
      <c r="B10" t="s">
        <v>155</v>
      </c>
    </row>
    <row r="11" spans="1:2" x14ac:dyDescent="0.3">
      <c r="A11" t="s">
        <v>44</v>
      </c>
      <c r="B11" t="s">
        <v>171</v>
      </c>
    </row>
    <row r="12" spans="1:2" x14ac:dyDescent="0.3">
      <c r="A12" t="s">
        <v>43</v>
      </c>
      <c r="B12" t="s">
        <v>172</v>
      </c>
    </row>
    <row r="13" spans="1:2" x14ac:dyDescent="0.3">
      <c r="A13" t="s">
        <v>90</v>
      </c>
      <c r="B13" t="s">
        <v>243</v>
      </c>
    </row>
    <row r="14" spans="1:2" x14ac:dyDescent="0.3">
      <c r="A14" t="s">
        <v>0</v>
      </c>
      <c r="B14" t="s">
        <v>236</v>
      </c>
    </row>
    <row r="15" spans="1:2" x14ac:dyDescent="0.3">
      <c r="A15" t="s">
        <v>244</v>
      </c>
      <c r="B15" t="s">
        <v>245</v>
      </c>
    </row>
    <row r="16" spans="1:2" x14ac:dyDescent="0.3">
      <c r="A16" t="s">
        <v>195</v>
      </c>
      <c r="B16" t="s">
        <v>196</v>
      </c>
    </row>
    <row r="17" spans="1:2" x14ac:dyDescent="0.3">
      <c r="A17" t="s">
        <v>191</v>
      </c>
      <c r="B17" t="s">
        <v>277</v>
      </c>
    </row>
    <row r="18" spans="1:2" x14ac:dyDescent="0.3">
      <c r="A18" t="s">
        <v>145</v>
      </c>
      <c r="B18" t="s">
        <v>146</v>
      </c>
    </row>
    <row r="19" spans="1:2" x14ac:dyDescent="0.3">
      <c r="A19" t="s">
        <v>46</v>
      </c>
      <c r="B19" t="s">
        <v>173</v>
      </c>
    </row>
    <row r="20" spans="1:2" x14ac:dyDescent="0.3">
      <c r="A20" t="s">
        <v>2</v>
      </c>
      <c r="B20" t="s">
        <v>280</v>
      </c>
    </row>
    <row r="21" spans="1:2" x14ac:dyDescent="0.3">
      <c r="A21" t="s">
        <v>215</v>
      </c>
      <c r="B21" t="s">
        <v>337</v>
      </c>
    </row>
    <row r="22" spans="1:2" x14ac:dyDescent="0.3">
      <c r="A22" t="s">
        <v>312</v>
      </c>
      <c r="B22" t="s">
        <v>313</v>
      </c>
    </row>
    <row r="23" spans="1:2" x14ac:dyDescent="0.3">
      <c r="A23" t="s">
        <v>200</v>
      </c>
      <c r="B23" t="s">
        <v>282</v>
      </c>
    </row>
    <row r="24" spans="1:2" x14ac:dyDescent="0.3">
      <c r="A24" t="s">
        <v>202</v>
      </c>
      <c r="B24" t="s">
        <v>284</v>
      </c>
    </row>
    <row r="25" spans="1:2" x14ac:dyDescent="0.3">
      <c r="A25" t="s">
        <v>205</v>
      </c>
      <c r="B25" t="s">
        <v>206</v>
      </c>
    </row>
    <row r="26" spans="1:2" x14ac:dyDescent="0.3">
      <c r="A26" t="s">
        <v>201</v>
      </c>
      <c r="B26" t="s">
        <v>283</v>
      </c>
    </row>
    <row r="27" spans="1:2" x14ac:dyDescent="0.3">
      <c r="A27" t="s">
        <v>33</v>
      </c>
      <c r="B27" t="s">
        <v>153</v>
      </c>
    </row>
    <row r="28" spans="1:2" x14ac:dyDescent="0.3">
      <c r="A28" t="s">
        <v>133</v>
      </c>
      <c r="B28" t="s">
        <v>144</v>
      </c>
    </row>
    <row r="29" spans="1:2" x14ac:dyDescent="0.3">
      <c r="A29" t="s">
        <v>249</v>
      </c>
      <c r="B29" t="s">
        <v>250</v>
      </c>
    </row>
    <row r="30" spans="1:2" x14ac:dyDescent="0.3">
      <c r="A30" t="s">
        <v>113</v>
      </c>
      <c r="B30" t="s">
        <v>213</v>
      </c>
    </row>
    <row r="31" spans="1:2" x14ac:dyDescent="0.3">
      <c r="A31" t="s">
        <v>208</v>
      </c>
      <c r="B31" t="s">
        <v>209</v>
      </c>
    </row>
    <row r="32" spans="1:2" x14ac:dyDescent="0.3">
      <c r="A32" t="s">
        <v>242</v>
      </c>
      <c r="B32" t="s">
        <v>243</v>
      </c>
    </row>
    <row r="33" spans="1:2" x14ac:dyDescent="0.3">
      <c r="A33" t="s">
        <v>57</v>
      </c>
      <c r="B33" t="s">
        <v>221</v>
      </c>
    </row>
    <row r="34" spans="1:2" x14ac:dyDescent="0.3">
      <c r="A34" t="s">
        <v>7</v>
      </c>
      <c r="B34" t="s">
        <v>240</v>
      </c>
    </row>
    <row r="35" spans="1:2" x14ac:dyDescent="0.3">
      <c r="A35" t="s">
        <v>112</v>
      </c>
      <c r="B35" t="s">
        <v>212</v>
      </c>
    </row>
    <row r="36" spans="1:2" x14ac:dyDescent="0.3">
      <c r="A36" t="s">
        <v>139</v>
      </c>
      <c r="B36" t="s">
        <v>140</v>
      </c>
    </row>
    <row r="37" spans="1:2" x14ac:dyDescent="0.3">
      <c r="A37" t="s">
        <v>288</v>
      </c>
      <c r="B37" t="s">
        <v>291</v>
      </c>
    </row>
    <row r="38" spans="1:2" x14ac:dyDescent="0.3">
      <c r="A38" t="s">
        <v>287</v>
      </c>
      <c r="B38" t="s">
        <v>290</v>
      </c>
    </row>
    <row r="39" spans="1:2" x14ac:dyDescent="0.3">
      <c r="A39" t="s">
        <v>20</v>
      </c>
      <c r="B39" t="s">
        <v>163</v>
      </c>
    </row>
    <row r="40" spans="1:2" x14ac:dyDescent="0.3">
      <c r="A40" t="s">
        <v>73</v>
      </c>
      <c r="B40" t="s">
        <v>148</v>
      </c>
    </row>
    <row r="41" spans="1:2" x14ac:dyDescent="0.3">
      <c r="A41" t="s">
        <v>263</v>
      </c>
      <c r="B41" t="s">
        <v>264</v>
      </c>
    </row>
    <row r="42" spans="1:2" x14ac:dyDescent="0.3">
      <c r="A42" t="s">
        <v>75</v>
      </c>
      <c r="B42" t="s">
        <v>142</v>
      </c>
    </row>
    <row r="43" spans="1:2" x14ac:dyDescent="0.3">
      <c r="A43" t="s">
        <v>71</v>
      </c>
      <c r="B43" t="s">
        <v>141</v>
      </c>
    </row>
    <row r="44" spans="1:2" x14ac:dyDescent="0.3">
      <c r="A44" t="s">
        <v>136</v>
      </c>
      <c r="B44" t="s">
        <v>101</v>
      </c>
    </row>
    <row r="45" spans="1:2" x14ac:dyDescent="0.3">
      <c r="A45" t="s">
        <v>137</v>
      </c>
      <c r="B45" t="s">
        <v>103</v>
      </c>
    </row>
    <row r="46" spans="1:2" x14ac:dyDescent="0.3">
      <c r="A46" t="s">
        <v>190</v>
      </c>
      <c r="B46" t="s">
        <v>143</v>
      </c>
    </row>
    <row r="47" spans="1:2" x14ac:dyDescent="0.3">
      <c r="A47" t="s">
        <v>78</v>
      </c>
      <c r="B47" t="s">
        <v>147</v>
      </c>
    </row>
    <row r="48" spans="1:2" x14ac:dyDescent="0.3">
      <c r="A48" t="s">
        <v>92</v>
      </c>
      <c r="B48" t="s">
        <v>336</v>
      </c>
    </row>
    <row r="49" spans="1:2" x14ac:dyDescent="0.3">
      <c r="A49" t="s">
        <v>93</v>
      </c>
      <c r="B49" t="s">
        <v>281</v>
      </c>
    </row>
    <row r="50" spans="1:2" x14ac:dyDescent="0.3">
      <c r="A50" t="s">
        <v>106</v>
      </c>
      <c r="B50" t="s">
        <v>272</v>
      </c>
    </row>
    <row r="51" spans="1:2" x14ac:dyDescent="0.3">
      <c r="A51" t="s">
        <v>107</v>
      </c>
      <c r="B51" t="s">
        <v>273</v>
      </c>
    </row>
    <row r="52" spans="1:2" x14ac:dyDescent="0.3">
      <c r="A52" t="s">
        <v>187</v>
      </c>
      <c r="B52" t="s">
        <v>188</v>
      </c>
    </row>
    <row r="53" spans="1:2" x14ac:dyDescent="0.3">
      <c r="A53" t="s">
        <v>94</v>
      </c>
      <c r="B53" t="s">
        <v>279</v>
      </c>
    </row>
    <row r="54" spans="1:2" x14ac:dyDescent="0.3">
      <c r="A54" t="s">
        <v>95</v>
      </c>
      <c r="B54" t="s">
        <v>278</v>
      </c>
    </row>
    <row r="55" spans="1:2" x14ac:dyDescent="0.3">
      <c r="A55" t="s">
        <v>100</v>
      </c>
      <c r="B55" t="s">
        <v>275</v>
      </c>
    </row>
    <row r="56" spans="1:2" x14ac:dyDescent="0.3">
      <c r="A56" t="s">
        <v>104</v>
      </c>
      <c r="B56" t="s">
        <v>271</v>
      </c>
    </row>
    <row r="57" spans="1:2" x14ac:dyDescent="0.3">
      <c r="A57" t="s">
        <v>105</v>
      </c>
      <c r="B57" t="s">
        <v>274</v>
      </c>
    </row>
    <row r="58" spans="1:2" x14ac:dyDescent="0.3">
      <c r="A58" t="s">
        <v>219</v>
      </c>
      <c r="B58" t="s">
        <v>220</v>
      </c>
    </row>
    <row r="59" spans="1:2" x14ac:dyDescent="0.3">
      <c r="A59" t="s">
        <v>37</v>
      </c>
      <c r="B59" t="s">
        <v>157</v>
      </c>
    </row>
    <row r="60" spans="1:2" x14ac:dyDescent="0.3">
      <c r="A60" t="s">
        <v>9</v>
      </c>
      <c r="B60" t="s">
        <v>254</v>
      </c>
    </row>
    <row r="61" spans="1:2" x14ac:dyDescent="0.3">
      <c r="A61" t="s">
        <v>72</v>
      </c>
      <c r="B61" t="s">
        <v>122</v>
      </c>
    </row>
    <row r="62" spans="1:2" x14ac:dyDescent="0.3">
      <c r="A62" t="s">
        <v>51</v>
      </c>
      <c r="B62" t="s">
        <v>170</v>
      </c>
    </row>
    <row r="63" spans="1:2" x14ac:dyDescent="0.3">
      <c r="A63" t="s">
        <v>5</v>
      </c>
      <c r="B63" t="s">
        <v>247</v>
      </c>
    </row>
    <row r="64" spans="1:2" x14ac:dyDescent="0.3">
      <c r="A64" t="s">
        <v>47</v>
      </c>
      <c r="B64" t="s">
        <v>174</v>
      </c>
    </row>
    <row r="65" spans="1:2" x14ac:dyDescent="0.3">
      <c r="A65" t="s">
        <v>45</v>
      </c>
      <c r="B65" t="s">
        <v>175</v>
      </c>
    </row>
    <row r="66" spans="1:2" x14ac:dyDescent="0.3">
      <c r="A66" t="s">
        <v>34</v>
      </c>
      <c r="B66" t="s">
        <v>154</v>
      </c>
    </row>
    <row r="67" spans="1:2" x14ac:dyDescent="0.3">
      <c r="A67" t="s">
        <v>126</v>
      </c>
      <c r="B67" t="s">
        <v>500</v>
      </c>
    </row>
    <row r="68" spans="1:2" x14ac:dyDescent="0.3">
      <c r="A68" t="s">
        <v>138</v>
      </c>
      <c r="B68" t="s">
        <v>138</v>
      </c>
    </row>
    <row r="69" spans="1:2" x14ac:dyDescent="0.3">
      <c r="A69" t="s">
        <v>176</v>
      </c>
      <c r="B69" t="s">
        <v>285</v>
      </c>
    </row>
    <row r="70" spans="1:2" x14ac:dyDescent="0.3">
      <c r="A70" t="s">
        <v>6</v>
      </c>
      <c r="B70" t="s">
        <v>241</v>
      </c>
    </row>
    <row r="71" spans="1:2" x14ac:dyDescent="0.3">
      <c r="A71" t="s">
        <v>26</v>
      </c>
      <c r="B71" t="s">
        <v>161</v>
      </c>
    </row>
    <row r="72" spans="1:2" x14ac:dyDescent="0.3">
      <c r="A72" t="s">
        <v>29</v>
      </c>
      <c r="B72" t="s">
        <v>162</v>
      </c>
    </row>
    <row r="73" spans="1:2" x14ac:dyDescent="0.3">
      <c r="A73" t="s">
        <v>164</v>
      </c>
      <c r="B73" t="s">
        <v>237</v>
      </c>
    </row>
    <row r="74" spans="1:2" x14ac:dyDescent="0.3">
      <c r="A74" t="s">
        <v>216</v>
      </c>
      <c r="B74" t="s">
        <v>338</v>
      </c>
    </row>
    <row r="75" spans="1:2" x14ac:dyDescent="0.3">
      <c r="A75" t="s">
        <v>19</v>
      </c>
      <c r="B75" t="s">
        <v>165</v>
      </c>
    </row>
    <row r="76" spans="1:2" x14ac:dyDescent="0.3">
      <c r="A76" t="s">
        <v>88</v>
      </c>
      <c r="B76" t="s">
        <v>238</v>
      </c>
    </row>
    <row r="77" spans="1:2" x14ac:dyDescent="0.3">
      <c r="A77" t="s">
        <v>56</v>
      </c>
      <c r="B77" t="s">
        <v>169</v>
      </c>
    </row>
    <row r="78" spans="1:2" x14ac:dyDescent="0.3">
      <c r="A78" t="s">
        <v>15</v>
      </c>
      <c r="B78" t="s">
        <v>167</v>
      </c>
    </row>
    <row r="79" spans="1:2" x14ac:dyDescent="0.3">
      <c r="A79" t="s">
        <v>295</v>
      </c>
      <c r="B79" t="s">
        <v>296</v>
      </c>
    </row>
    <row r="80" spans="1:2" x14ac:dyDescent="0.3">
      <c r="A80" t="s">
        <v>4</v>
      </c>
      <c r="B80" t="s">
        <v>246</v>
      </c>
    </row>
    <row r="81" spans="1:2" x14ac:dyDescent="0.3">
      <c r="A81" t="s">
        <v>30</v>
      </c>
      <c r="B81" t="s">
        <v>334</v>
      </c>
    </row>
    <row r="82" spans="1:2" x14ac:dyDescent="0.3">
      <c r="A82" t="s">
        <v>31</v>
      </c>
      <c r="B82" t="s">
        <v>335</v>
      </c>
    </row>
    <row r="83" spans="1:2" x14ac:dyDescent="0.3">
      <c r="A83" t="s">
        <v>25</v>
      </c>
      <c r="B83" t="s">
        <v>160</v>
      </c>
    </row>
    <row r="84" spans="1:2" x14ac:dyDescent="0.3">
      <c r="A84" t="s">
        <v>331</v>
      </c>
      <c r="B84" t="s">
        <v>501</v>
      </c>
    </row>
    <row r="85" spans="1:2" x14ac:dyDescent="0.3">
      <c r="A85" t="s">
        <v>333</v>
      </c>
      <c r="B85" t="s">
        <v>316</v>
      </c>
    </row>
    <row r="86" spans="1:2" x14ac:dyDescent="0.3">
      <c r="A86" t="s">
        <v>48</v>
      </c>
      <c r="B86" t="s">
        <v>294</v>
      </c>
    </row>
    <row r="87" spans="1:2" x14ac:dyDescent="0.3">
      <c r="A87" t="s">
        <v>89</v>
      </c>
      <c r="B87" t="s">
        <v>89</v>
      </c>
    </row>
    <row r="88" spans="1:2" x14ac:dyDescent="0.3">
      <c r="A88" t="s">
        <v>301</v>
      </c>
      <c r="B88" t="s">
        <v>298</v>
      </c>
    </row>
    <row r="89" spans="1:2" x14ac:dyDescent="0.3">
      <c r="A89" t="s">
        <v>309</v>
      </c>
      <c r="B89" t="s">
        <v>310</v>
      </c>
    </row>
    <row r="90" spans="1:2" x14ac:dyDescent="0.3">
      <c r="A90" t="s">
        <v>300</v>
      </c>
      <c r="B90" t="s">
        <v>315</v>
      </c>
    </row>
    <row r="91" spans="1:2" x14ac:dyDescent="0.3">
      <c r="A91" t="s">
        <v>299</v>
      </c>
      <c r="B91" t="s">
        <v>314</v>
      </c>
    </row>
    <row r="92" spans="1:2" x14ac:dyDescent="0.3">
      <c r="A92" t="s">
        <v>308</v>
      </c>
      <c r="B92" t="s">
        <v>311</v>
      </c>
    </row>
    <row r="93" spans="1:2" x14ac:dyDescent="0.3">
      <c r="A93" t="s">
        <v>339</v>
      </c>
      <c r="B93" t="s">
        <v>340</v>
      </c>
    </row>
    <row r="94" spans="1:2" x14ac:dyDescent="0.3">
      <c r="A94" t="s">
        <v>341</v>
      </c>
      <c r="B94" t="s">
        <v>342</v>
      </c>
    </row>
    <row r="95" spans="1:2" x14ac:dyDescent="0.3">
      <c r="A95" t="s">
        <v>341</v>
      </c>
      <c r="B95" t="s">
        <v>342</v>
      </c>
    </row>
    <row r="96" spans="1:2" x14ac:dyDescent="0.3">
      <c r="A96" t="s">
        <v>343</v>
      </c>
      <c r="B96" t="s">
        <v>355</v>
      </c>
    </row>
    <row r="97" spans="1:2" x14ac:dyDescent="0.3">
      <c r="A97" t="s">
        <v>343</v>
      </c>
      <c r="B97" t="s">
        <v>355</v>
      </c>
    </row>
    <row r="98" spans="1:2" x14ac:dyDescent="0.3">
      <c r="A98" t="s">
        <v>344</v>
      </c>
      <c r="B98" t="s">
        <v>354</v>
      </c>
    </row>
    <row r="99" spans="1:2" x14ac:dyDescent="0.3">
      <c r="A99" t="s">
        <v>345</v>
      </c>
      <c r="B99" t="s">
        <v>353</v>
      </c>
    </row>
    <row r="100" spans="1:2" x14ac:dyDescent="0.3">
      <c r="A100" t="s">
        <v>346</v>
      </c>
      <c r="B100" t="s">
        <v>352</v>
      </c>
    </row>
    <row r="101" spans="1:2" x14ac:dyDescent="0.3">
      <c r="A101" t="s">
        <v>347</v>
      </c>
      <c r="B101" t="s">
        <v>348</v>
      </c>
    </row>
    <row r="102" spans="1:2" x14ac:dyDescent="0.3">
      <c r="A102" t="s">
        <v>349</v>
      </c>
      <c r="B102" t="s">
        <v>350</v>
      </c>
    </row>
    <row r="103" spans="1:2" x14ac:dyDescent="0.3">
      <c r="A103" t="s">
        <v>360</v>
      </c>
      <c r="B103" t="s">
        <v>351</v>
      </c>
    </row>
    <row r="104" spans="1:2" x14ac:dyDescent="0.3">
      <c r="A104" t="s">
        <v>445</v>
      </c>
      <c r="B104" t="s">
        <v>313</v>
      </c>
    </row>
    <row r="105" spans="1:2" x14ac:dyDescent="0.3">
      <c r="A105" t="s">
        <v>468</v>
      </c>
      <c r="B105" t="s">
        <v>469</v>
      </c>
    </row>
    <row r="106" spans="1:2" x14ac:dyDescent="0.3">
      <c r="A106" t="s">
        <v>493</v>
      </c>
      <c r="B106" s="21" t="s">
        <v>367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03F2-C4FE-468A-BD56-8CB415FE416C}">
  <dimension ref="A1:D44"/>
  <sheetViews>
    <sheetView topLeftCell="A37" workbookViewId="0">
      <selection activeCell="B32" sqref="B32"/>
    </sheetView>
  </sheetViews>
  <sheetFormatPr defaultRowHeight="14.4" x14ac:dyDescent="0.3"/>
  <cols>
    <col min="1" max="1" width="12.77734375" customWidth="1"/>
    <col min="2" max="3" width="45.21875" customWidth="1"/>
  </cols>
  <sheetData>
    <row r="1" spans="1:4" x14ac:dyDescent="0.3">
      <c r="A1" t="s">
        <v>227</v>
      </c>
      <c r="B1" t="s">
        <v>126</v>
      </c>
      <c r="C1" t="s">
        <v>150</v>
      </c>
      <c r="D1" t="s">
        <v>258</v>
      </c>
    </row>
    <row r="2" spans="1:4" x14ac:dyDescent="0.3">
      <c r="A2">
        <v>1</v>
      </c>
      <c r="B2" t="s">
        <v>127</v>
      </c>
      <c r="C2" t="s">
        <v>152</v>
      </c>
      <c r="D2" cm="1">
        <f t="array" ref="D2">SUM(--(LEN(_xlfn.UNIQUE(_xlfn._xlws.FILTER(Capital_Project_Inputs[unit],Capital_Project_Inputs[table_no_ui]=A2,"")))&gt;0))</f>
        <v>1</v>
      </c>
    </row>
    <row r="3" spans="1:4" x14ac:dyDescent="0.3">
      <c r="A3">
        <v>2</v>
      </c>
      <c r="B3" t="s">
        <v>130</v>
      </c>
      <c r="C3" t="s">
        <v>152</v>
      </c>
      <c r="D3" cm="1">
        <f t="array" ref="D3">SUM(--(LEN(_xlfn.UNIQUE(_xlfn._xlws.FILTER(Capital_Project_Inputs[unit],Capital_Project_Inputs[table_no_ui]=A3,"")))&gt;0))</f>
        <v>1</v>
      </c>
    </row>
    <row r="4" spans="1:4" x14ac:dyDescent="0.3">
      <c r="A4">
        <v>3</v>
      </c>
      <c r="B4" t="s">
        <v>124</v>
      </c>
      <c r="C4" t="s">
        <v>152</v>
      </c>
      <c r="D4" cm="1">
        <f t="array" ref="D4">SUM(--(LEN(_xlfn.UNIQUE(_xlfn._xlws.FILTER(Capital_Project_Inputs[unit],Capital_Project_Inputs[table_no_ui]=A4,"")))&gt;0))</f>
        <v>1</v>
      </c>
    </row>
    <row r="5" spans="1:4" x14ac:dyDescent="0.3">
      <c r="A5">
        <v>4</v>
      </c>
      <c r="B5" t="s">
        <v>135</v>
      </c>
      <c r="C5" t="s">
        <v>152</v>
      </c>
      <c r="D5" cm="1">
        <f t="array" ref="D5">SUM(--(LEN(_xlfn.UNIQUE(_xlfn._xlws.FILTER(Capital_Project_Inputs[unit],Capital_Project_Inputs[table_no_ui]=A5,"")))&gt;0))</f>
        <v>1</v>
      </c>
    </row>
    <row r="6" spans="1:4" x14ac:dyDescent="0.3">
      <c r="A6">
        <v>5</v>
      </c>
      <c r="B6" t="s">
        <v>128</v>
      </c>
      <c r="C6" t="s">
        <v>152</v>
      </c>
      <c r="D6" cm="1">
        <f t="array" ref="D6">SUM(--(LEN(_xlfn.UNIQUE(_xlfn._xlws.FILTER(Capital_Project_Inputs[unit],Capital_Project_Inputs[table_no_ui]=A6,"")))&gt;0))</f>
        <v>1</v>
      </c>
    </row>
    <row r="7" spans="1:4" x14ac:dyDescent="0.3">
      <c r="A7">
        <v>6</v>
      </c>
      <c r="B7" t="s">
        <v>131</v>
      </c>
      <c r="C7" t="s">
        <v>152</v>
      </c>
      <c r="D7" cm="1">
        <f t="array" ref="D7">SUM(--(LEN(_xlfn.UNIQUE(_xlfn._xlws.FILTER(Capital_Project_Inputs[unit],Capital_Project_Inputs[table_no_ui]=A7,"")))&gt;0))</f>
        <v>1</v>
      </c>
    </row>
    <row r="8" spans="1:4" x14ac:dyDescent="0.3">
      <c r="A8">
        <v>7</v>
      </c>
      <c r="B8" t="s">
        <v>132</v>
      </c>
      <c r="C8" t="s">
        <v>152</v>
      </c>
      <c r="D8" cm="1">
        <f t="array" ref="D8">SUM(--(LEN(_xlfn.UNIQUE(_xlfn._xlws.FILTER(Capital_Project_Inputs[unit],Capital_Project_Inputs[table_no_ui]=A8,"")))&gt;0))</f>
        <v>1</v>
      </c>
    </row>
    <row r="9" spans="1:4" x14ac:dyDescent="0.3">
      <c r="A9">
        <v>8</v>
      </c>
      <c r="B9" t="s">
        <v>32</v>
      </c>
      <c r="C9" t="s">
        <v>152</v>
      </c>
      <c r="D9" cm="1">
        <f t="array" ref="D9">SUM(--(LEN(_xlfn.UNIQUE(_xlfn._xlws.FILTER(Capital_Project_Inputs[unit],Capital_Project_Inputs[table_no_ui]=A9,"")))&gt;0))</f>
        <v>1</v>
      </c>
    </row>
    <row r="10" spans="1:4" x14ac:dyDescent="0.3">
      <c r="A10">
        <v>9</v>
      </c>
      <c r="B10" t="s">
        <v>186</v>
      </c>
      <c r="C10" t="s">
        <v>152</v>
      </c>
      <c r="D10" cm="1">
        <f t="array" ref="D10">SUM(--(LEN(_xlfn.UNIQUE(_xlfn._xlws.FILTER(Capital_Project_Inputs[unit],Capital_Project_Inputs[table_no_ui]=A10,"")))&gt;0))</f>
        <v>2</v>
      </c>
    </row>
    <row r="11" spans="1:4" x14ac:dyDescent="0.3">
      <c r="A11">
        <v>10</v>
      </c>
      <c r="B11" t="s">
        <v>466</v>
      </c>
      <c r="C11" t="s">
        <v>152</v>
      </c>
      <c r="D11" cm="1">
        <f t="array" ref="D11">SUM(--(LEN(_xlfn.UNIQUE(_xlfn._xlws.FILTER(Capital_Project_Inputs[unit],Capital_Project_Inputs[table_no_ui]=A11,"")))&gt;0))</f>
        <v>1</v>
      </c>
    </row>
    <row r="12" spans="1:4" x14ac:dyDescent="0.3">
      <c r="A12">
        <v>11</v>
      </c>
      <c r="B12" t="s">
        <v>18</v>
      </c>
      <c r="C12" t="s">
        <v>152</v>
      </c>
      <c r="D12" cm="1">
        <f t="array" ref="D12">SUM(--(LEN(_xlfn.UNIQUE(_xlfn._xlws.FILTER(Capital_Project_Inputs[unit],Capital_Project_Inputs[table_no_ui]=A12,"")))&gt;0))</f>
        <v>1</v>
      </c>
    </row>
    <row r="13" spans="1:4" x14ac:dyDescent="0.3">
      <c r="A13">
        <v>12</v>
      </c>
      <c r="B13" t="s">
        <v>70</v>
      </c>
      <c r="C13" t="s">
        <v>152</v>
      </c>
      <c r="D13" cm="1">
        <f t="array" ref="D13">SUM(--(LEN(_xlfn.UNIQUE(_xlfn._xlws.FILTER(Capital_Project_Inputs[unit],Capital_Project_Inputs[table_no_ui]=A13,"")))&gt;0))</f>
        <v>2</v>
      </c>
    </row>
    <row r="14" spans="1:4" x14ac:dyDescent="0.3">
      <c r="A14">
        <v>13</v>
      </c>
      <c r="B14" t="s">
        <v>123</v>
      </c>
      <c r="C14" t="s">
        <v>152</v>
      </c>
      <c r="D14" cm="1">
        <f t="array" ref="D14">SUM(--(LEN(_xlfn.UNIQUE(_xlfn._xlws.FILTER(Capital_Project_Inputs[unit],Capital_Project_Inputs[table_no_ui]=A14,"")))&gt;0))</f>
        <v>1</v>
      </c>
    </row>
    <row r="15" spans="1:4" x14ac:dyDescent="0.3">
      <c r="A15">
        <v>14</v>
      </c>
      <c r="B15" t="s">
        <v>91</v>
      </c>
      <c r="C15" t="s">
        <v>152</v>
      </c>
      <c r="D15" cm="1">
        <f t="array" ref="D15">SUM(--(LEN(_xlfn.UNIQUE(_xlfn._xlws.FILTER(Capital_Project_Inputs[unit],Capital_Project_Inputs[table_no_ui]=A15,"")))&gt;0))</f>
        <v>1</v>
      </c>
    </row>
    <row r="16" spans="1:4" x14ac:dyDescent="0.3">
      <c r="A16">
        <v>1</v>
      </c>
      <c r="B16" t="s">
        <v>8</v>
      </c>
      <c r="C16" t="s">
        <v>151</v>
      </c>
      <c r="D16" cm="1">
        <f t="array" ref="D16">SUM(--(LEN(_xlfn.UNIQUE(_xlfn._xlws.FILTER(Assumptions[unit],Assumptions[table_no_ui]=A16,"")))&gt;0))</f>
        <v>3</v>
      </c>
    </row>
    <row r="17" spans="1:4" x14ac:dyDescent="0.3">
      <c r="A17">
        <v>2</v>
      </c>
      <c r="B17" t="s">
        <v>42</v>
      </c>
      <c r="C17" t="s">
        <v>151</v>
      </c>
      <c r="D17" cm="1">
        <f t="array" ref="D17">SUM(--(LEN(_xlfn.UNIQUE(_xlfn._xlws.FILTER(Assumptions[unit],Assumptions[table_no_ui]=A17,"")))&gt;0))</f>
        <v>12</v>
      </c>
    </row>
    <row r="18" spans="1:4" x14ac:dyDescent="0.3">
      <c r="A18">
        <v>3</v>
      </c>
      <c r="B18" t="s">
        <v>149</v>
      </c>
      <c r="C18" t="s">
        <v>151</v>
      </c>
      <c r="D18" cm="1">
        <f t="array" ref="D18">SUM(--(LEN(_xlfn.UNIQUE(_xlfn._xlws.FILTER(Assumptions[unit],Assumptions[table_no_ui]=A18,"")))&gt;0))</f>
        <v>0</v>
      </c>
    </row>
    <row r="19" spans="1:4" x14ac:dyDescent="0.3">
      <c r="A19">
        <v>4</v>
      </c>
      <c r="B19" t="s">
        <v>32</v>
      </c>
      <c r="C19" t="s">
        <v>151</v>
      </c>
      <c r="D19" cm="1">
        <f t="array" ref="D19">SUM(--(LEN(_xlfn.UNIQUE(_xlfn._xlws.FILTER(Assumptions[unit],Assumptions[table_no_ui]=A19,"")))&gt;0))</f>
        <v>0</v>
      </c>
    </row>
    <row r="20" spans="1:4" x14ac:dyDescent="0.3">
      <c r="A20">
        <v>5</v>
      </c>
      <c r="B20" t="s">
        <v>158</v>
      </c>
      <c r="C20" t="s">
        <v>151</v>
      </c>
      <c r="D20" cm="1">
        <f t="array" ref="D20">SUM(--(LEN(_xlfn.UNIQUE(_xlfn._xlws.FILTER(Assumptions[unit],Assumptions[table_no_ui]=A20,"")))&gt;0))</f>
        <v>0</v>
      </c>
    </row>
    <row r="21" spans="1:4" x14ac:dyDescent="0.3">
      <c r="A21">
        <v>6</v>
      </c>
      <c r="B21" t="s">
        <v>466</v>
      </c>
      <c r="C21" t="s">
        <v>151</v>
      </c>
      <c r="D21" cm="1">
        <f t="array" ref="D21">SUM(--(LEN(_xlfn.UNIQUE(_xlfn._xlws.FILTER(Assumptions[unit],Assumptions[table_no_ui]=A21,"")))&gt;0))</f>
        <v>0</v>
      </c>
    </row>
    <row r="22" spans="1:4" x14ac:dyDescent="0.3">
      <c r="A22">
        <v>7</v>
      </c>
      <c r="B22" t="s">
        <v>166</v>
      </c>
      <c r="C22" t="s">
        <v>151</v>
      </c>
      <c r="D22" cm="1">
        <f t="array" ref="D22">SUM(--(LEN(_xlfn.UNIQUE(_xlfn._xlws.FILTER(Assumptions[unit],Assumptions[table_no_ui]=A22,"")))&gt;0))</f>
        <v>3</v>
      </c>
    </row>
    <row r="23" spans="1:4" x14ac:dyDescent="0.3">
      <c r="A23">
        <v>8</v>
      </c>
      <c r="B23" t="s">
        <v>70</v>
      </c>
      <c r="C23" t="s">
        <v>151</v>
      </c>
      <c r="D23" cm="1">
        <f t="array" ref="D23">SUM(--(LEN(_xlfn.UNIQUE(_xlfn._xlws.FILTER(Assumptions[unit],Assumptions[table_no_ui]=A23,"")))&gt;0))</f>
        <v>5</v>
      </c>
    </row>
    <row r="24" spans="1:4" x14ac:dyDescent="0.3">
      <c r="A24">
        <v>1</v>
      </c>
      <c r="B24" t="s">
        <v>184</v>
      </c>
      <c r="C24" t="s">
        <v>185</v>
      </c>
    </row>
    <row r="25" spans="1:4" x14ac:dyDescent="0.3">
      <c r="A25">
        <v>2</v>
      </c>
      <c r="B25" t="s">
        <v>194</v>
      </c>
      <c r="C25" t="s">
        <v>185</v>
      </c>
    </row>
    <row r="26" spans="1:4" x14ac:dyDescent="0.3">
      <c r="A26">
        <v>3</v>
      </c>
      <c r="B26" t="s">
        <v>193</v>
      </c>
      <c r="C26" t="s">
        <v>185</v>
      </c>
    </row>
    <row r="27" spans="1:4" x14ac:dyDescent="0.3">
      <c r="A27">
        <v>4</v>
      </c>
      <c r="B27" t="s">
        <v>128</v>
      </c>
      <c r="C27" t="s">
        <v>185</v>
      </c>
    </row>
    <row r="28" spans="1:4" x14ac:dyDescent="0.3">
      <c r="A28">
        <v>5</v>
      </c>
      <c r="B28" t="s">
        <v>83</v>
      </c>
      <c r="C28" t="s">
        <v>185</v>
      </c>
    </row>
    <row r="29" spans="1:4" x14ac:dyDescent="0.3">
      <c r="A29">
        <v>6</v>
      </c>
      <c r="B29" t="s">
        <v>132</v>
      </c>
      <c r="C29" t="s">
        <v>185</v>
      </c>
    </row>
    <row r="30" spans="1:4" x14ac:dyDescent="0.3">
      <c r="A30">
        <v>7</v>
      </c>
      <c r="B30" t="s">
        <v>32</v>
      </c>
      <c r="C30" t="s">
        <v>185</v>
      </c>
    </row>
    <row r="31" spans="1:4" x14ac:dyDescent="0.3">
      <c r="A31">
        <v>8</v>
      </c>
      <c r="B31" t="s">
        <v>186</v>
      </c>
      <c r="C31" t="s">
        <v>185</v>
      </c>
    </row>
    <row r="32" spans="1:4" x14ac:dyDescent="0.3">
      <c r="A32">
        <v>9</v>
      </c>
      <c r="B32" t="s">
        <v>466</v>
      </c>
      <c r="C32" t="s">
        <v>185</v>
      </c>
    </row>
    <row r="33" spans="1:3" x14ac:dyDescent="0.3">
      <c r="A33">
        <v>10</v>
      </c>
      <c r="B33" t="s">
        <v>166</v>
      </c>
      <c r="C33" t="s">
        <v>185</v>
      </c>
    </row>
    <row r="34" spans="1:3" x14ac:dyDescent="0.3">
      <c r="A34">
        <v>11</v>
      </c>
      <c r="B34" t="s">
        <v>70</v>
      </c>
      <c r="C34" t="s">
        <v>185</v>
      </c>
    </row>
    <row r="35" spans="1:3" x14ac:dyDescent="0.3">
      <c r="A35">
        <v>12</v>
      </c>
      <c r="B35" t="s">
        <v>91</v>
      </c>
      <c r="C35" t="s">
        <v>185</v>
      </c>
    </row>
    <row r="36" spans="1:3" x14ac:dyDescent="0.3">
      <c r="A36">
        <v>13</v>
      </c>
      <c r="B36" t="s">
        <v>198</v>
      </c>
      <c r="C36" t="s">
        <v>185</v>
      </c>
    </row>
    <row r="37" spans="1:3" x14ac:dyDescent="0.3">
      <c r="A37">
        <v>14</v>
      </c>
      <c r="B37" t="s">
        <v>204</v>
      </c>
      <c r="C37" t="s">
        <v>185</v>
      </c>
    </row>
    <row r="38" spans="1:3" x14ac:dyDescent="0.3">
      <c r="A38">
        <v>1</v>
      </c>
      <c r="B38" t="s">
        <v>228</v>
      </c>
      <c r="C38" t="s">
        <v>210</v>
      </c>
    </row>
    <row r="39" spans="1:3" x14ac:dyDescent="0.3">
      <c r="A39">
        <v>2</v>
      </c>
      <c r="B39" t="s">
        <v>225</v>
      </c>
      <c r="C39" t="s">
        <v>210</v>
      </c>
    </row>
    <row r="40" spans="1:3" x14ac:dyDescent="0.3">
      <c r="A40">
        <v>3</v>
      </c>
      <c r="B40" t="s">
        <v>229</v>
      </c>
      <c r="C40" t="s">
        <v>210</v>
      </c>
    </row>
    <row r="41" spans="1:3" x14ac:dyDescent="0.3">
      <c r="A41">
        <v>4</v>
      </c>
      <c r="B41" t="s">
        <v>109</v>
      </c>
      <c r="C41" t="s">
        <v>210</v>
      </c>
    </row>
    <row r="42" spans="1:3" x14ac:dyDescent="0.3">
      <c r="A42">
        <v>5</v>
      </c>
      <c r="B42" t="s">
        <v>111</v>
      </c>
      <c r="C42" t="s">
        <v>210</v>
      </c>
    </row>
    <row r="43" spans="1:3" x14ac:dyDescent="0.3">
      <c r="A43">
        <v>6</v>
      </c>
      <c r="B43" t="s">
        <v>217</v>
      </c>
      <c r="C43" t="s">
        <v>210</v>
      </c>
    </row>
    <row r="44" spans="1:3" x14ac:dyDescent="0.3">
      <c r="A44">
        <v>7</v>
      </c>
      <c r="B44" t="s">
        <v>218</v>
      </c>
      <c r="C44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3C76-56DE-4B9F-84BB-3595243BDAB2}">
  <sheetPr>
    <tabColor theme="1" tint="0.14999847407452621"/>
  </sheetPr>
  <dimension ref="A1:P2"/>
  <sheetViews>
    <sheetView topLeftCell="E1" workbookViewId="0">
      <selection activeCell="H22" sqref="H22"/>
    </sheetView>
  </sheetViews>
  <sheetFormatPr defaultColWidth="10.77734375" defaultRowHeight="14.4" x14ac:dyDescent="0.3"/>
  <cols>
    <col min="1" max="1" width="10.21875" customWidth="1"/>
    <col min="2" max="2" width="11.77734375" bestFit="1" customWidth="1"/>
    <col min="3" max="5" width="16.44140625" bestFit="1" customWidth="1"/>
    <col min="6" max="6" width="20.44140625" bestFit="1" customWidth="1"/>
    <col min="7" max="7" width="18.5546875" customWidth="1"/>
    <col min="8" max="8" width="23.5546875" bestFit="1" customWidth="1"/>
    <col min="9" max="9" width="14.44140625" bestFit="1" customWidth="1"/>
    <col min="10" max="10" width="18.5546875" bestFit="1" customWidth="1"/>
    <col min="11" max="11" width="28.5546875" bestFit="1" customWidth="1"/>
    <col min="12" max="12" width="16.77734375" bestFit="1" customWidth="1"/>
    <col min="14" max="14" width="12.88671875" customWidth="1"/>
  </cols>
  <sheetData>
    <row r="1" spans="1:16" x14ac:dyDescent="0.3">
      <c r="A1" t="s">
        <v>114</v>
      </c>
      <c r="B1" t="s">
        <v>115</v>
      </c>
      <c r="C1" t="s">
        <v>259</v>
      </c>
      <c r="D1" t="s">
        <v>116</v>
      </c>
      <c r="E1" t="s">
        <v>117</v>
      </c>
      <c r="F1" t="s">
        <v>231</v>
      </c>
      <c r="G1" t="s">
        <v>118</v>
      </c>
      <c r="H1" t="s">
        <v>119</v>
      </c>
      <c r="I1" t="s">
        <v>230</v>
      </c>
      <c r="J1" t="s">
        <v>233</v>
      </c>
      <c r="K1" t="s">
        <v>235</v>
      </c>
      <c r="L1" t="s">
        <v>369</v>
      </c>
      <c r="M1" t="s">
        <v>465</v>
      </c>
      <c r="N1" t="s">
        <v>470</v>
      </c>
      <c r="O1" t="s">
        <v>471</v>
      </c>
      <c r="P1" t="s">
        <v>472</v>
      </c>
    </row>
    <row r="2" spans="1:16" x14ac:dyDescent="0.3">
      <c r="A2" t="s">
        <v>120</v>
      </c>
      <c r="B2">
        <v>2021</v>
      </c>
      <c r="C2" s="2">
        <v>2025</v>
      </c>
      <c r="D2" s="2">
        <v>2030</v>
      </c>
      <c r="E2" s="3">
        <v>2050</v>
      </c>
      <c r="F2" t="s">
        <v>121</v>
      </c>
      <c r="G2" t="b">
        <v>1</v>
      </c>
      <c r="H2" t="b">
        <v>0</v>
      </c>
      <c r="I2" t="s">
        <v>232</v>
      </c>
      <c r="J2" t="s">
        <v>234</v>
      </c>
      <c r="K2">
        <v>2030</v>
      </c>
      <c r="L2" t="s">
        <v>370</v>
      </c>
      <c r="M2" t="s">
        <v>370</v>
      </c>
      <c r="N2">
        <v>2025</v>
      </c>
      <c r="O2">
        <v>5</v>
      </c>
      <c r="P2">
        <v>100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1715-D85E-43E6-A6F8-05B2EFCECC15}">
  <sheetPr>
    <tabColor rgb="FF7030A0"/>
  </sheetPr>
  <dimension ref="A1:O79"/>
  <sheetViews>
    <sheetView showGridLines="0" zoomScale="80" zoomScaleNormal="80" workbookViewId="0">
      <selection activeCell="C22" sqref="C22"/>
    </sheetView>
  </sheetViews>
  <sheetFormatPr defaultRowHeight="14.4" x14ac:dyDescent="0.3"/>
  <cols>
    <col min="1" max="1" width="45.21875" bestFit="1" customWidth="1"/>
    <col min="2" max="2" width="14.44140625" customWidth="1"/>
    <col min="3" max="3" width="21.44140625" style="12" bestFit="1" customWidth="1"/>
    <col min="4" max="4" width="61.109375" hidden="1" customWidth="1"/>
    <col min="5" max="5" width="33.77734375" hidden="1" customWidth="1"/>
    <col min="6" max="6" width="27.33203125" hidden="1" customWidth="1"/>
    <col min="7" max="7" width="30.5546875" hidden="1" customWidth="1"/>
    <col min="8" max="8" width="21.77734375" hidden="1" customWidth="1"/>
    <col min="9" max="9" width="11" hidden="1" customWidth="1"/>
    <col min="10" max="10" width="11.77734375" hidden="1" customWidth="1"/>
    <col min="11" max="12" width="17.5546875" hidden="1" customWidth="1"/>
    <col min="13" max="13" width="36" bestFit="1" customWidth="1"/>
    <col min="14" max="14" width="19.44140625" bestFit="1" customWidth="1"/>
    <col min="15" max="15" width="47.5546875" customWidth="1"/>
  </cols>
  <sheetData>
    <row r="1" spans="1:15" ht="13.95" customHeight="1" x14ac:dyDescent="0.3">
      <c r="A1" s="1" t="s">
        <v>0</v>
      </c>
      <c r="B1" s="1" t="s">
        <v>138</v>
      </c>
      <c r="C1" s="11" t="s">
        <v>270</v>
      </c>
      <c r="D1" s="1" t="s">
        <v>126</v>
      </c>
      <c r="E1" s="1" t="s">
        <v>1</v>
      </c>
      <c r="F1" s="1" t="s">
        <v>242</v>
      </c>
      <c r="G1" s="1" t="s">
        <v>244</v>
      </c>
      <c r="H1" s="1" t="s">
        <v>4</v>
      </c>
      <c r="I1" s="1" t="s">
        <v>7</v>
      </c>
      <c r="J1" s="1" t="s">
        <v>5</v>
      </c>
      <c r="K1" s="1" t="s">
        <v>6</v>
      </c>
      <c r="L1" s="1" t="s">
        <v>289</v>
      </c>
      <c r="M1" s="1" t="s">
        <v>301</v>
      </c>
      <c r="N1" s="5" t="s">
        <v>164</v>
      </c>
      <c r="O1" t="s">
        <v>88</v>
      </c>
    </row>
    <row r="2" spans="1:15" x14ac:dyDescent="0.3">
      <c r="A2" t="s">
        <v>8</v>
      </c>
      <c r="B2">
        <v>1</v>
      </c>
      <c r="C2" s="12" t="s">
        <v>374</v>
      </c>
      <c r="D2" t="s">
        <v>127</v>
      </c>
      <c r="E2" t="s">
        <v>63</v>
      </c>
      <c r="F2" t="s">
        <v>64</v>
      </c>
      <c r="N2" t="s">
        <v>75</v>
      </c>
      <c r="O2">
        <v>0</v>
      </c>
    </row>
    <row r="3" spans="1:15" x14ac:dyDescent="0.3">
      <c r="A3" t="s">
        <v>8</v>
      </c>
      <c r="B3">
        <v>1</v>
      </c>
      <c r="C3" s="12" t="s">
        <v>375</v>
      </c>
      <c r="D3" t="s">
        <v>127</v>
      </c>
      <c r="E3" t="s">
        <v>10</v>
      </c>
      <c r="F3" t="s">
        <v>64</v>
      </c>
      <c r="N3" t="s">
        <v>75</v>
      </c>
      <c r="O3">
        <v>0</v>
      </c>
    </row>
    <row r="4" spans="1:15" x14ac:dyDescent="0.3">
      <c r="A4" t="s">
        <v>8</v>
      </c>
      <c r="B4">
        <v>1</v>
      </c>
      <c r="C4" s="12" t="s">
        <v>376</v>
      </c>
      <c r="D4" t="s">
        <v>127</v>
      </c>
      <c r="E4" t="s">
        <v>11</v>
      </c>
      <c r="F4" t="s">
        <v>64</v>
      </c>
      <c r="N4" t="s">
        <v>75</v>
      </c>
      <c r="O4">
        <v>0</v>
      </c>
    </row>
    <row r="5" spans="1:15" x14ac:dyDescent="0.3">
      <c r="A5" t="s">
        <v>8</v>
      </c>
      <c r="B5">
        <v>1</v>
      </c>
      <c r="C5" s="12" t="s">
        <v>377</v>
      </c>
      <c r="D5" t="s">
        <v>127</v>
      </c>
      <c r="E5" t="s">
        <v>12</v>
      </c>
      <c r="F5" t="s">
        <v>64</v>
      </c>
      <c r="N5" t="s">
        <v>75</v>
      </c>
      <c r="O5">
        <v>0</v>
      </c>
    </row>
    <row r="6" spans="1:15" x14ac:dyDescent="0.3">
      <c r="A6" t="s">
        <v>8</v>
      </c>
      <c r="B6">
        <v>1</v>
      </c>
      <c r="C6" s="12" t="s">
        <v>378</v>
      </c>
      <c r="D6" t="s">
        <v>127</v>
      </c>
      <c r="E6" t="s">
        <v>63</v>
      </c>
      <c r="F6" t="s">
        <v>65</v>
      </c>
      <c r="N6" t="s">
        <v>75</v>
      </c>
      <c r="O6">
        <v>0</v>
      </c>
    </row>
    <row r="7" spans="1:15" x14ac:dyDescent="0.3">
      <c r="A7" t="s">
        <v>8</v>
      </c>
      <c r="B7">
        <v>1</v>
      </c>
      <c r="C7" s="12" t="s">
        <v>379</v>
      </c>
      <c r="D7" t="s">
        <v>127</v>
      </c>
      <c r="E7" t="s">
        <v>10</v>
      </c>
      <c r="F7" t="s">
        <v>65</v>
      </c>
      <c r="N7" t="s">
        <v>75</v>
      </c>
      <c r="O7">
        <v>0</v>
      </c>
    </row>
    <row r="8" spans="1:15" x14ac:dyDescent="0.3">
      <c r="A8" t="s">
        <v>8</v>
      </c>
      <c r="B8">
        <v>1</v>
      </c>
      <c r="C8" s="12" t="s">
        <v>380</v>
      </c>
      <c r="D8" t="s">
        <v>127</v>
      </c>
      <c r="E8" t="s">
        <v>11</v>
      </c>
      <c r="F8" t="s">
        <v>65</v>
      </c>
      <c r="N8" t="s">
        <v>75</v>
      </c>
      <c r="O8">
        <v>0</v>
      </c>
    </row>
    <row r="9" spans="1:15" x14ac:dyDescent="0.3">
      <c r="A9" t="s">
        <v>8</v>
      </c>
      <c r="B9">
        <v>1</v>
      </c>
      <c r="C9" s="12" t="s">
        <v>381</v>
      </c>
      <c r="D9" t="s">
        <v>127</v>
      </c>
      <c r="E9" t="s">
        <v>12</v>
      </c>
      <c r="F9" t="s">
        <v>65</v>
      </c>
      <c r="N9" t="s">
        <v>75</v>
      </c>
      <c r="O9">
        <v>0</v>
      </c>
    </row>
    <row r="10" spans="1:15" x14ac:dyDescent="0.3">
      <c r="A10" t="s">
        <v>8</v>
      </c>
      <c r="B10">
        <v>1</v>
      </c>
      <c r="C10" s="12" t="s">
        <v>382</v>
      </c>
      <c r="D10" t="s">
        <v>127</v>
      </c>
      <c r="E10" t="s">
        <v>63</v>
      </c>
      <c r="F10" t="s">
        <v>66</v>
      </c>
      <c r="N10" t="s">
        <v>75</v>
      </c>
      <c r="O10">
        <v>0</v>
      </c>
    </row>
    <row r="11" spans="1:15" x14ac:dyDescent="0.3">
      <c r="A11" t="s">
        <v>8</v>
      </c>
      <c r="B11">
        <v>1</v>
      </c>
      <c r="C11" s="12" t="s">
        <v>383</v>
      </c>
      <c r="D11" t="s">
        <v>127</v>
      </c>
      <c r="E11" t="s">
        <v>10</v>
      </c>
      <c r="F11" t="s">
        <v>66</v>
      </c>
      <c r="N11" t="s">
        <v>75</v>
      </c>
      <c r="O11">
        <v>0</v>
      </c>
    </row>
    <row r="12" spans="1:15" x14ac:dyDescent="0.3">
      <c r="A12" t="s">
        <v>8</v>
      </c>
      <c r="B12">
        <v>1</v>
      </c>
      <c r="C12" s="12" t="s">
        <v>384</v>
      </c>
      <c r="D12" t="s">
        <v>127</v>
      </c>
      <c r="E12" t="s">
        <v>11</v>
      </c>
      <c r="F12" t="s">
        <v>66</v>
      </c>
      <c r="N12" t="s">
        <v>75</v>
      </c>
      <c r="O12">
        <v>0</v>
      </c>
    </row>
    <row r="13" spans="1:15" x14ac:dyDescent="0.3">
      <c r="A13" t="s">
        <v>8</v>
      </c>
      <c r="B13">
        <v>1</v>
      </c>
      <c r="C13" s="12" t="s">
        <v>385</v>
      </c>
      <c r="D13" t="s">
        <v>127</v>
      </c>
      <c r="E13" t="s">
        <v>12</v>
      </c>
      <c r="F13" t="s">
        <v>66</v>
      </c>
      <c r="N13" t="s">
        <v>75</v>
      </c>
      <c r="O13">
        <v>0</v>
      </c>
    </row>
    <row r="14" spans="1:15" x14ac:dyDescent="0.3">
      <c r="A14" t="s">
        <v>8</v>
      </c>
      <c r="B14">
        <v>1</v>
      </c>
      <c r="C14" s="12" t="s">
        <v>386</v>
      </c>
      <c r="D14" t="s">
        <v>127</v>
      </c>
      <c r="E14" t="s">
        <v>63</v>
      </c>
      <c r="F14" t="s">
        <v>67</v>
      </c>
      <c r="N14" t="s">
        <v>75</v>
      </c>
      <c r="O14">
        <v>0</v>
      </c>
    </row>
    <row r="15" spans="1:15" x14ac:dyDescent="0.3">
      <c r="A15" t="s">
        <v>8</v>
      </c>
      <c r="B15">
        <v>1</v>
      </c>
      <c r="C15" s="12" t="s">
        <v>387</v>
      </c>
      <c r="D15" t="s">
        <v>127</v>
      </c>
      <c r="E15" t="s">
        <v>10</v>
      </c>
      <c r="F15" t="s">
        <v>67</v>
      </c>
      <c r="N15" t="s">
        <v>75</v>
      </c>
      <c r="O15">
        <v>0</v>
      </c>
    </row>
    <row r="16" spans="1:15" x14ac:dyDescent="0.3">
      <c r="A16" t="s">
        <v>8</v>
      </c>
      <c r="B16">
        <v>1</v>
      </c>
      <c r="C16" s="12" t="s">
        <v>388</v>
      </c>
      <c r="D16" t="s">
        <v>127</v>
      </c>
      <c r="E16" t="s">
        <v>11</v>
      </c>
      <c r="F16" t="s">
        <v>67</v>
      </c>
      <c r="N16" t="s">
        <v>75</v>
      </c>
      <c r="O16">
        <v>0</v>
      </c>
    </row>
    <row r="17" spans="1:15" x14ac:dyDescent="0.3">
      <c r="A17" t="s">
        <v>8</v>
      </c>
      <c r="B17">
        <v>1</v>
      </c>
      <c r="C17" s="12" t="s">
        <v>389</v>
      </c>
      <c r="D17" t="s">
        <v>127</v>
      </c>
      <c r="E17" t="s">
        <v>12</v>
      </c>
      <c r="F17" t="s">
        <v>67</v>
      </c>
      <c r="N17" t="s">
        <v>75</v>
      </c>
      <c r="O17">
        <v>0</v>
      </c>
    </row>
    <row r="18" spans="1:15" x14ac:dyDescent="0.3">
      <c r="A18" t="s">
        <v>8</v>
      </c>
      <c r="B18">
        <v>1</v>
      </c>
      <c r="C18" s="12" t="s">
        <v>390</v>
      </c>
      <c r="D18" t="s">
        <v>127</v>
      </c>
      <c r="E18" t="s">
        <v>63</v>
      </c>
      <c r="F18" t="s">
        <v>68</v>
      </c>
      <c r="N18" t="s">
        <v>75</v>
      </c>
      <c r="O18">
        <v>0</v>
      </c>
    </row>
    <row r="19" spans="1:15" x14ac:dyDescent="0.3">
      <c r="A19" t="s">
        <v>8</v>
      </c>
      <c r="B19">
        <v>1</v>
      </c>
      <c r="C19" s="12" t="s">
        <v>391</v>
      </c>
      <c r="D19" t="s">
        <v>127</v>
      </c>
      <c r="E19" t="s">
        <v>10</v>
      </c>
      <c r="F19" t="s">
        <v>68</v>
      </c>
      <c r="N19" t="s">
        <v>75</v>
      </c>
      <c r="O19">
        <v>0</v>
      </c>
    </row>
    <row r="20" spans="1:15" x14ac:dyDescent="0.3">
      <c r="A20" t="s">
        <v>8</v>
      </c>
      <c r="B20">
        <v>1</v>
      </c>
      <c r="C20" s="12" t="s">
        <v>392</v>
      </c>
      <c r="D20" t="s">
        <v>127</v>
      </c>
      <c r="E20" t="s">
        <v>11</v>
      </c>
      <c r="F20" t="s">
        <v>68</v>
      </c>
      <c r="N20" t="s">
        <v>75</v>
      </c>
      <c r="O20">
        <v>0</v>
      </c>
    </row>
    <row r="21" spans="1:15" x14ac:dyDescent="0.3">
      <c r="A21" t="s">
        <v>8</v>
      </c>
      <c r="B21">
        <v>1</v>
      </c>
      <c r="C21" s="12" t="s">
        <v>393</v>
      </c>
      <c r="D21" t="s">
        <v>127</v>
      </c>
      <c r="E21" t="s">
        <v>11</v>
      </c>
      <c r="F21" t="s">
        <v>69</v>
      </c>
      <c r="N21" t="s">
        <v>75</v>
      </c>
      <c r="O21">
        <v>0</v>
      </c>
    </row>
    <row r="22" spans="1:15" x14ac:dyDescent="0.3">
      <c r="A22" t="s">
        <v>8</v>
      </c>
      <c r="B22">
        <v>1</v>
      </c>
      <c r="C22" s="12" t="s">
        <v>394</v>
      </c>
      <c r="D22" t="s">
        <v>127</v>
      </c>
      <c r="E22" t="s">
        <v>12</v>
      </c>
      <c r="F22" t="s">
        <v>69</v>
      </c>
      <c r="N22" t="s">
        <v>75</v>
      </c>
      <c r="O22">
        <v>0</v>
      </c>
    </row>
    <row r="23" spans="1:15" x14ac:dyDescent="0.3">
      <c r="A23" t="s">
        <v>76</v>
      </c>
      <c r="B23">
        <v>2</v>
      </c>
      <c r="C23" s="12" t="s">
        <v>395</v>
      </c>
      <c r="D23" t="s">
        <v>130</v>
      </c>
      <c r="E23" t="s">
        <v>10</v>
      </c>
      <c r="I23" t="s">
        <v>77</v>
      </c>
      <c r="K23" t="s">
        <v>49</v>
      </c>
      <c r="N23" t="s">
        <v>78</v>
      </c>
      <c r="O23">
        <v>0</v>
      </c>
    </row>
    <row r="24" spans="1:15" x14ac:dyDescent="0.3">
      <c r="A24" t="s">
        <v>76</v>
      </c>
      <c r="B24">
        <v>2</v>
      </c>
      <c r="C24" s="12" t="s">
        <v>396</v>
      </c>
      <c r="D24" t="s">
        <v>130</v>
      </c>
      <c r="E24" t="s">
        <v>12</v>
      </c>
      <c r="I24" t="s">
        <v>77</v>
      </c>
      <c r="K24" t="s">
        <v>49</v>
      </c>
      <c r="N24" t="s">
        <v>78</v>
      </c>
      <c r="O24">
        <v>0</v>
      </c>
    </row>
    <row r="25" spans="1:15" x14ac:dyDescent="0.3">
      <c r="A25" t="s">
        <v>76</v>
      </c>
      <c r="B25">
        <v>2</v>
      </c>
      <c r="C25" s="12" t="s">
        <v>397</v>
      </c>
      <c r="D25" t="s">
        <v>130</v>
      </c>
      <c r="E25" t="s">
        <v>10</v>
      </c>
      <c r="I25" t="s">
        <v>79</v>
      </c>
      <c r="K25" t="s">
        <v>49</v>
      </c>
      <c r="N25" t="s">
        <v>78</v>
      </c>
      <c r="O25">
        <v>0</v>
      </c>
    </row>
    <row r="26" spans="1:15" x14ac:dyDescent="0.3">
      <c r="A26" t="s">
        <v>76</v>
      </c>
      <c r="B26">
        <v>2</v>
      </c>
      <c r="C26" s="12" t="s">
        <v>398</v>
      </c>
      <c r="D26" t="s">
        <v>130</v>
      </c>
      <c r="E26" t="s">
        <v>12</v>
      </c>
      <c r="I26" t="s">
        <v>79</v>
      </c>
      <c r="K26" t="s">
        <v>49</v>
      </c>
      <c r="N26" t="s">
        <v>78</v>
      </c>
      <c r="O26">
        <v>0</v>
      </c>
    </row>
    <row r="27" spans="1:15" x14ac:dyDescent="0.3">
      <c r="A27" t="s">
        <v>76</v>
      </c>
      <c r="B27">
        <v>2</v>
      </c>
      <c r="C27" s="12" t="s">
        <v>399</v>
      </c>
      <c r="D27" t="s">
        <v>130</v>
      </c>
      <c r="E27" t="s">
        <v>10</v>
      </c>
      <c r="I27" t="s">
        <v>81</v>
      </c>
      <c r="K27" t="s">
        <v>49</v>
      </c>
      <c r="N27" t="s">
        <v>78</v>
      </c>
      <c r="O27">
        <v>0</v>
      </c>
    </row>
    <row r="28" spans="1:15" x14ac:dyDescent="0.3">
      <c r="A28" t="s">
        <v>76</v>
      </c>
      <c r="B28">
        <v>2</v>
      </c>
      <c r="C28" s="12" t="s">
        <v>400</v>
      </c>
      <c r="D28" t="s">
        <v>130</v>
      </c>
      <c r="E28" t="s">
        <v>12</v>
      </c>
      <c r="I28" t="s">
        <v>81</v>
      </c>
      <c r="K28" t="s">
        <v>49</v>
      </c>
      <c r="N28" t="s">
        <v>78</v>
      </c>
      <c r="O28">
        <v>0</v>
      </c>
    </row>
    <row r="29" spans="1:15" x14ac:dyDescent="0.3">
      <c r="A29" t="s">
        <v>80</v>
      </c>
      <c r="B29">
        <v>3</v>
      </c>
      <c r="C29" s="12" t="s">
        <v>401</v>
      </c>
      <c r="D29" t="s">
        <v>124</v>
      </c>
      <c r="E29" t="s">
        <v>10</v>
      </c>
      <c r="I29" t="s">
        <v>58</v>
      </c>
      <c r="K29" t="s">
        <v>52</v>
      </c>
      <c r="N29" t="s">
        <v>78</v>
      </c>
      <c r="O29">
        <v>0</v>
      </c>
    </row>
    <row r="30" spans="1:15" x14ac:dyDescent="0.3">
      <c r="A30" t="s">
        <v>80</v>
      </c>
      <c r="B30">
        <v>3</v>
      </c>
      <c r="C30" s="12" t="s">
        <v>402</v>
      </c>
      <c r="D30" t="s">
        <v>124</v>
      </c>
      <c r="E30" t="s">
        <v>12</v>
      </c>
      <c r="I30" t="s">
        <v>58</v>
      </c>
      <c r="K30" t="s">
        <v>52</v>
      </c>
      <c r="N30" t="s">
        <v>78</v>
      </c>
      <c r="O30">
        <v>0</v>
      </c>
    </row>
    <row r="31" spans="1:15" x14ac:dyDescent="0.3">
      <c r="A31" t="s">
        <v>80</v>
      </c>
      <c r="B31">
        <v>3</v>
      </c>
      <c r="C31" s="12" t="s">
        <v>403</v>
      </c>
      <c r="D31" t="s">
        <v>124</v>
      </c>
      <c r="E31" t="s">
        <v>10</v>
      </c>
      <c r="I31" t="s">
        <v>81</v>
      </c>
      <c r="K31" t="s">
        <v>52</v>
      </c>
      <c r="N31" t="s">
        <v>78</v>
      </c>
      <c r="O31">
        <v>0</v>
      </c>
    </row>
    <row r="32" spans="1:15" x14ac:dyDescent="0.3">
      <c r="A32" t="s">
        <v>80</v>
      </c>
      <c r="B32">
        <v>3</v>
      </c>
      <c r="C32" s="12" t="s">
        <v>404</v>
      </c>
      <c r="D32" t="s">
        <v>124</v>
      </c>
      <c r="E32" t="s">
        <v>12</v>
      </c>
      <c r="I32" t="s">
        <v>81</v>
      </c>
      <c r="K32" t="s">
        <v>52</v>
      </c>
      <c r="N32" t="s">
        <v>78</v>
      </c>
      <c r="O32">
        <v>0</v>
      </c>
    </row>
    <row r="33" spans="1:15" x14ac:dyDescent="0.3">
      <c r="A33" t="s">
        <v>80</v>
      </c>
      <c r="B33">
        <v>3</v>
      </c>
      <c r="C33" s="12" t="s">
        <v>405</v>
      </c>
      <c r="D33" t="s">
        <v>124</v>
      </c>
      <c r="E33" t="s">
        <v>10</v>
      </c>
      <c r="I33" t="s">
        <v>82</v>
      </c>
      <c r="K33" t="s">
        <v>52</v>
      </c>
      <c r="N33" t="s">
        <v>78</v>
      </c>
      <c r="O33">
        <v>0</v>
      </c>
    </row>
    <row r="34" spans="1:15" x14ac:dyDescent="0.3">
      <c r="A34" t="s">
        <v>80</v>
      </c>
      <c r="B34">
        <v>3</v>
      </c>
      <c r="C34" s="12" t="s">
        <v>406</v>
      </c>
      <c r="D34" t="s">
        <v>124</v>
      </c>
      <c r="E34" t="s">
        <v>12</v>
      </c>
      <c r="I34" t="s">
        <v>82</v>
      </c>
      <c r="K34" t="s">
        <v>52</v>
      </c>
      <c r="N34" t="s">
        <v>78</v>
      </c>
      <c r="O34">
        <v>0</v>
      </c>
    </row>
    <row r="35" spans="1:15" x14ac:dyDescent="0.3">
      <c r="A35" t="s">
        <v>125</v>
      </c>
      <c r="B35" s="8">
        <v>5</v>
      </c>
      <c r="C35" s="13" t="s">
        <v>407</v>
      </c>
      <c r="D35" t="s">
        <v>128</v>
      </c>
      <c r="N35" t="s">
        <v>73</v>
      </c>
      <c r="O35">
        <v>0</v>
      </c>
    </row>
    <row r="36" spans="1:15" x14ac:dyDescent="0.3">
      <c r="A36" t="s">
        <v>473</v>
      </c>
      <c r="B36">
        <v>4</v>
      </c>
      <c r="C36" s="12">
        <v>2.6</v>
      </c>
      <c r="D36" t="s">
        <v>135</v>
      </c>
      <c r="E36" t="s">
        <v>12</v>
      </c>
      <c r="I36" t="s">
        <v>77</v>
      </c>
      <c r="K36" t="s">
        <v>49</v>
      </c>
      <c r="N36" t="s">
        <v>72</v>
      </c>
      <c r="O36">
        <v>0</v>
      </c>
    </row>
    <row r="37" spans="1:15" x14ac:dyDescent="0.3">
      <c r="A37" t="s">
        <v>473</v>
      </c>
      <c r="B37">
        <v>4</v>
      </c>
      <c r="C37" s="12">
        <v>2.6</v>
      </c>
      <c r="D37" t="s">
        <v>135</v>
      </c>
      <c r="E37" t="s">
        <v>12</v>
      </c>
      <c r="I37" t="s">
        <v>79</v>
      </c>
      <c r="K37" t="s">
        <v>49</v>
      </c>
      <c r="N37" t="s">
        <v>72</v>
      </c>
      <c r="O37">
        <v>0</v>
      </c>
    </row>
    <row r="38" spans="1:15" x14ac:dyDescent="0.3">
      <c r="A38" t="s">
        <v>473</v>
      </c>
      <c r="B38">
        <v>4</v>
      </c>
      <c r="C38" s="12">
        <v>3.3</v>
      </c>
      <c r="D38" t="s">
        <v>135</v>
      </c>
      <c r="E38" t="s">
        <v>12</v>
      </c>
      <c r="I38" t="s">
        <v>60</v>
      </c>
      <c r="K38" t="s">
        <v>52</v>
      </c>
      <c r="N38" t="s">
        <v>72</v>
      </c>
      <c r="O38">
        <v>0</v>
      </c>
    </row>
    <row r="39" spans="1:15" x14ac:dyDescent="0.3">
      <c r="A39" t="s">
        <v>473</v>
      </c>
      <c r="B39">
        <v>4</v>
      </c>
      <c r="C39" s="12">
        <v>3.3</v>
      </c>
      <c r="D39" t="s">
        <v>135</v>
      </c>
      <c r="E39" t="s">
        <v>12</v>
      </c>
      <c r="I39" t="s">
        <v>58</v>
      </c>
      <c r="K39" t="s">
        <v>52</v>
      </c>
      <c r="N39" t="s">
        <v>72</v>
      </c>
      <c r="O39">
        <v>0</v>
      </c>
    </row>
    <row r="40" spans="1:15" x14ac:dyDescent="0.3">
      <c r="A40" t="s">
        <v>473</v>
      </c>
      <c r="B40">
        <v>4</v>
      </c>
      <c r="C40" s="12">
        <v>2.5</v>
      </c>
      <c r="D40" t="s">
        <v>135</v>
      </c>
      <c r="E40" t="s">
        <v>10</v>
      </c>
      <c r="I40" t="s">
        <v>77</v>
      </c>
      <c r="K40" t="s">
        <v>49</v>
      </c>
      <c r="N40" t="s">
        <v>72</v>
      </c>
      <c r="O40">
        <v>0</v>
      </c>
    </row>
    <row r="41" spans="1:15" x14ac:dyDescent="0.3">
      <c r="A41" t="s">
        <v>473</v>
      </c>
      <c r="B41">
        <v>4</v>
      </c>
      <c r="C41" s="12">
        <v>2.5</v>
      </c>
      <c r="D41" t="s">
        <v>135</v>
      </c>
      <c r="E41" t="s">
        <v>10</v>
      </c>
      <c r="I41" t="s">
        <v>79</v>
      </c>
      <c r="K41" t="s">
        <v>49</v>
      </c>
      <c r="N41" t="s">
        <v>72</v>
      </c>
      <c r="O41">
        <v>0</v>
      </c>
    </row>
    <row r="42" spans="1:15" x14ac:dyDescent="0.3">
      <c r="A42" t="s">
        <v>473</v>
      </c>
      <c r="B42">
        <v>4</v>
      </c>
      <c r="C42" s="12">
        <v>3.2</v>
      </c>
      <c r="D42" t="s">
        <v>135</v>
      </c>
      <c r="E42" t="s">
        <v>10</v>
      </c>
      <c r="I42" t="s">
        <v>60</v>
      </c>
      <c r="K42" t="s">
        <v>52</v>
      </c>
      <c r="N42" t="s">
        <v>72</v>
      </c>
      <c r="O42">
        <v>0</v>
      </c>
    </row>
    <row r="43" spans="1:15" x14ac:dyDescent="0.3">
      <c r="A43" t="s">
        <v>473</v>
      </c>
      <c r="B43">
        <v>4</v>
      </c>
      <c r="C43" s="12">
        <v>3.2</v>
      </c>
      <c r="D43" t="s">
        <v>135</v>
      </c>
      <c r="E43" t="s">
        <v>10</v>
      </c>
      <c r="I43" t="s">
        <v>58</v>
      </c>
      <c r="K43" t="s">
        <v>52</v>
      </c>
      <c r="N43" t="s">
        <v>72</v>
      </c>
      <c r="O43">
        <v>0</v>
      </c>
    </row>
    <row r="44" spans="1:15" x14ac:dyDescent="0.3">
      <c r="A44" t="s">
        <v>83</v>
      </c>
      <c r="B44">
        <v>6</v>
      </c>
      <c r="C44" s="12" t="s">
        <v>408</v>
      </c>
      <c r="D44" t="s">
        <v>131</v>
      </c>
      <c r="E44" t="s">
        <v>27</v>
      </c>
      <c r="I44" t="s">
        <v>59</v>
      </c>
      <c r="K44" t="s">
        <v>84</v>
      </c>
      <c r="N44" t="s">
        <v>78</v>
      </c>
      <c r="O44">
        <v>0</v>
      </c>
    </row>
    <row r="45" spans="1:15" x14ac:dyDescent="0.3">
      <c r="A45" t="s">
        <v>83</v>
      </c>
      <c r="B45">
        <v>6</v>
      </c>
      <c r="C45" s="12" t="s">
        <v>409</v>
      </c>
      <c r="D45" t="s">
        <v>131</v>
      </c>
      <c r="E45" t="s">
        <v>27</v>
      </c>
      <c r="I45" t="s">
        <v>55</v>
      </c>
      <c r="K45" t="s">
        <v>86</v>
      </c>
      <c r="N45" t="s">
        <v>78</v>
      </c>
      <c r="O45">
        <v>0</v>
      </c>
    </row>
    <row r="46" spans="1:15" x14ac:dyDescent="0.3">
      <c r="A46" t="s">
        <v>83</v>
      </c>
      <c r="B46">
        <v>6</v>
      </c>
      <c r="C46" s="12" t="s">
        <v>410</v>
      </c>
      <c r="D46" t="s">
        <v>131</v>
      </c>
      <c r="E46" t="s">
        <v>27</v>
      </c>
      <c r="I46" t="s">
        <v>59</v>
      </c>
      <c r="K46" t="s">
        <v>85</v>
      </c>
      <c r="N46" t="s">
        <v>78</v>
      </c>
      <c r="O46">
        <v>0</v>
      </c>
    </row>
    <row r="47" spans="1:15" x14ac:dyDescent="0.3">
      <c r="A47" t="s">
        <v>83</v>
      </c>
      <c r="B47">
        <v>6</v>
      </c>
      <c r="C47" s="12" t="s">
        <v>411</v>
      </c>
      <c r="D47" t="s">
        <v>131</v>
      </c>
      <c r="E47" t="s">
        <v>27</v>
      </c>
      <c r="I47" t="s">
        <v>59</v>
      </c>
      <c r="K47" t="s">
        <v>86</v>
      </c>
      <c r="N47" t="s">
        <v>78</v>
      </c>
      <c r="O47">
        <v>0</v>
      </c>
    </row>
    <row r="48" spans="1:15" x14ac:dyDescent="0.3">
      <c r="A48" t="s">
        <v>132</v>
      </c>
      <c r="B48" s="8">
        <v>7</v>
      </c>
      <c r="C48" s="13" t="s">
        <v>412</v>
      </c>
      <c r="D48" t="s">
        <v>132</v>
      </c>
      <c r="N48" t="s">
        <v>145</v>
      </c>
      <c r="O48">
        <v>0</v>
      </c>
    </row>
    <row r="49" spans="1:15" x14ac:dyDescent="0.3">
      <c r="A49" t="s">
        <v>32</v>
      </c>
      <c r="B49" s="8">
        <v>8</v>
      </c>
      <c r="C49" s="13" t="s">
        <v>413</v>
      </c>
      <c r="D49" t="s">
        <v>32</v>
      </c>
      <c r="N49" t="s">
        <v>133</v>
      </c>
      <c r="O49">
        <v>0</v>
      </c>
    </row>
    <row r="50" spans="1:15" x14ac:dyDescent="0.3">
      <c r="A50" t="s">
        <v>74</v>
      </c>
      <c r="B50">
        <v>9</v>
      </c>
      <c r="C50" s="12" t="s">
        <v>414</v>
      </c>
      <c r="D50" t="s">
        <v>129</v>
      </c>
      <c r="E50" t="s">
        <v>10</v>
      </c>
      <c r="J50" t="s">
        <v>23</v>
      </c>
      <c r="N50" t="s">
        <v>136</v>
      </c>
      <c r="O50">
        <v>0</v>
      </c>
    </row>
    <row r="51" spans="1:15" x14ac:dyDescent="0.3">
      <c r="A51" t="s">
        <v>74</v>
      </c>
      <c r="B51">
        <v>9</v>
      </c>
      <c r="C51" s="12" t="s">
        <v>415</v>
      </c>
      <c r="D51" t="s">
        <v>129</v>
      </c>
      <c r="E51" t="s">
        <v>12</v>
      </c>
      <c r="J51" t="s">
        <v>23</v>
      </c>
      <c r="N51" t="s">
        <v>136</v>
      </c>
      <c r="O51">
        <v>0</v>
      </c>
    </row>
    <row r="52" spans="1:15" x14ac:dyDescent="0.3">
      <c r="A52" t="s">
        <v>74</v>
      </c>
      <c r="B52">
        <v>9</v>
      </c>
      <c r="C52" s="12" t="s">
        <v>416</v>
      </c>
      <c r="D52" t="s">
        <v>129</v>
      </c>
      <c r="E52" t="s">
        <v>10</v>
      </c>
      <c r="J52" t="s">
        <v>23</v>
      </c>
      <c r="N52" t="s">
        <v>137</v>
      </c>
      <c r="O52">
        <v>0</v>
      </c>
    </row>
    <row r="53" spans="1:15" x14ac:dyDescent="0.3">
      <c r="A53" t="s">
        <v>74</v>
      </c>
      <c r="B53">
        <v>9</v>
      </c>
      <c r="C53" s="12" t="s">
        <v>417</v>
      </c>
      <c r="D53" t="s">
        <v>129</v>
      </c>
      <c r="E53" t="s">
        <v>12</v>
      </c>
      <c r="J53" t="s">
        <v>23</v>
      </c>
      <c r="N53" t="s">
        <v>137</v>
      </c>
      <c r="O53">
        <v>0</v>
      </c>
    </row>
    <row r="54" spans="1:15" x14ac:dyDescent="0.3">
      <c r="A54" t="s">
        <v>466</v>
      </c>
      <c r="B54">
        <v>10</v>
      </c>
      <c r="C54" s="12" t="s">
        <v>418</v>
      </c>
      <c r="D54" t="s">
        <v>466</v>
      </c>
      <c r="H54" t="s">
        <v>482</v>
      </c>
      <c r="I54" t="s">
        <v>60</v>
      </c>
      <c r="N54" t="s">
        <v>72</v>
      </c>
      <c r="O54">
        <v>0</v>
      </c>
    </row>
    <row r="55" spans="1:15" x14ac:dyDescent="0.3">
      <c r="A55" t="s">
        <v>466</v>
      </c>
      <c r="B55">
        <v>10</v>
      </c>
      <c r="C55" s="12" t="s">
        <v>419</v>
      </c>
      <c r="D55" t="s">
        <v>466</v>
      </c>
      <c r="H55" t="s">
        <v>480</v>
      </c>
      <c r="I55" t="s">
        <v>60</v>
      </c>
      <c r="N55" t="s">
        <v>72</v>
      </c>
      <c r="O55">
        <v>0</v>
      </c>
    </row>
    <row r="56" spans="1:15" x14ac:dyDescent="0.3">
      <c r="A56" t="s">
        <v>466</v>
      </c>
      <c r="B56">
        <v>10</v>
      </c>
      <c r="C56" s="12" t="s">
        <v>420</v>
      </c>
      <c r="D56" t="s">
        <v>466</v>
      </c>
      <c r="H56" t="s">
        <v>480</v>
      </c>
      <c r="I56" t="s">
        <v>55</v>
      </c>
      <c r="N56" t="s">
        <v>72</v>
      </c>
      <c r="O56">
        <v>0</v>
      </c>
    </row>
    <row r="57" spans="1:15" x14ac:dyDescent="0.3">
      <c r="A57" t="s">
        <v>466</v>
      </c>
      <c r="B57">
        <v>10</v>
      </c>
      <c r="C57" s="12" t="s">
        <v>421</v>
      </c>
      <c r="D57" t="s">
        <v>466</v>
      </c>
      <c r="H57" t="s">
        <v>481</v>
      </c>
      <c r="I57" t="s">
        <v>55</v>
      </c>
      <c r="N57" t="s">
        <v>72</v>
      </c>
      <c r="O57">
        <v>0</v>
      </c>
    </row>
    <row r="58" spans="1:15" x14ac:dyDescent="0.3">
      <c r="A58" t="s">
        <v>466</v>
      </c>
      <c r="B58">
        <v>10</v>
      </c>
      <c r="C58" s="12" t="s">
        <v>422</v>
      </c>
      <c r="D58" t="s">
        <v>466</v>
      </c>
      <c r="H58" t="s">
        <v>21</v>
      </c>
      <c r="I58" t="s">
        <v>55</v>
      </c>
      <c r="N58" t="s">
        <v>72</v>
      </c>
      <c r="O58">
        <v>0</v>
      </c>
    </row>
    <row r="59" spans="1:15" x14ac:dyDescent="0.3">
      <c r="A59" s="4" t="s">
        <v>474</v>
      </c>
      <c r="B59" s="8">
        <v>11</v>
      </c>
      <c r="C59" s="13" t="s">
        <v>423</v>
      </c>
      <c r="D59" t="s">
        <v>474</v>
      </c>
      <c r="N59" t="s">
        <v>190</v>
      </c>
      <c r="O59">
        <v>0</v>
      </c>
    </row>
    <row r="60" spans="1:15" x14ac:dyDescent="0.3">
      <c r="A60" t="s">
        <v>70</v>
      </c>
      <c r="B60">
        <v>12</v>
      </c>
      <c r="C60" s="12" t="s">
        <v>424</v>
      </c>
      <c r="D60" t="s">
        <v>70</v>
      </c>
      <c r="G60" t="s">
        <v>14</v>
      </c>
      <c r="N60" t="s">
        <v>71</v>
      </c>
      <c r="O60">
        <v>0</v>
      </c>
    </row>
    <row r="61" spans="1:15" x14ac:dyDescent="0.3">
      <c r="A61" t="s">
        <v>70</v>
      </c>
      <c r="B61">
        <v>12</v>
      </c>
      <c r="C61" s="12" t="s">
        <v>425</v>
      </c>
      <c r="D61" t="s">
        <v>70</v>
      </c>
      <c r="G61" t="s">
        <v>96</v>
      </c>
      <c r="N61" t="s">
        <v>71</v>
      </c>
      <c r="O61">
        <v>0</v>
      </c>
    </row>
    <row r="62" spans="1:15" x14ac:dyDescent="0.3">
      <c r="A62" t="s">
        <v>70</v>
      </c>
      <c r="B62">
        <v>12</v>
      </c>
      <c r="C62" s="12" t="s">
        <v>426</v>
      </c>
      <c r="D62" t="s">
        <v>70</v>
      </c>
      <c r="G62" t="s">
        <v>97</v>
      </c>
      <c r="N62" t="s">
        <v>71</v>
      </c>
      <c r="O62">
        <v>0</v>
      </c>
    </row>
    <row r="63" spans="1:15" x14ac:dyDescent="0.3">
      <c r="A63" t="s">
        <v>70</v>
      </c>
      <c r="B63">
        <v>12</v>
      </c>
      <c r="C63" s="12" t="s">
        <v>427</v>
      </c>
      <c r="D63" t="s">
        <v>70</v>
      </c>
      <c r="G63" t="s">
        <v>16</v>
      </c>
      <c r="N63" t="s">
        <v>71</v>
      </c>
      <c r="O63">
        <v>0</v>
      </c>
    </row>
    <row r="64" spans="1:15" x14ac:dyDescent="0.3">
      <c r="A64" t="s">
        <v>70</v>
      </c>
      <c r="B64">
        <v>12</v>
      </c>
      <c r="C64" s="12" t="s">
        <v>428</v>
      </c>
      <c r="D64" t="s">
        <v>70</v>
      </c>
      <c r="G64" t="s">
        <v>17</v>
      </c>
      <c r="N64" t="s">
        <v>71</v>
      </c>
      <c r="O64">
        <v>0</v>
      </c>
    </row>
    <row r="65" spans="1:15" s="4" customFormat="1" x14ac:dyDescent="0.3">
      <c r="A65" t="s">
        <v>70</v>
      </c>
      <c r="B65" s="4">
        <v>12</v>
      </c>
      <c r="C65" s="14" t="s">
        <v>429</v>
      </c>
      <c r="D65" t="s">
        <v>70</v>
      </c>
      <c r="G65" s="7" t="s">
        <v>483</v>
      </c>
      <c r="N65" s="4" t="s">
        <v>312</v>
      </c>
      <c r="O65" s="4">
        <v>0</v>
      </c>
    </row>
    <row r="66" spans="1:15" x14ac:dyDescent="0.3">
      <c r="A66" t="s">
        <v>123</v>
      </c>
      <c r="B66">
        <v>13</v>
      </c>
      <c r="C66" s="12" t="s">
        <v>430</v>
      </c>
      <c r="D66" t="s">
        <v>123</v>
      </c>
      <c r="N66" t="s">
        <v>139</v>
      </c>
      <c r="O66">
        <v>0</v>
      </c>
    </row>
    <row r="67" spans="1:15" x14ac:dyDescent="0.3">
      <c r="A67" t="s">
        <v>134</v>
      </c>
      <c r="B67">
        <v>14</v>
      </c>
      <c r="C67" s="12">
        <v>14.1</v>
      </c>
      <c r="D67" t="s">
        <v>91</v>
      </c>
      <c r="E67" t="s">
        <v>10</v>
      </c>
      <c r="J67" t="s">
        <v>28</v>
      </c>
      <c r="N67" t="s">
        <v>75</v>
      </c>
      <c r="O67">
        <v>0</v>
      </c>
    </row>
    <row r="68" spans="1:15" x14ac:dyDescent="0.3">
      <c r="A68" t="s">
        <v>134</v>
      </c>
      <c r="B68">
        <v>14</v>
      </c>
      <c r="C68" s="12" t="s">
        <v>431</v>
      </c>
      <c r="D68" t="s">
        <v>91</v>
      </c>
      <c r="E68" t="s">
        <v>12</v>
      </c>
      <c r="J68" t="s">
        <v>28</v>
      </c>
      <c r="N68" t="s">
        <v>75</v>
      </c>
      <c r="O68">
        <v>0</v>
      </c>
    </row>
    <row r="69" spans="1:15" x14ac:dyDescent="0.3">
      <c r="A69" t="s">
        <v>134</v>
      </c>
      <c r="B69">
        <v>14</v>
      </c>
      <c r="C69" s="12" t="s">
        <v>432</v>
      </c>
      <c r="D69" t="s">
        <v>91</v>
      </c>
      <c r="E69" t="s">
        <v>10</v>
      </c>
      <c r="J69" t="s">
        <v>23</v>
      </c>
      <c r="N69" t="s">
        <v>75</v>
      </c>
      <c r="O69">
        <v>0</v>
      </c>
    </row>
    <row r="70" spans="1:15" x14ac:dyDescent="0.3">
      <c r="A70" t="s">
        <v>134</v>
      </c>
      <c r="B70">
        <v>14</v>
      </c>
      <c r="C70" s="12" t="s">
        <v>433</v>
      </c>
      <c r="D70" t="s">
        <v>91</v>
      </c>
      <c r="E70" t="s">
        <v>12</v>
      </c>
      <c r="J70" t="s">
        <v>23</v>
      </c>
      <c r="N70" t="s">
        <v>75</v>
      </c>
      <c r="O70">
        <v>0</v>
      </c>
    </row>
    <row r="71" spans="1:15" x14ac:dyDescent="0.3">
      <c r="A71" t="s">
        <v>297</v>
      </c>
      <c r="B71">
        <v>17</v>
      </c>
      <c r="C71" s="12" t="s">
        <v>434</v>
      </c>
      <c r="D71" t="s">
        <v>297</v>
      </c>
      <c r="E71" t="s">
        <v>10</v>
      </c>
      <c r="K71" t="s">
        <v>49</v>
      </c>
      <c r="N71" t="s">
        <v>309</v>
      </c>
      <c r="O71">
        <v>0</v>
      </c>
    </row>
    <row r="72" spans="1:15" x14ac:dyDescent="0.3">
      <c r="A72" t="s">
        <v>297</v>
      </c>
      <c r="B72">
        <v>17</v>
      </c>
      <c r="C72" s="12" t="s">
        <v>435</v>
      </c>
      <c r="D72" t="s">
        <v>297</v>
      </c>
      <c r="E72" t="s">
        <v>12</v>
      </c>
      <c r="K72" t="s">
        <v>49</v>
      </c>
      <c r="N72" t="s">
        <v>309</v>
      </c>
      <c r="O72">
        <v>0</v>
      </c>
    </row>
    <row r="73" spans="1:15" x14ac:dyDescent="0.3">
      <c r="A73" t="s">
        <v>297</v>
      </c>
      <c r="B73">
        <v>17</v>
      </c>
      <c r="C73" s="12" t="s">
        <v>436</v>
      </c>
      <c r="D73" t="s">
        <v>297</v>
      </c>
      <c r="E73" t="s">
        <v>10</v>
      </c>
      <c r="K73" t="s">
        <v>52</v>
      </c>
      <c r="N73" t="s">
        <v>309</v>
      </c>
      <c r="O73">
        <v>0</v>
      </c>
    </row>
    <row r="74" spans="1:15" x14ac:dyDescent="0.3">
      <c r="A74" t="s">
        <v>297</v>
      </c>
      <c r="B74">
        <v>17</v>
      </c>
      <c r="C74" s="12" t="s">
        <v>437</v>
      </c>
      <c r="D74" t="s">
        <v>297</v>
      </c>
      <c r="E74" t="s">
        <v>12</v>
      </c>
      <c r="K74" t="s">
        <v>52</v>
      </c>
      <c r="N74" t="s">
        <v>309</v>
      </c>
      <c r="O74">
        <v>0</v>
      </c>
    </row>
    <row r="75" spans="1:15" x14ac:dyDescent="0.3">
      <c r="A75" t="s">
        <v>297</v>
      </c>
      <c r="B75">
        <v>17</v>
      </c>
      <c r="C75" s="12" t="s">
        <v>438</v>
      </c>
      <c r="D75" t="s">
        <v>297</v>
      </c>
      <c r="E75" t="s">
        <v>27</v>
      </c>
      <c r="K75" t="s">
        <v>207</v>
      </c>
      <c r="N75" t="s">
        <v>309</v>
      </c>
      <c r="O75">
        <v>0</v>
      </c>
    </row>
    <row r="76" spans="1:15" x14ac:dyDescent="0.3">
      <c r="A76" t="s">
        <v>297</v>
      </c>
      <c r="B76">
        <v>17</v>
      </c>
      <c r="C76" s="12" t="s">
        <v>439</v>
      </c>
      <c r="D76" t="s">
        <v>297</v>
      </c>
      <c r="E76" t="s">
        <v>27</v>
      </c>
      <c r="K76" t="s">
        <v>85</v>
      </c>
      <c r="N76" t="s">
        <v>309</v>
      </c>
      <c r="O76">
        <v>0</v>
      </c>
    </row>
    <row r="77" spans="1:15" x14ac:dyDescent="0.3">
      <c r="A77" t="s">
        <v>297</v>
      </c>
      <c r="B77">
        <v>17</v>
      </c>
      <c r="C77" s="12" t="s">
        <v>440</v>
      </c>
      <c r="D77" t="s">
        <v>297</v>
      </c>
      <c r="E77" t="s">
        <v>27</v>
      </c>
      <c r="K77" t="s">
        <v>86</v>
      </c>
      <c r="N77" t="s">
        <v>309</v>
      </c>
      <c r="O77">
        <v>0</v>
      </c>
    </row>
    <row r="78" spans="1:15" x14ac:dyDescent="0.3">
      <c r="A78" t="s">
        <v>298</v>
      </c>
      <c r="B78">
        <v>16</v>
      </c>
      <c r="C78" s="12">
        <v>-1</v>
      </c>
      <c r="D78" t="s">
        <v>298</v>
      </c>
      <c r="M78" t="s">
        <v>302</v>
      </c>
      <c r="N78" t="s">
        <v>300</v>
      </c>
      <c r="O78">
        <v>0</v>
      </c>
    </row>
    <row r="79" spans="1:15" x14ac:dyDescent="0.3">
      <c r="A79" t="s">
        <v>307</v>
      </c>
      <c r="B79" s="8">
        <v>15</v>
      </c>
      <c r="C79" s="13" t="s">
        <v>441</v>
      </c>
      <c r="D79" t="s">
        <v>307</v>
      </c>
      <c r="N79" t="s">
        <v>308</v>
      </c>
      <c r="O79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8E27-EA50-4F2F-8EF4-1DF845BC5ACD}">
  <sheetPr>
    <tabColor theme="9"/>
  </sheetPr>
  <dimension ref="A1:O247"/>
  <sheetViews>
    <sheetView showGridLines="0" topLeftCell="E220" zoomScale="85" zoomScaleNormal="85" workbookViewId="0">
      <selection activeCell="H242" sqref="H242"/>
    </sheetView>
  </sheetViews>
  <sheetFormatPr defaultRowHeight="14.4" x14ac:dyDescent="0.3"/>
  <cols>
    <col min="1" max="1" width="45.21875" bestFit="1" customWidth="1"/>
    <col min="2" max="2" width="13.77734375" bestFit="1" customWidth="1"/>
    <col min="3" max="3" width="52.77734375" customWidth="1"/>
    <col min="4" max="4" width="32.77734375" customWidth="1"/>
    <col min="5" max="5" width="33.77734375" bestFit="1" customWidth="1"/>
    <col min="6" max="6" width="13" bestFit="1" customWidth="1"/>
    <col min="7" max="7" width="30.5546875" customWidth="1"/>
    <col min="8" max="8" width="21.77734375" customWidth="1"/>
    <col min="9" max="9" width="11" customWidth="1"/>
    <col min="10" max="10" width="11.77734375" customWidth="1"/>
    <col min="11" max="12" width="17.5546875" customWidth="1"/>
    <col min="13" max="13" width="36" bestFit="1" customWidth="1"/>
    <col min="14" max="14" width="19.44140625" bestFit="1" customWidth="1"/>
    <col min="15" max="15" width="47.5546875" customWidth="1"/>
  </cols>
  <sheetData>
    <row r="1" spans="1:15" ht="13.95" customHeight="1" x14ac:dyDescent="0.3">
      <c r="A1" s="1" t="s">
        <v>0</v>
      </c>
      <c r="B1" s="1" t="s">
        <v>138</v>
      </c>
      <c r="C1" s="1" t="s">
        <v>126</v>
      </c>
      <c r="D1" s="1" t="s">
        <v>89</v>
      </c>
      <c r="E1" s="1" t="s">
        <v>1</v>
      </c>
      <c r="F1" s="1" t="s">
        <v>242</v>
      </c>
      <c r="G1" s="1" t="s">
        <v>244</v>
      </c>
      <c r="H1" s="1" t="s">
        <v>4</v>
      </c>
      <c r="I1" s="1" t="s">
        <v>7</v>
      </c>
      <c r="J1" s="1" t="s">
        <v>5</v>
      </c>
      <c r="K1" s="1" t="s">
        <v>6</v>
      </c>
      <c r="L1" s="1" t="s">
        <v>289</v>
      </c>
      <c r="M1" s="1" t="s">
        <v>301</v>
      </c>
      <c r="N1" s="5" t="s">
        <v>164</v>
      </c>
      <c r="O1" t="s">
        <v>88</v>
      </c>
    </row>
    <row r="2" spans="1:15" hidden="1" x14ac:dyDescent="0.3">
      <c r="A2" t="s">
        <v>8</v>
      </c>
      <c r="B2">
        <v>1</v>
      </c>
      <c r="C2" t="s">
        <v>127</v>
      </c>
      <c r="D2" t="s">
        <v>259</v>
      </c>
      <c r="E2" t="s">
        <v>63</v>
      </c>
      <c r="F2" t="s">
        <v>64</v>
      </c>
      <c r="N2" t="s">
        <v>75</v>
      </c>
      <c r="O2">
        <v>0</v>
      </c>
    </row>
    <row r="3" spans="1:15" hidden="1" x14ac:dyDescent="0.3">
      <c r="A3" t="s">
        <v>8</v>
      </c>
      <c r="B3">
        <v>1</v>
      </c>
      <c r="C3" t="s">
        <v>127</v>
      </c>
      <c r="D3" t="s">
        <v>259</v>
      </c>
      <c r="E3" t="s">
        <v>10</v>
      </c>
      <c r="F3" t="s">
        <v>64</v>
      </c>
      <c r="N3" t="s">
        <v>75</v>
      </c>
      <c r="O3">
        <v>0</v>
      </c>
    </row>
    <row r="4" spans="1:15" hidden="1" x14ac:dyDescent="0.3">
      <c r="A4" t="s">
        <v>8</v>
      </c>
      <c r="B4">
        <v>1</v>
      </c>
      <c r="C4" t="s">
        <v>127</v>
      </c>
      <c r="D4" t="s">
        <v>259</v>
      </c>
      <c r="E4" t="s">
        <v>11</v>
      </c>
      <c r="F4" t="s">
        <v>64</v>
      </c>
      <c r="N4" t="s">
        <v>75</v>
      </c>
      <c r="O4">
        <v>0</v>
      </c>
    </row>
    <row r="5" spans="1:15" hidden="1" x14ac:dyDescent="0.3">
      <c r="A5" t="s">
        <v>8</v>
      </c>
      <c r="B5">
        <v>1</v>
      </c>
      <c r="C5" t="s">
        <v>127</v>
      </c>
      <c r="D5" t="s">
        <v>259</v>
      </c>
      <c r="E5" t="s">
        <v>12</v>
      </c>
      <c r="F5" t="s">
        <v>64</v>
      </c>
      <c r="N5" t="s">
        <v>75</v>
      </c>
      <c r="O5">
        <v>0</v>
      </c>
    </row>
    <row r="6" spans="1:15" hidden="1" x14ac:dyDescent="0.3">
      <c r="A6" t="s">
        <v>8</v>
      </c>
      <c r="B6">
        <v>1</v>
      </c>
      <c r="C6" t="s">
        <v>127</v>
      </c>
      <c r="D6" t="s">
        <v>259</v>
      </c>
      <c r="E6" t="s">
        <v>63</v>
      </c>
      <c r="F6" t="s">
        <v>65</v>
      </c>
      <c r="N6" t="s">
        <v>75</v>
      </c>
      <c r="O6">
        <v>0</v>
      </c>
    </row>
    <row r="7" spans="1:15" hidden="1" x14ac:dyDescent="0.3">
      <c r="A7" t="s">
        <v>8</v>
      </c>
      <c r="B7">
        <v>1</v>
      </c>
      <c r="C7" t="s">
        <v>127</v>
      </c>
      <c r="D7" t="s">
        <v>259</v>
      </c>
      <c r="E7" t="s">
        <v>10</v>
      </c>
      <c r="F7" t="s">
        <v>65</v>
      </c>
      <c r="N7" t="s">
        <v>75</v>
      </c>
      <c r="O7">
        <v>0</v>
      </c>
    </row>
    <row r="8" spans="1:15" hidden="1" x14ac:dyDescent="0.3">
      <c r="A8" t="s">
        <v>8</v>
      </c>
      <c r="B8">
        <v>1</v>
      </c>
      <c r="C8" t="s">
        <v>127</v>
      </c>
      <c r="D8" t="s">
        <v>259</v>
      </c>
      <c r="E8" t="s">
        <v>11</v>
      </c>
      <c r="F8" t="s">
        <v>65</v>
      </c>
      <c r="N8" t="s">
        <v>75</v>
      </c>
      <c r="O8">
        <v>0</v>
      </c>
    </row>
    <row r="9" spans="1:15" hidden="1" x14ac:dyDescent="0.3">
      <c r="A9" t="s">
        <v>8</v>
      </c>
      <c r="B9">
        <v>1</v>
      </c>
      <c r="C9" t="s">
        <v>127</v>
      </c>
      <c r="D9" t="s">
        <v>259</v>
      </c>
      <c r="E9" t="s">
        <v>12</v>
      </c>
      <c r="F9" t="s">
        <v>65</v>
      </c>
      <c r="N9" t="s">
        <v>75</v>
      </c>
      <c r="O9">
        <v>0</v>
      </c>
    </row>
    <row r="10" spans="1:15" hidden="1" x14ac:dyDescent="0.3">
      <c r="A10" t="s">
        <v>8</v>
      </c>
      <c r="B10">
        <v>1</v>
      </c>
      <c r="C10" t="s">
        <v>127</v>
      </c>
      <c r="D10" t="s">
        <v>259</v>
      </c>
      <c r="E10" t="s">
        <v>63</v>
      </c>
      <c r="F10" t="s">
        <v>66</v>
      </c>
      <c r="N10" t="s">
        <v>75</v>
      </c>
      <c r="O10">
        <v>0</v>
      </c>
    </row>
    <row r="11" spans="1:15" hidden="1" x14ac:dyDescent="0.3">
      <c r="A11" t="s">
        <v>8</v>
      </c>
      <c r="B11">
        <v>1</v>
      </c>
      <c r="C11" t="s">
        <v>127</v>
      </c>
      <c r="D11" t="s">
        <v>259</v>
      </c>
      <c r="E11" t="s">
        <v>10</v>
      </c>
      <c r="F11" t="s">
        <v>66</v>
      </c>
      <c r="N11" t="s">
        <v>75</v>
      </c>
      <c r="O11">
        <v>0</v>
      </c>
    </row>
    <row r="12" spans="1:15" hidden="1" x14ac:dyDescent="0.3">
      <c r="A12" t="s">
        <v>8</v>
      </c>
      <c r="B12">
        <v>1</v>
      </c>
      <c r="C12" t="s">
        <v>127</v>
      </c>
      <c r="D12" t="s">
        <v>259</v>
      </c>
      <c r="E12" t="s">
        <v>11</v>
      </c>
      <c r="F12" t="s">
        <v>66</v>
      </c>
      <c r="N12" t="s">
        <v>75</v>
      </c>
      <c r="O12">
        <v>0</v>
      </c>
    </row>
    <row r="13" spans="1:15" hidden="1" x14ac:dyDescent="0.3">
      <c r="A13" t="s">
        <v>8</v>
      </c>
      <c r="B13">
        <v>1</v>
      </c>
      <c r="C13" t="s">
        <v>127</v>
      </c>
      <c r="D13" t="s">
        <v>259</v>
      </c>
      <c r="E13" t="s">
        <v>12</v>
      </c>
      <c r="F13" t="s">
        <v>66</v>
      </c>
      <c r="N13" t="s">
        <v>75</v>
      </c>
      <c r="O13">
        <v>0</v>
      </c>
    </row>
    <row r="14" spans="1:15" hidden="1" x14ac:dyDescent="0.3">
      <c r="A14" t="s">
        <v>8</v>
      </c>
      <c r="B14">
        <v>1</v>
      </c>
      <c r="C14" t="s">
        <v>127</v>
      </c>
      <c r="D14" t="s">
        <v>259</v>
      </c>
      <c r="E14" t="s">
        <v>63</v>
      </c>
      <c r="F14" t="s">
        <v>67</v>
      </c>
      <c r="N14" t="s">
        <v>75</v>
      </c>
      <c r="O14">
        <v>0</v>
      </c>
    </row>
    <row r="15" spans="1:15" hidden="1" x14ac:dyDescent="0.3">
      <c r="A15" t="s">
        <v>8</v>
      </c>
      <c r="B15">
        <v>1</v>
      </c>
      <c r="C15" t="s">
        <v>127</v>
      </c>
      <c r="D15" t="s">
        <v>259</v>
      </c>
      <c r="E15" t="s">
        <v>10</v>
      </c>
      <c r="F15" t="s">
        <v>67</v>
      </c>
      <c r="N15" t="s">
        <v>75</v>
      </c>
      <c r="O15">
        <v>0</v>
      </c>
    </row>
    <row r="16" spans="1:15" hidden="1" x14ac:dyDescent="0.3">
      <c r="A16" t="s">
        <v>8</v>
      </c>
      <c r="B16">
        <v>1</v>
      </c>
      <c r="C16" t="s">
        <v>127</v>
      </c>
      <c r="D16" t="s">
        <v>259</v>
      </c>
      <c r="E16" t="s">
        <v>11</v>
      </c>
      <c r="F16" t="s">
        <v>67</v>
      </c>
      <c r="N16" t="s">
        <v>75</v>
      </c>
      <c r="O16">
        <v>0</v>
      </c>
    </row>
    <row r="17" spans="1:15" hidden="1" x14ac:dyDescent="0.3">
      <c r="A17" t="s">
        <v>8</v>
      </c>
      <c r="B17">
        <v>1</v>
      </c>
      <c r="C17" t="s">
        <v>127</v>
      </c>
      <c r="D17" t="s">
        <v>259</v>
      </c>
      <c r="E17" t="s">
        <v>12</v>
      </c>
      <c r="F17" t="s">
        <v>67</v>
      </c>
      <c r="N17" t="s">
        <v>75</v>
      </c>
      <c r="O17">
        <v>0</v>
      </c>
    </row>
    <row r="18" spans="1:15" hidden="1" x14ac:dyDescent="0.3">
      <c r="A18" t="s">
        <v>8</v>
      </c>
      <c r="B18">
        <v>1</v>
      </c>
      <c r="C18" t="s">
        <v>127</v>
      </c>
      <c r="D18" t="s">
        <v>259</v>
      </c>
      <c r="E18" t="s">
        <v>63</v>
      </c>
      <c r="F18" t="s">
        <v>68</v>
      </c>
      <c r="N18" t="s">
        <v>75</v>
      </c>
      <c r="O18">
        <v>0</v>
      </c>
    </row>
    <row r="19" spans="1:15" hidden="1" x14ac:dyDescent="0.3">
      <c r="A19" t="s">
        <v>8</v>
      </c>
      <c r="B19">
        <v>1</v>
      </c>
      <c r="C19" t="s">
        <v>127</v>
      </c>
      <c r="D19" t="s">
        <v>259</v>
      </c>
      <c r="E19" t="s">
        <v>10</v>
      </c>
      <c r="F19" t="s">
        <v>68</v>
      </c>
      <c r="N19" t="s">
        <v>75</v>
      </c>
      <c r="O19">
        <v>0</v>
      </c>
    </row>
    <row r="20" spans="1:15" hidden="1" x14ac:dyDescent="0.3">
      <c r="A20" t="s">
        <v>8</v>
      </c>
      <c r="B20">
        <v>1</v>
      </c>
      <c r="C20" t="s">
        <v>127</v>
      </c>
      <c r="D20" t="s">
        <v>259</v>
      </c>
      <c r="E20" t="s">
        <v>11</v>
      </c>
      <c r="F20" t="s">
        <v>68</v>
      </c>
      <c r="N20" t="s">
        <v>75</v>
      </c>
      <c r="O20">
        <v>0</v>
      </c>
    </row>
    <row r="21" spans="1:15" hidden="1" x14ac:dyDescent="0.3">
      <c r="A21" t="s">
        <v>8</v>
      </c>
      <c r="B21">
        <v>1</v>
      </c>
      <c r="C21" t="s">
        <v>127</v>
      </c>
      <c r="D21" t="s">
        <v>259</v>
      </c>
      <c r="E21" t="s">
        <v>11</v>
      </c>
      <c r="F21" t="s">
        <v>69</v>
      </c>
      <c r="N21" t="s">
        <v>75</v>
      </c>
      <c r="O21">
        <v>0</v>
      </c>
    </row>
    <row r="22" spans="1:15" hidden="1" x14ac:dyDescent="0.3">
      <c r="A22" t="s">
        <v>8</v>
      </c>
      <c r="B22">
        <v>1</v>
      </c>
      <c r="C22" t="s">
        <v>127</v>
      </c>
      <c r="D22" t="s">
        <v>259</v>
      </c>
      <c r="E22" t="s">
        <v>12</v>
      </c>
      <c r="F22" t="s">
        <v>69</v>
      </c>
      <c r="N22" t="s">
        <v>75</v>
      </c>
      <c r="O22">
        <v>0</v>
      </c>
    </row>
    <row r="23" spans="1:15" hidden="1" x14ac:dyDescent="0.3">
      <c r="A23" t="s">
        <v>8</v>
      </c>
      <c r="B23">
        <v>1</v>
      </c>
      <c r="C23" t="s">
        <v>127</v>
      </c>
      <c r="D23" t="s">
        <v>116</v>
      </c>
      <c r="E23" t="s">
        <v>63</v>
      </c>
      <c r="F23" t="s">
        <v>64</v>
      </c>
      <c r="N23" t="s">
        <v>75</v>
      </c>
      <c r="O23">
        <v>0</v>
      </c>
    </row>
    <row r="24" spans="1:15" hidden="1" x14ac:dyDescent="0.3">
      <c r="A24" t="s">
        <v>8</v>
      </c>
      <c r="B24">
        <v>1</v>
      </c>
      <c r="C24" t="s">
        <v>127</v>
      </c>
      <c r="D24" t="s">
        <v>116</v>
      </c>
      <c r="E24" t="s">
        <v>10</v>
      </c>
      <c r="F24" t="s">
        <v>64</v>
      </c>
      <c r="N24" t="s">
        <v>75</v>
      </c>
      <c r="O24">
        <v>0</v>
      </c>
    </row>
    <row r="25" spans="1:15" hidden="1" x14ac:dyDescent="0.3">
      <c r="A25" t="s">
        <v>8</v>
      </c>
      <c r="B25">
        <v>1</v>
      </c>
      <c r="C25" t="s">
        <v>127</v>
      </c>
      <c r="D25" t="s">
        <v>116</v>
      </c>
      <c r="E25" t="s">
        <v>11</v>
      </c>
      <c r="F25" t="s">
        <v>64</v>
      </c>
      <c r="N25" t="s">
        <v>75</v>
      </c>
      <c r="O25">
        <v>0</v>
      </c>
    </row>
    <row r="26" spans="1:15" hidden="1" x14ac:dyDescent="0.3">
      <c r="A26" t="s">
        <v>8</v>
      </c>
      <c r="B26">
        <v>1</v>
      </c>
      <c r="C26" t="s">
        <v>127</v>
      </c>
      <c r="D26" t="s">
        <v>116</v>
      </c>
      <c r="E26" t="s">
        <v>12</v>
      </c>
      <c r="F26" t="s">
        <v>64</v>
      </c>
      <c r="N26" t="s">
        <v>75</v>
      </c>
      <c r="O26">
        <v>0</v>
      </c>
    </row>
    <row r="27" spans="1:15" hidden="1" x14ac:dyDescent="0.3">
      <c r="A27" t="s">
        <v>8</v>
      </c>
      <c r="B27">
        <v>1</v>
      </c>
      <c r="C27" t="s">
        <v>127</v>
      </c>
      <c r="D27" t="s">
        <v>116</v>
      </c>
      <c r="E27" t="s">
        <v>63</v>
      </c>
      <c r="F27" t="s">
        <v>65</v>
      </c>
      <c r="N27" t="s">
        <v>75</v>
      </c>
      <c r="O27">
        <v>0</v>
      </c>
    </row>
    <row r="28" spans="1:15" hidden="1" x14ac:dyDescent="0.3">
      <c r="A28" t="s">
        <v>8</v>
      </c>
      <c r="B28">
        <v>1</v>
      </c>
      <c r="C28" t="s">
        <v>127</v>
      </c>
      <c r="D28" t="s">
        <v>116</v>
      </c>
      <c r="E28" t="s">
        <v>10</v>
      </c>
      <c r="F28" t="s">
        <v>65</v>
      </c>
      <c r="N28" t="s">
        <v>75</v>
      </c>
      <c r="O28">
        <v>0</v>
      </c>
    </row>
    <row r="29" spans="1:15" hidden="1" x14ac:dyDescent="0.3">
      <c r="A29" t="s">
        <v>8</v>
      </c>
      <c r="B29">
        <v>1</v>
      </c>
      <c r="C29" t="s">
        <v>127</v>
      </c>
      <c r="D29" t="s">
        <v>116</v>
      </c>
      <c r="E29" t="s">
        <v>11</v>
      </c>
      <c r="F29" t="s">
        <v>65</v>
      </c>
      <c r="N29" t="s">
        <v>75</v>
      </c>
      <c r="O29">
        <v>0</v>
      </c>
    </row>
    <row r="30" spans="1:15" hidden="1" x14ac:dyDescent="0.3">
      <c r="A30" t="s">
        <v>8</v>
      </c>
      <c r="B30">
        <v>1</v>
      </c>
      <c r="C30" t="s">
        <v>127</v>
      </c>
      <c r="D30" t="s">
        <v>116</v>
      </c>
      <c r="E30" t="s">
        <v>12</v>
      </c>
      <c r="F30" t="s">
        <v>65</v>
      </c>
      <c r="N30" t="s">
        <v>75</v>
      </c>
      <c r="O30">
        <v>0</v>
      </c>
    </row>
    <row r="31" spans="1:15" hidden="1" x14ac:dyDescent="0.3">
      <c r="A31" t="s">
        <v>8</v>
      </c>
      <c r="B31">
        <v>1</v>
      </c>
      <c r="C31" t="s">
        <v>127</v>
      </c>
      <c r="D31" t="s">
        <v>116</v>
      </c>
      <c r="E31" t="s">
        <v>63</v>
      </c>
      <c r="F31" t="s">
        <v>66</v>
      </c>
      <c r="N31" t="s">
        <v>75</v>
      </c>
      <c r="O31">
        <v>0</v>
      </c>
    </row>
    <row r="32" spans="1:15" hidden="1" x14ac:dyDescent="0.3">
      <c r="A32" t="s">
        <v>8</v>
      </c>
      <c r="B32">
        <v>1</v>
      </c>
      <c r="C32" t="s">
        <v>127</v>
      </c>
      <c r="D32" t="s">
        <v>116</v>
      </c>
      <c r="E32" t="s">
        <v>10</v>
      </c>
      <c r="F32" t="s">
        <v>66</v>
      </c>
      <c r="N32" t="s">
        <v>75</v>
      </c>
      <c r="O32">
        <v>0</v>
      </c>
    </row>
    <row r="33" spans="1:15" hidden="1" x14ac:dyDescent="0.3">
      <c r="A33" t="s">
        <v>8</v>
      </c>
      <c r="B33">
        <v>1</v>
      </c>
      <c r="C33" t="s">
        <v>127</v>
      </c>
      <c r="D33" t="s">
        <v>116</v>
      </c>
      <c r="E33" t="s">
        <v>11</v>
      </c>
      <c r="F33" t="s">
        <v>66</v>
      </c>
      <c r="N33" t="s">
        <v>75</v>
      </c>
      <c r="O33">
        <v>0</v>
      </c>
    </row>
    <row r="34" spans="1:15" hidden="1" x14ac:dyDescent="0.3">
      <c r="A34" t="s">
        <v>8</v>
      </c>
      <c r="B34">
        <v>1</v>
      </c>
      <c r="C34" t="s">
        <v>127</v>
      </c>
      <c r="D34" t="s">
        <v>116</v>
      </c>
      <c r="E34" t="s">
        <v>12</v>
      </c>
      <c r="F34" t="s">
        <v>66</v>
      </c>
      <c r="N34" t="s">
        <v>75</v>
      </c>
      <c r="O34">
        <v>0</v>
      </c>
    </row>
    <row r="35" spans="1:15" hidden="1" x14ac:dyDescent="0.3">
      <c r="A35" t="s">
        <v>8</v>
      </c>
      <c r="B35">
        <v>1</v>
      </c>
      <c r="C35" t="s">
        <v>127</v>
      </c>
      <c r="D35" t="s">
        <v>116</v>
      </c>
      <c r="E35" t="s">
        <v>63</v>
      </c>
      <c r="F35" t="s">
        <v>67</v>
      </c>
      <c r="N35" t="s">
        <v>75</v>
      </c>
      <c r="O35">
        <v>0</v>
      </c>
    </row>
    <row r="36" spans="1:15" hidden="1" x14ac:dyDescent="0.3">
      <c r="A36" t="s">
        <v>8</v>
      </c>
      <c r="B36">
        <v>1</v>
      </c>
      <c r="C36" t="s">
        <v>127</v>
      </c>
      <c r="D36" t="s">
        <v>116</v>
      </c>
      <c r="E36" t="s">
        <v>10</v>
      </c>
      <c r="F36" t="s">
        <v>67</v>
      </c>
      <c r="N36" t="s">
        <v>75</v>
      </c>
      <c r="O36">
        <v>0</v>
      </c>
    </row>
    <row r="37" spans="1:15" hidden="1" x14ac:dyDescent="0.3">
      <c r="A37" t="s">
        <v>8</v>
      </c>
      <c r="B37">
        <v>1</v>
      </c>
      <c r="C37" t="s">
        <v>127</v>
      </c>
      <c r="D37" t="s">
        <v>116</v>
      </c>
      <c r="E37" t="s">
        <v>11</v>
      </c>
      <c r="F37" t="s">
        <v>67</v>
      </c>
      <c r="N37" t="s">
        <v>75</v>
      </c>
      <c r="O37">
        <v>0</v>
      </c>
    </row>
    <row r="38" spans="1:15" hidden="1" x14ac:dyDescent="0.3">
      <c r="A38" t="s">
        <v>8</v>
      </c>
      <c r="B38">
        <v>1</v>
      </c>
      <c r="C38" t="s">
        <v>127</v>
      </c>
      <c r="D38" t="s">
        <v>116</v>
      </c>
      <c r="E38" t="s">
        <v>12</v>
      </c>
      <c r="F38" t="s">
        <v>67</v>
      </c>
      <c r="N38" t="s">
        <v>75</v>
      </c>
      <c r="O38">
        <v>0</v>
      </c>
    </row>
    <row r="39" spans="1:15" hidden="1" x14ac:dyDescent="0.3">
      <c r="A39" t="s">
        <v>8</v>
      </c>
      <c r="B39">
        <v>1</v>
      </c>
      <c r="C39" t="s">
        <v>127</v>
      </c>
      <c r="D39" t="s">
        <v>116</v>
      </c>
      <c r="E39" t="s">
        <v>63</v>
      </c>
      <c r="F39" t="s">
        <v>68</v>
      </c>
      <c r="N39" t="s">
        <v>75</v>
      </c>
      <c r="O39">
        <v>0</v>
      </c>
    </row>
    <row r="40" spans="1:15" hidden="1" x14ac:dyDescent="0.3">
      <c r="A40" t="s">
        <v>8</v>
      </c>
      <c r="B40">
        <v>1</v>
      </c>
      <c r="C40" t="s">
        <v>127</v>
      </c>
      <c r="D40" t="s">
        <v>116</v>
      </c>
      <c r="E40" t="s">
        <v>10</v>
      </c>
      <c r="F40" t="s">
        <v>68</v>
      </c>
      <c r="N40" t="s">
        <v>75</v>
      </c>
      <c r="O40">
        <v>0</v>
      </c>
    </row>
    <row r="41" spans="1:15" hidden="1" x14ac:dyDescent="0.3">
      <c r="A41" t="s">
        <v>8</v>
      </c>
      <c r="B41">
        <v>1</v>
      </c>
      <c r="C41" t="s">
        <v>127</v>
      </c>
      <c r="D41" t="s">
        <v>116</v>
      </c>
      <c r="E41" t="s">
        <v>11</v>
      </c>
      <c r="F41" t="s">
        <v>68</v>
      </c>
      <c r="N41" t="s">
        <v>75</v>
      </c>
      <c r="O41">
        <v>0</v>
      </c>
    </row>
    <row r="42" spans="1:15" hidden="1" x14ac:dyDescent="0.3">
      <c r="A42" t="s">
        <v>8</v>
      </c>
      <c r="B42">
        <v>1</v>
      </c>
      <c r="C42" t="s">
        <v>127</v>
      </c>
      <c r="D42" t="s">
        <v>116</v>
      </c>
      <c r="E42" t="s">
        <v>11</v>
      </c>
      <c r="F42" t="s">
        <v>69</v>
      </c>
      <c r="N42" t="s">
        <v>75</v>
      </c>
      <c r="O42">
        <v>0</v>
      </c>
    </row>
    <row r="43" spans="1:15" hidden="1" x14ac:dyDescent="0.3">
      <c r="A43" t="s">
        <v>8</v>
      </c>
      <c r="B43">
        <v>1</v>
      </c>
      <c r="C43" t="s">
        <v>127</v>
      </c>
      <c r="D43" t="s">
        <v>116</v>
      </c>
      <c r="E43" t="s">
        <v>12</v>
      </c>
      <c r="F43" t="s">
        <v>69</v>
      </c>
      <c r="N43" t="s">
        <v>75</v>
      </c>
      <c r="O43">
        <v>0</v>
      </c>
    </row>
    <row r="44" spans="1:15" hidden="1" x14ac:dyDescent="0.3">
      <c r="A44" t="s">
        <v>8</v>
      </c>
      <c r="B44">
        <v>1</v>
      </c>
      <c r="C44" t="s">
        <v>127</v>
      </c>
      <c r="D44" t="s">
        <v>117</v>
      </c>
      <c r="E44" t="s">
        <v>63</v>
      </c>
      <c r="F44" t="s">
        <v>64</v>
      </c>
      <c r="N44" t="s">
        <v>75</v>
      </c>
      <c r="O44">
        <v>0</v>
      </c>
    </row>
    <row r="45" spans="1:15" hidden="1" x14ac:dyDescent="0.3">
      <c r="A45" t="s">
        <v>8</v>
      </c>
      <c r="B45">
        <v>1</v>
      </c>
      <c r="C45" t="s">
        <v>127</v>
      </c>
      <c r="D45" t="s">
        <v>117</v>
      </c>
      <c r="E45" t="s">
        <v>10</v>
      </c>
      <c r="F45" t="s">
        <v>64</v>
      </c>
      <c r="N45" t="s">
        <v>75</v>
      </c>
      <c r="O45">
        <v>0</v>
      </c>
    </row>
    <row r="46" spans="1:15" hidden="1" x14ac:dyDescent="0.3">
      <c r="A46" t="s">
        <v>8</v>
      </c>
      <c r="B46">
        <v>1</v>
      </c>
      <c r="C46" t="s">
        <v>127</v>
      </c>
      <c r="D46" t="s">
        <v>117</v>
      </c>
      <c r="E46" t="s">
        <v>11</v>
      </c>
      <c r="F46" t="s">
        <v>64</v>
      </c>
      <c r="N46" t="s">
        <v>75</v>
      </c>
      <c r="O46">
        <v>0</v>
      </c>
    </row>
    <row r="47" spans="1:15" hidden="1" x14ac:dyDescent="0.3">
      <c r="A47" t="s">
        <v>8</v>
      </c>
      <c r="B47">
        <v>1</v>
      </c>
      <c r="C47" t="s">
        <v>127</v>
      </c>
      <c r="D47" t="s">
        <v>117</v>
      </c>
      <c r="E47" t="s">
        <v>12</v>
      </c>
      <c r="F47" t="s">
        <v>64</v>
      </c>
      <c r="N47" t="s">
        <v>75</v>
      </c>
      <c r="O47">
        <v>0</v>
      </c>
    </row>
    <row r="48" spans="1:15" hidden="1" x14ac:dyDescent="0.3">
      <c r="A48" t="s">
        <v>8</v>
      </c>
      <c r="B48">
        <v>1</v>
      </c>
      <c r="C48" t="s">
        <v>127</v>
      </c>
      <c r="D48" t="s">
        <v>117</v>
      </c>
      <c r="E48" t="s">
        <v>63</v>
      </c>
      <c r="F48" t="s">
        <v>65</v>
      </c>
      <c r="N48" t="s">
        <v>75</v>
      </c>
      <c r="O48">
        <v>0</v>
      </c>
    </row>
    <row r="49" spans="1:15" hidden="1" x14ac:dyDescent="0.3">
      <c r="A49" t="s">
        <v>8</v>
      </c>
      <c r="B49">
        <v>1</v>
      </c>
      <c r="C49" t="s">
        <v>127</v>
      </c>
      <c r="D49" t="s">
        <v>117</v>
      </c>
      <c r="E49" t="s">
        <v>10</v>
      </c>
      <c r="F49" t="s">
        <v>65</v>
      </c>
      <c r="N49" t="s">
        <v>75</v>
      </c>
      <c r="O49">
        <v>0</v>
      </c>
    </row>
    <row r="50" spans="1:15" hidden="1" x14ac:dyDescent="0.3">
      <c r="A50" t="s">
        <v>8</v>
      </c>
      <c r="B50">
        <v>1</v>
      </c>
      <c r="C50" t="s">
        <v>127</v>
      </c>
      <c r="D50" t="s">
        <v>117</v>
      </c>
      <c r="E50" t="s">
        <v>11</v>
      </c>
      <c r="F50" t="s">
        <v>65</v>
      </c>
      <c r="N50" t="s">
        <v>75</v>
      </c>
      <c r="O50">
        <v>0</v>
      </c>
    </row>
    <row r="51" spans="1:15" hidden="1" x14ac:dyDescent="0.3">
      <c r="A51" t="s">
        <v>8</v>
      </c>
      <c r="B51">
        <v>1</v>
      </c>
      <c r="C51" t="s">
        <v>127</v>
      </c>
      <c r="D51" t="s">
        <v>117</v>
      </c>
      <c r="E51" t="s">
        <v>12</v>
      </c>
      <c r="F51" t="s">
        <v>65</v>
      </c>
      <c r="N51" t="s">
        <v>75</v>
      </c>
      <c r="O51">
        <v>0</v>
      </c>
    </row>
    <row r="52" spans="1:15" hidden="1" x14ac:dyDescent="0.3">
      <c r="A52" t="s">
        <v>8</v>
      </c>
      <c r="B52">
        <v>1</v>
      </c>
      <c r="C52" t="s">
        <v>127</v>
      </c>
      <c r="D52" t="s">
        <v>117</v>
      </c>
      <c r="E52" t="s">
        <v>11</v>
      </c>
      <c r="F52" t="s">
        <v>66</v>
      </c>
      <c r="N52" t="s">
        <v>75</v>
      </c>
      <c r="O52">
        <v>0</v>
      </c>
    </row>
    <row r="53" spans="1:15" hidden="1" x14ac:dyDescent="0.3">
      <c r="A53" t="s">
        <v>8</v>
      </c>
      <c r="B53">
        <v>1</v>
      </c>
      <c r="C53" t="s">
        <v>127</v>
      </c>
      <c r="D53" t="s">
        <v>117</v>
      </c>
      <c r="E53" t="s">
        <v>12</v>
      </c>
      <c r="F53" t="s">
        <v>66</v>
      </c>
      <c r="N53" t="s">
        <v>75</v>
      </c>
      <c r="O53">
        <v>0</v>
      </c>
    </row>
    <row r="54" spans="1:15" hidden="1" x14ac:dyDescent="0.3">
      <c r="A54" t="s">
        <v>8</v>
      </c>
      <c r="B54">
        <v>1</v>
      </c>
      <c r="C54" t="s">
        <v>127</v>
      </c>
      <c r="D54" t="s">
        <v>117</v>
      </c>
      <c r="E54" t="s">
        <v>63</v>
      </c>
      <c r="F54" t="s">
        <v>66</v>
      </c>
      <c r="N54" t="s">
        <v>75</v>
      </c>
      <c r="O54">
        <v>0</v>
      </c>
    </row>
    <row r="55" spans="1:15" hidden="1" x14ac:dyDescent="0.3">
      <c r="A55" t="s">
        <v>8</v>
      </c>
      <c r="B55">
        <v>1</v>
      </c>
      <c r="C55" t="s">
        <v>127</v>
      </c>
      <c r="D55" t="s">
        <v>117</v>
      </c>
      <c r="E55" t="s">
        <v>10</v>
      </c>
      <c r="F55" t="s">
        <v>66</v>
      </c>
      <c r="N55" t="s">
        <v>75</v>
      </c>
      <c r="O55">
        <v>0</v>
      </c>
    </row>
    <row r="56" spans="1:15" hidden="1" x14ac:dyDescent="0.3">
      <c r="A56" t="s">
        <v>8</v>
      </c>
      <c r="B56">
        <v>1</v>
      </c>
      <c r="C56" t="s">
        <v>127</v>
      </c>
      <c r="D56" t="s">
        <v>117</v>
      </c>
      <c r="E56" t="s">
        <v>63</v>
      </c>
      <c r="F56" t="s">
        <v>67</v>
      </c>
      <c r="N56" t="s">
        <v>75</v>
      </c>
      <c r="O56">
        <v>0</v>
      </c>
    </row>
    <row r="57" spans="1:15" hidden="1" x14ac:dyDescent="0.3">
      <c r="A57" t="s">
        <v>8</v>
      </c>
      <c r="B57">
        <v>1</v>
      </c>
      <c r="C57" t="s">
        <v>127</v>
      </c>
      <c r="D57" t="s">
        <v>117</v>
      </c>
      <c r="E57" t="s">
        <v>10</v>
      </c>
      <c r="F57" t="s">
        <v>67</v>
      </c>
      <c r="N57" t="s">
        <v>75</v>
      </c>
      <c r="O57">
        <v>0</v>
      </c>
    </row>
    <row r="58" spans="1:15" hidden="1" x14ac:dyDescent="0.3">
      <c r="A58" t="s">
        <v>8</v>
      </c>
      <c r="B58">
        <v>1</v>
      </c>
      <c r="C58" t="s">
        <v>127</v>
      </c>
      <c r="D58" t="s">
        <v>117</v>
      </c>
      <c r="E58" t="s">
        <v>11</v>
      </c>
      <c r="F58" t="s">
        <v>67</v>
      </c>
      <c r="N58" t="s">
        <v>75</v>
      </c>
      <c r="O58">
        <v>0</v>
      </c>
    </row>
    <row r="59" spans="1:15" hidden="1" x14ac:dyDescent="0.3">
      <c r="A59" t="s">
        <v>8</v>
      </c>
      <c r="B59">
        <v>1</v>
      </c>
      <c r="C59" t="s">
        <v>127</v>
      </c>
      <c r="D59" t="s">
        <v>117</v>
      </c>
      <c r="E59" t="s">
        <v>12</v>
      </c>
      <c r="F59" t="s">
        <v>67</v>
      </c>
      <c r="N59" t="s">
        <v>75</v>
      </c>
      <c r="O59">
        <v>0</v>
      </c>
    </row>
    <row r="60" spans="1:15" hidden="1" x14ac:dyDescent="0.3">
      <c r="A60" t="s">
        <v>8</v>
      </c>
      <c r="B60">
        <v>1</v>
      </c>
      <c r="C60" t="s">
        <v>127</v>
      </c>
      <c r="D60" t="s">
        <v>117</v>
      </c>
      <c r="E60" t="s">
        <v>63</v>
      </c>
      <c r="F60" t="s">
        <v>68</v>
      </c>
      <c r="N60" t="s">
        <v>75</v>
      </c>
      <c r="O60">
        <v>0</v>
      </c>
    </row>
    <row r="61" spans="1:15" hidden="1" x14ac:dyDescent="0.3">
      <c r="A61" t="s">
        <v>8</v>
      </c>
      <c r="B61">
        <v>1</v>
      </c>
      <c r="C61" t="s">
        <v>127</v>
      </c>
      <c r="D61" t="s">
        <v>117</v>
      </c>
      <c r="E61" t="s">
        <v>10</v>
      </c>
      <c r="F61" t="s">
        <v>68</v>
      </c>
      <c r="N61" t="s">
        <v>75</v>
      </c>
      <c r="O61">
        <v>0</v>
      </c>
    </row>
    <row r="62" spans="1:15" hidden="1" x14ac:dyDescent="0.3">
      <c r="A62" t="s">
        <v>8</v>
      </c>
      <c r="B62">
        <v>1</v>
      </c>
      <c r="C62" t="s">
        <v>127</v>
      </c>
      <c r="D62" t="s">
        <v>117</v>
      </c>
      <c r="E62" t="s">
        <v>11</v>
      </c>
      <c r="F62" t="s">
        <v>68</v>
      </c>
      <c r="N62" t="s">
        <v>75</v>
      </c>
      <c r="O62">
        <v>0</v>
      </c>
    </row>
    <row r="63" spans="1:15" hidden="1" x14ac:dyDescent="0.3">
      <c r="A63" t="s">
        <v>8</v>
      </c>
      <c r="B63">
        <v>1</v>
      </c>
      <c r="C63" t="s">
        <v>127</v>
      </c>
      <c r="D63" t="s">
        <v>117</v>
      </c>
      <c r="E63" t="s">
        <v>11</v>
      </c>
      <c r="F63" t="s">
        <v>69</v>
      </c>
      <c r="N63" t="s">
        <v>75</v>
      </c>
      <c r="O63">
        <v>0</v>
      </c>
    </row>
    <row r="64" spans="1:15" hidden="1" x14ac:dyDescent="0.3">
      <c r="A64" t="s">
        <v>8</v>
      </c>
      <c r="B64">
        <v>1</v>
      </c>
      <c r="C64" t="s">
        <v>127</v>
      </c>
      <c r="D64" t="s">
        <v>117</v>
      </c>
      <c r="E64" t="s">
        <v>12</v>
      </c>
      <c r="F64" t="s">
        <v>69</v>
      </c>
      <c r="N64" t="s">
        <v>75</v>
      </c>
      <c r="O64">
        <v>0</v>
      </c>
    </row>
    <row r="65" spans="1:15" hidden="1" x14ac:dyDescent="0.3">
      <c r="A65" t="s">
        <v>76</v>
      </c>
      <c r="B65">
        <v>2</v>
      </c>
      <c r="C65" t="s">
        <v>130</v>
      </c>
      <c r="D65" t="s">
        <v>259</v>
      </c>
      <c r="E65" t="s">
        <v>10</v>
      </c>
      <c r="I65" t="s">
        <v>77</v>
      </c>
      <c r="K65" t="s">
        <v>49</v>
      </c>
      <c r="N65" t="s">
        <v>78</v>
      </c>
      <c r="O65">
        <v>0</v>
      </c>
    </row>
    <row r="66" spans="1:15" hidden="1" x14ac:dyDescent="0.3">
      <c r="A66" t="s">
        <v>76</v>
      </c>
      <c r="B66">
        <v>2</v>
      </c>
      <c r="C66" t="s">
        <v>130</v>
      </c>
      <c r="D66" t="s">
        <v>259</v>
      </c>
      <c r="E66" t="s">
        <v>12</v>
      </c>
      <c r="I66" t="s">
        <v>77</v>
      </c>
      <c r="K66" t="s">
        <v>49</v>
      </c>
      <c r="N66" t="s">
        <v>78</v>
      </c>
      <c r="O66">
        <v>0</v>
      </c>
    </row>
    <row r="67" spans="1:15" hidden="1" x14ac:dyDescent="0.3">
      <c r="A67" t="s">
        <v>76</v>
      </c>
      <c r="B67">
        <v>2</v>
      </c>
      <c r="C67" t="s">
        <v>130</v>
      </c>
      <c r="D67" t="s">
        <v>116</v>
      </c>
      <c r="E67" t="s">
        <v>10</v>
      </c>
      <c r="I67" t="s">
        <v>77</v>
      </c>
      <c r="K67" t="s">
        <v>49</v>
      </c>
      <c r="N67" t="s">
        <v>78</v>
      </c>
      <c r="O67">
        <v>0</v>
      </c>
    </row>
    <row r="68" spans="1:15" hidden="1" x14ac:dyDescent="0.3">
      <c r="A68" t="s">
        <v>76</v>
      </c>
      <c r="B68">
        <v>2</v>
      </c>
      <c r="C68" t="s">
        <v>130</v>
      </c>
      <c r="D68" t="s">
        <v>116</v>
      </c>
      <c r="E68" t="s">
        <v>12</v>
      </c>
      <c r="I68" t="s">
        <v>77</v>
      </c>
      <c r="K68" t="s">
        <v>49</v>
      </c>
      <c r="N68" t="s">
        <v>78</v>
      </c>
      <c r="O68">
        <v>0</v>
      </c>
    </row>
    <row r="69" spans="1:15" hidden="1" x14ac:dyDescent="0.3">
      <c r="A69" t="s">
        <v>76</v>
      </c>
      <c r="B69">
        <v>2</v>
      </c>
      <c r="C69" t="s">
        <v>130</v>
      </c>
      <c r="D69" t="s">
        <v>117</v>
      </c>
      <c r="E69" t="s">
        <v>10</v>
      </c>
      <c r="I69" t="s">
        <v>77</v>
      </c>
      <c r="K69" t="s">
        <v>49</v>
      </c>
      <c r="N69" t="s">
        <v>78</v>
      </c>
      <c r="O69">
        <v>0</v>
      </c>
    </row>
    <row r="70" spans="1:15" hidden="1" x14ac:dyDescent="0.3">
      <c r="A70" t="s">
        <v>76</v>
      </c>
      <c r="B70">
        <v>2</v>
      </c>
      <c r="C70" t="s">
        <v>130</v>
      </c>
      <c r="D70" t="s">
        <v>117</v>
      </c>
      <c r="E70" t="s">
        <v>12</v>
      </c>
      <c r="I70" t="s">
        <v>77</v>
      </c>
      <c r="K70" t="s">
        <v>49</v>
      </c>
      <c r="N70" t="s">
        <v>78</v>
      </c>
      <c r="O70">
        <v>0</v>
      </c>
    </row>
    <row r="71" spans="1:15" hidden="1" x14ac:dyDescent="0.3">
      <c r="A71" t="s">
        <v>76</v>
      </c>
      <c r="B71">
        <v>2</v>
      </c>
      <c r="C71" t="s">
        <v>130</v>
      </c>
      <c r="D71" t="s">
        <v>259</v>
      </c>
      <c r="E71" t="s">
        <v>10</v>
      </c>
      <c r="I71" t="s">
        <v>79</v>
      </c>
      <c r="K71" t="s">
        <v>49</v>
      </c>
      <c r="N71" t="s">
        <v>78</v>
      </c>
      <c r="O71">
        <v>0</v>
      </c>
    </row>
    <row r="72" spans="1:15" hidden="1" x14ac:dyDescent="0.3">
      <c r="A72" t="s">
        <v>76</v>
      </c>
      <c r="B72">
        <v>2</v>
      </c>
      <c r="C72" t="s">
        <v>130</v>
      </c>
      <c r="D72" t="s">
        <v>259</v>
      </c>
      <c r="E72" t="s">
        <v>12</v>
      </c>
      <c r="I72" t="s">
        <v>79</v>
      </c>
      <c r="K72" t="s">
        <v>49</v>
      </c>
      <c r="N72" t="s">
        <v>78</v>
      </c>
      <c r="O72">
        <v>0</v>
      </c>
    </row>
    <row r="73" spans="1:15" hidden="1" x14ac:dyDescent="0.3">
      <c r="A73" t="s">
        <v>76</v>
      </c>
      <c r="B73">
        <v>2</v>
      </c>
      <c r="C73" t="s">
        <v>130</v>
      </c>
      <c r="D73" t="s">
        <v>116</v>
      </c>
      <c r="E73" t="s">
        <v>10</v>
      </c>
      <c r="I73" t="s">
        <v>79</v>
      </c>
      <c r="K73" t="s">
        <v>49</v>
      </c>
      <c r="N73" t="s">
        <v>78</v>
      </c>
      <c r="O73">
        <v>0</v>
      </c>
    </row>
    <row r="74" spans="1:15" hidden="1" x14ac:dyDescent="0.3">
      <c r="A74" t="s">
        <v>76</v>
      </c>
      <c r="B74">
        <v>2</v>
      </c>
      <c r="C74" t="s">
        <v>130</v>
      </c>
      <c r="D74" t="s">
        <v>116</v>
      </c>
      <c r="E74" t="s">
        <v>12</v>
      </c>
      <c r="I74" t="s">
        <v>79</v>
      </c>
      <c r="K74" t="s">
        <v>49</v>
      </c>
      <c r="N74" t="s">
        <v>78</v>
      </c>
      <c r="O74">
        <v>0</v>
      </c>
    </row>
    <row r="75" spans="1:15" hidden="1" x14ac:dyDescent="0.3">
      <c r="A75" t="s">
        <v>76</v>
      </c>
      <c r="B75">
        <v>2</v>
      </c>
      <c r="C75" t="s">
        <v>130</v>
      </c>
      <c r="D75" t="s">
        <v>117</v>
      </c>
      <c r="E75" t="s">
        <v>10</v>
      </c>
      <c r="I75" t="s">
        <v>79</v>
      </c>
      <c r="K75" t="s">
        <v>49</v>
      </c>
      <c r="N75" t="s">
        <v>78</v>
      </c>
      <c r="O75">
        <v>0</v>
      </c>
    </row>
    <row r="76" spans="1:15" hidden="1" x14ac:dyDescent="0.3">
      <c r="A76" t="s">
        <v>76</v>
      </c>
      <c r="B76">
        <v>2</v>
      </c>
      <c r="C76" t="s">
        <v>130</v>
      </c>
      <c r="D76" t="s">
        <v>117</v>
      </c>
      <c r="E76" t="s">
        <v>12</v>
      </c>
      <c r="I76" t="s">
        <v>79</v>
      </c>
      <c r="K76" t="s">
        <v>49</v>
      </c>
      <c r="N76" t="s">
        <v>78</v>
      </c>
      <c r="O76">
        <v>0</v>
      </c>
    </row>
    <row r="77" spans="1:15" hidden="1" x14ac:dyDescent="0.3">
      <c r="A77" t="s">
        <v>76</v>
      </c>
      <c r="B77">
        <v>2</v>
      </c>
      <c r="C77" t="s">
        <v>130</v>
      </c>
      <c r="D77" t="s">
        <v>259</v>
      </c>
      <c r="E77" t="s">
        <v>10</v>
      </c>
      <c r="I77" t="s">
        <v>81</v>
      </c>
      <c r="K77" t="s">
        <v>49</v>
      </c>
      <c r="N77" t="s">
        <v>78</v>
      </c>
      <c r="O77">
        <v>0</v>
      </c>
    </row>
    <row r="78" spans="1:15" hidden="1" x14ac:dyDescent="0.3">
      <c r="A78" t="s">
        <v>76</v>
      </c>
      <c r="B78">
        <v>2</v>
      </c>
      <c r="C78" t="s">
        <v>130</v>
      </c>
      <c r="D78" t="s">
        <v>259</v>
      </c>
      <c r="E78" t="s">
        <v>12</v>
      </c>
      <c r="I78" t="s">
        <v>81</v>
      </c>
      <c r="K78" t="s">
        <v>49</v>
      </c>
      <c r="N78" t="s">
        <v>78</v>
      </c>
      <c r="O78">
        <v>0</v>
      </c>
    </row>
    <row r="79" spans="1:15" hidden="1" x14ac:dyDescent="0.3">
      <c r="A79" t="s">
        <v>76</v>
      </c>
      <c r="B79">
        <v>2</v>
      </c>
      <c r="C79" t="s">
        <v>130</v>
      </c>
      <c r="D79" t="s">
        <v>116</v>
      </c>
      <c r="E79" t="s">
        <v>10</v>
      </c>
      <c r="I79" t="s">
        <v>81</v>
      </c>
      <c r="K79" t="s">
        <v>49</v>
      </c>
      <c r="N79" t="s">
        <v>78</v>
      </c>
      <c r="O79">
        <v>0</v>
      </c>
    </row>
    <row r="80" spans="1:15" hidden="1" x14ac:dyDescent="0.3">
      <c r="A80" t="s">
        <v>76</v>
      </c>
      <c r="B80">
        <v>2</v>
      </c>
      <c r="C80" t="s">
        <v>130</v>
      </c>
      <c r="D80" t="s">
        <v>116</v>
      </c>
      <c r="E80" t="s">
        <v>12</v>
      </c>
      <c r="I80" t="s">
        <v>81</v>
      </c>
      <c r="K80" t="s">
        <v>49</v>
      </c>
      <c r="N80" t="s">
        <v>78</v>
      </c>
      <c r="O80">
        <v>0</v>
      </c>
    </row>
    <row r="81" spans="1:15" hidden="1" x14ac:dyDescent="0.3">
      <c r="A81" t="s">
        <v>76</v>
      </c>
      <c r="B81">
        <v>2</v>
      </c>
      <c r="C81" t="s">
        <v>130</v>
      </c>
      <c r="D81" t="s">
        <v>117</v>
      </c>
      <c r="E81" t="s">
        <v>10</v>
      </c>
      <c r="I81" t="s">
        <v>81</v>
      </c>
      <c r="K81" t="s">
        <v>49</v>
      </c>
      <c r="N81" t="s">
        <v>78</v>
      </c>
      <c r="O81">
        <v>0</v>
      </c>
    </row>
    <row r="82" spans="1:15" hidden="1" x14ac:dyDescent="0.3">
      <c r="A82" t="s">
        <v>76</v>
      </c>
      <c r="B82">
        <v>2</v>
      </c>
      <c r="C82" t="s">
        <v>130</v>
      </c>
      <c r="D82" t="s">
        <v>117</v>
      </c>
      <c r="E82" t="s">
        <v>12</v>
      </c>
      <c r="I82" t="s">
        <v>81</v>
      </c>
      <c r="K82" t="s">
        <v>49</v>
      </c>
      <c r="N82" t="s">
        <v>78</v>
      </c>
      <c r="O82">
        <v>0</v>
      </c>
    </row>
    <row r="83" spans="1:15" hidden="1" x14ac:dyDescent="0.3">
      <c r="A83" t="s">
        <v>80</v>
      </c>
      <c r="B83">
        <v>3</v>
      </c>
      <c r="C83" t="s">
        <v>124</v>
      </c>
      <c r="D83" t="s">
        <v>259</v>
      </c>
      <c r="E83" t="s">
        <v>10</v>
      </c>
      <c r="I83" t="s">
        <v>58</v>
      </c>
      <c r="K83" t="s">
        <v>52</v>
      </c>
      <c r="N83" t="s">
        <v>78</v>
      </c>
      <c r="O83">
        <v>0</v>
      </c>
    </row>
    <row r="84" spans="1:15" hidden="1" x14ac:dyDescent="0.3">
      <c r="A84" t="s">
        <v>80</v>
      </c>
      <c r="B84">
        <v>3</v>
      </c>
      <c r="C84" t="s">
        <v>124</v>
      </c>
      <c r="D84" t="s">
        <v>259</v>
      </c>
      <c r="E84" t="s">
        <v>12</v>
      </c>
      <c r="I84" t="s">
        <v>58</v>
      </c>
      <c r="K84" t="s">
        <v>52</v>
      </c>
      <c r="N84" t="s">
        <v>78</v>
      </c>
      <c r="O84">
        <v>0</v>
      </c>
    </row>
    <row r="85" spans="1:15" hidden="1" x14ac:dyDescent="0.3">
      <c r="A85" t="s">
        <v>80</v>
      </c>
      <c r="B85">
        <v>3</v>
      </c>
      <c r="C85" t="s">
        <v>124</v>
      </c>
      <c r="D85" t="s">
        <v>116</v>
      </c>
      <c r="E85" t="s">
        <v>10</v>
      </c>
      <c r="I85" t="s">
        <v>58</v>
      </c>
      <c r="K85" t="s">
        <v>52</v>
      </c>
      <c r="N85" t="s">
        <v>78</v>
      </c>
      <c r="O85">
        <v>0</v>
      </c>
    </row>
    <row r="86" spans="1:15" hidden="1" x14ac:dyDescent="0.3">
      <c r="A86" t="s">
        <v>80</v>
      </c>
      <c r="B86">
        <v>3</v>
      </c>
      <c r="C86" t="s">
        <v>124</v>
      </c>
      <c r="D86" t="s">
        <v>116</v>
      </c>
      <c r="E86" t="s">
        <v>12</v>
      </c>
      <c r="I86" t="s">
        <v>58</v>
      </c>
      <c r="K86" t="s">
        <v>52</v>
      </c>
      <c r="N86" t="s">
        <v>78</v>
      </c>
      <c r="O86">
        <v>0</v>
      </c>
    </row>
    <row r="87" spans="1:15" hidden="1" x14ac:dyDescent="0.3">
      <c r="A87" t="s">
        <v>80</v>
      </c>
      <c r="B87">
        <v>3</v>
      </c>
      <c r="C87" t="s">
        <v>124</v>
      </c>
      <c r="D87" t="s">
        <v>117</v>
      </c>
      <c r="E87" t="s">
        <v>10</v>
      </c>
      <c r="I87" t="s">
        <v>58</v>
      </c>
      <c r="K87" t="s">
        <v>52</v>
      </c>
      <c r="N87" t="s">
        <v>78</v>
      </c>
      <c r="O87">
        <v>0</v>
      </c>
    </row>
    <row r="88" spans="1:15" hidden="1" x14ac:dyDescent="0.3">
      <c r="A88" t="s">
        <v>80</v>
      </c>
      <c r="B88">
        <v>3</v>
      </c>
      <c r="C88" t="s">
        <v>124</v>
      </c>
      <c r="D88" t="s">
        <v>117</v>
      </c>
      <c r="E88" t="s">
        <v>12</v>
      </c>
      <c r="I88" t="s">
        <v>58</v>
      </c>
      <c r="K88" t="s">
        <v>52</v>
      </c>
      <c r="N88" t="s">
        <v>78</v>
      </c>
      <c r="O88">
        <v>0</v>
      </c>
    </row>
    <row r="89" spans="1:15" hidden="1" x14ac:dyDescent="0.3">
      <c r="A89" t="s">
        <v>80</v>
      </c>
      <c r="B89">
        <v>3</v>
      </c>
      <c r="C89" t="s">
        <v>124</v>
      </c>
      <c r="D89" t="s">
        <v>259</v>
      </c>
      <c r="E89" t="s">
        <v>10</v>
      </c>
      <c r="I89" t="s">
        <v>81</v>
      </c>
      <c r="K89" t="s">
        <v>52</v>
      </c>
      <c r="N89" t="s">
        <v>78</v>
      </c>
      <c r="O89">
        <v>0</v>
      </c>
    </row>
    <row r="90" spans="1:15" hidden="1" x14ac:dyDescent="0.3">
      <c r="A90" t="s">
        <v>80</v>
      </c>
      <c r="B90">
        <v>3</v>
      </c>
      <c r="C90" t="s">
        <v>124</v>
      </c>
      <c r="D90" t="s">
        <v>259</v>
      </c>
      <c r="E90" t="s">
        <v>12</v>
      </c>
      <c r="I90" t="s">
        <v>81</v>
      </c>
      <c r="K90" t="s">
        <v>52</v>
      </c>
      <c r="N90" t="s">
        <v>78</v>
      </c>
      <c r="O90">
        <v>0</v>
      </c>
    </row>
    <row r="91" spans="1:15" hidden="1" x14ac:dyDescent="0.3">
      <c r="A91" t="s">
        <v>80</v>
      </c>
      <c r="B91">
        <v>3</v>
      </c>
      <c r="C91" t="s">
        <v>124</v>
      </c>
      <c r="D91" t="s">
        <v>116</v>
      </c>
      <c r="E91" t="s">
        <v>10</v>
      </c>
      <c r="I91" t="s">
        <v>81</v>
      </c>
      <c r="K91" t="s">
        <v>52</v>
      </c>
      <c r="N91" t="s">
        <v>78</v>
      </c>
      <c r="O91">
        <v>0</v>
      </c>
    </row>
    <row r="92" spans="1:15" hidden="1" x14ac:dyDescent="0.3">
      <c r="A92" t="s">
        <v>80</v>
      </c>
      <c r="B92">
        <v>3</v>
      </c>
      <c r="C92" t="s">
        <v>124</v>
      </c>
      <c r="D92" t="s">
        <v>116</v>
      </c>
      <c r="E92" t="s">
        <v>12</v>
      </c>
      <c r="I92" t="s">
        <v>81</v>
      </c>
      <c r="K92" t="s">
        <v>52</v>
      </c>
      <c r="N92" t="s">
        <v>78</v>
      </c>
      <c r="O92">
        <v>0</v>
      </c>
    </row>
    <row r="93" spans="1:15" hidden="1" x14ac:dyDescent="0.3">
      <c r="A93" t="s">
        <v>80</v>
      </c>
      <c r="B93">
        <v>3</v>
      </c>
      <c r="C93" t="s">
        <v>124</v>
      </c>
      <c r="D93" t="s">
        <v>117</v>
      </c>
      <c r="E93" t="s">
        <v>10</v>
      </c>
      <c r="I93" t="s">
        <v>81</v>
      </c>
      <c r="K93" t="s">
        <v>52</v>
      </c>
      <c r="N93" t="s">
        <v>78</v>
      </c>
      <c r="O93">
        <v>0</v>
      </c>
    </row>
    <row r="94" spans="1:15" hidden="1" x14ac:dyDescent="0.3">
      <c r="A94" t="s">
        <v>80</v>
      </c>
      <c r="B94">
        <v>3</v>
      </c>
      <c r="C94" t="s">
        <v>124</v>
      </c>
      <c r="D94" t="s">
        <v>117</v>
      </c>
      <c r="E94" t="s">
        <v>12</v>
      </c>
      <c r="I94" t="s">
        <v>81</v>
      </c>
      <c r="K94" t="s">
        <v>52</v>
      </c>
      <c r="N94" t="s">
        <v>78</v>
      </c>
      <c r="O94">
        <v>0</v>
      </c>
    </row>
    <row r="95" spans="1:15" hidden="1" x14ac:dyDescent="0.3">
      <c r="A95" t="s">
        <v>80</v>
      </c>
      <c r="B95">
        <v>3</v>
      </c>
      <c r="C95" t="s">
        <v>124</v>
      </c>
      <c r="D95" t="s">
        <v>259</v>
      </c>
      <c r="E95" t="s">
        <v>10</v>
      </c>
      <c r="I95" t="s">
        <v>82</v>
      </c>
      <c r="K95" t="s">
        <v>52</v>
      </c>
      <c r="N95" t="s">
        <v>78</v>
      </c>
      <c r="O95">
        <v>0</v>
      </c>
    </row>
    <row r="96" spans="1:15" hidden="1" x14ac:dyDescent="0.3">
      <c r="A96" t="s">
        <v>80</v>
      </c>
      <c r="B96">
        <v>3</v>
      </c>
      <c r="C96" t="s">
        <v>124</v>
      </c>
      <c r="D96" t="s">
        <v>259</v>
      </c>
      <c r="E96" t="s">
        <v>12</v>
      </c>
      <c r="I96" t="s">
        <v>82</v>
      </c>
      <c r="K96" t="s">
        <v>52</v>
      </c>
      <c r="N96" t="s">
        <v>78</v>
      </c>
      <c r="O96">
        <v>0</v>
      </c>
    </row>
    <row r="97" spans="1:15" hidden="1" x14ac:dyDescent="0.3">
      <c r="A97" t="s">
        <v>80</v>
      </c>
      <c r="B97">
        <v>3</v>
      </c>
      <c r="C97" t="s">
        <v>124</v>
      </c>
      <c r="D97" t="s">
        <v>116</v>
      </c>
      <c r="E97" t="s">
        <v>10</v>
      </c>
      <c r="I97" t="s">
        <v>82</v>
      </c>
      <c r="K97" t="s">
        <v>52</v>
      </c>
      <c r="N97" t="s">
        <v>78</v>
      </c>
      <c r="O97">
        <v>0</v>
      </c>
    </row>
    <row r="98" spans="1:15" hidden="1" x14ac:dyDescent="0.3">
      <c r="A98" t="s">
        <v>80</v>
      </c>
      <c r="B98">
        <v>3</v>
      </c>
      <c r="C98" t="s">
        <v>124</v>
      </c>
      <c r="D98" t="s">
        <v>116</v>
      </c>
      <c r="E98" t="s">
        <v>12</v>
      </c>
      <c r="I98" t="s">
        <v>82</v>
      </c>
      <c r="K98" t="s">
        <v>52</v>
      </c>
      <c r="N98" t="s">
        <v>78</v>
      </c>
      <c r="O98">
        <v>0</v>
      </c>
    </row>
    <row r="99" spans="1:15" hidden="1" x14ac:dyDescent="0.3">
      <c r="A99" t="s">
        <v>80</v>
      </c>
      <c r="B99">
        <v>3</v>
      </c>
      <c r="C99" t="s">
        <v>124</v>
      </c>
      <c r="D99" t="s">
        <v>117</v>
      </c>
      <c r="E99" t="s">
        <v>10</v>
      </c>
      <c r="I99" t="s">
        <v>82</v>
      </c>
      <c r="K99" t="s">
        <v>52</v>
      </c>
      <c r="N99" t="s">
        <v>78</v>
      </c>
      <c r="O99">
        <v>0</v>
      </c>
    </row>
    <row r="100" spans="1:15" hidden="1" x14ac:dyDescent="0.3">
      <c r="A100" t="s">
        <v>80</v>
      </c>
      <c r="B100">
        <v>3</v>
      </c>
      <c r="C100" t="s">
        <v>124</v>
      </c>
      <c r="D100" t="s">
        <v>117</v>
      </c>
      <c r="E100" t="s">
        <v>12</v>
      </c>
      <c r="I100" t="s">
        <v>82</v>
      </c>
      <c r="K100" t="s">
        <v>52</v>
      </c>
      <c r="N100" t="s">
        <v>78</v>
      </c>
      <c r="O100">
        <v>0</v>
      </c>
    </row>
    <row r="101" spans="1:15" hidden="1" x14ac:dyDescent="0.3">
      <c r="A101" t="s">
        <v>125</v>
      </c>
      <c r="B101">
        <v>5</v>
      </c>
      <c r="C101" t="s">
        <v>128</v>
      </c>
      <c r="D101" t="s">
        <v>259</v>
      </c>
      <c r="N101" t="s">
        <v>73</v>
      </c>
      <c r="O101">
        <v>0</v>
      </c>
    </row>
    <row r="102" spans="1:15" hidden="1" x14ac:dyDescent="0.3">
      <c r="A102" t="s">
        <v>125</v>
      </c>
      <c r="B102">
        <v>5</v>
      </c>
      <c r="C102" t="s">
        <v>128</v>
      </c>
      <c r="D102" t="s">
        <v>116</v>
      </c>
      <c r="N102" t="s">
        <v>73</v>
      </c>
      <c r="O102">
        <v>0</v>
      </c>
    </row>
    <row r="103" spans="1:15" hidden="1" x14ac:dyDescent="0.3">
      <c r="A103" t="s">
        <v>125</v>
      </c>
      <c r="B103">
        <v>5</v>
      </c>
      <c r="C103" t="s">
        <v>128</v>
      </c>
      <c r="D103" t="s">
        <v>117</v>
      </c>
      <c r="N103" t="s">
        <v>73</v>
      </c>
      <c r="O103">
        <v>0</v>
      </c>
    </row>
    <row r="104" spans="1:15" hidden="1" x14ac:dyDescent="0.3">
      <c r="A104" t="s">
        <v>473</v>
      </c>
      <c r="B104">
        <v>4</v>
      </c>
      <c r="C104" t="s">
        <v>135</v>
      </c>
      <c r="D104" t="s">
        <v>259</v>
      </c>
      <c r="E104" t="s">
        <v>12</v>
      </c>
      <c r="I104" t="s">
        <v>77</v>
      </c>
      <c r="K104" t="s">
        <v>49</v>
      </c>
      <c r="N104" t="s">
        <v>72</v>
      </c>
      <c r="O104">
        <v>0</v>
      </c>
    </row>
    <row r="105" spans="1:15" hidden="1" x14ac:dyDescent="0.3">
      <c r="A105" t="s">
        <v>473</v>
      </c>
      <c r="B105">
        <v>4</v>
      </c>
      <c r="C105" t="s">
        <v>135</v>
      </c>
      <c r="D105" t="s">
        <v>116</v>
      </c>
      <c r="E105" t="s">
        <v>12</v>
      </c>
      <c r="I105" t="s">
        <v>77</v>
      </c>
      <c r="K105" t="s">
        <v>49</v>
      </c>
      <c r="N105" t="s">
        <v>72</v>
      </c>
      <c r="O105">
        <v>0</v>
      </c>
    </row>
    <row r="106" spans="1:15" hidden="1" x14ac:dyDescent="0.3">
      <c r="A106" t="s">
        <v>473</v>
      </c>
      <c r="B106">
        <v>4</v>
      </c>
      <c r="C106" t="s">
        <v>135</v>
      </c>
      <c r="D106" t="s">
        <v>117</v>
      </c>
      <c r="E106" t="s">
        <v>12</v>
      </c>
      <c r="I106" t="s">
        <v>77</v>
      </c>
      <c r="K106" t="s">
        <v>49</v>
      </c>
      <c r="N106" t="s">
        <v>72</v>
      </c>
      <c r="O106">
        <v>0</v>
      </c>
    </row>
    <row r="107" spans="1:15" hidden="1" x14ac:dyDescent="0.3">
      <c r="A107" t="s">
        <v>473</v>
      </c>
      <c r="B107">
        <v>4</v>
      </c>
      <c r="C107" t="s">
        <v>135</v>
      </c>
      <c r="D107" t="s">
        <v>259</v>
      </c>
      <c r="E107" t="s">
        <v>12</v>
      </c>
      <c r="I107" t="s">
        <v>79</v>
      </c>
      <c r="K107" t="s">
        <v>49</v>
      </c>
      <c r="N107" t="s">
        <v>72</v>
      </c>
      <c r="O107">
        <v>0</v>
      </c>
    </row>
    <row r="108" spans="1:15" hidden="1" x14ac:dyDescent="0.3">
      <c r="A108" t="s">
        <v>473</v>
      </c>
      <c r="B108">
        <v>4</v>
      </c>
      <c r="C108" t="s">
        <v>135</v>
      </c>
      <c r="D108" t="s">
        <v>116</v>
      </c>
      <c r="E108" t="s">
        <v>12</v>
      </c>
      <c r="I108" t="s">
        <v>79</v>
      </c>
      <c r="K108" t="s">
        <v>49</v>
      </c>
      <c r="N108" t="s">
        <v>72</v>
      </c>
      <c r="O108">
        <v>0</v>
      </c>
    </row>
    <row r="109" spans="1:15" hidden="1" x14ac:dyDescent="0.3">
      <c r="A109" t="s">
        <v>473</v>
      </c>
      <c r="B109">
        <v>4</v>
      </c>
      <c r="C109" t="s">
        <v>135</v>
      </c>
      <c r="D109" t="s">
        <v>117</v>
      </c>
      <c r="E109" t="s">
        <v>12</v>
      </c>
      <c r="I109" t="s">
        <v>79</v>
      </c>
      <c r="K109" t="s">
        <v>49</v>
      </c>
      <c r="N109" t="s">
        <v>72</v>
      </c>
      <c r="O109">
        <v>0</v>
      </c>
    </row>
    <row r="110" spans="1:15" hidden="1" x14ac:dyDescent="0.3">
      <c r="A110" t="s">
        <v>473</v>
      </c>
      <c r="B110">
        <v>4</v>
      </c>
      <c r="C110" t="s">
        <v>135</v>
      </c>
      <c r="D110" t="s">
        <v>259</v>
      </c>
      <c r="E110" t="s">
        <v>12</v>
      </c>
      <c r="I110" t="s">
        <v>60</v>
      </c>
      <c r="K110" t="s">
        <v>52</v>
      </c>
      <c r="N110" t="s">
        <v>72</v>
      </c>
      <c r="O110">
        <v>0</v>
      </c>
    </row>
    <row r="111" spans="1:15" hidden="1" x14ac:dyDescent="0.3">
      <c r="A111" t="s">
        <v>473</v>
      </c>
      <c r="B111">
        <v>4</v>
      </c>
      <c r="C111" t="s">
        <v>135</v>
      </c>
      <c r="D111" t="s">
        <v>116</v>
      </c>
      <c r="E111" t="s">
        <v>12</v>
      </c>
      <c r="I111" t="s">
        <v>60</v>
      </c>
      <c r="K111" t="s">
        <v>52</v>
      </c>
      <c r="N111" t="s">
        <v>72</v>
      </c>
      <c r="O111">
        <v>0</v>
      </c>
    </row>
    <row r="112" spans="1:15" hidden="1" x14ac:dyDescent="0.3">
      <c r="A112" t="s">
        <v>473</v>
      </c>
      <c r="B112">
        <v>4</v>
      </c>
      <c r="C112" t="s">
        <v>135</v>
      </c>
      <c r="D112" t="s">
        <v>117</v>
      </c>
      <c r="E112" t="s">
        <v>12</v>
      </c>
      <c r="I112" t="s">
        <v>60</v>
      </c>
      <c r="K112" t="s">
        <v>52</v>
      </c>
      <c r="N112" t="s">
        <v>72</v>
      </c>
      <c r="O112">
        <v>0</v>
      </c>
    </row>
    <row r="113" spans="1:15" hidden="1" x14ac:dyDescent="0.3">
      <c r="A113" t="s">
        <v>473</v>
      </c>
      <c r="B113">
        <v>4</v>
      </c>
      <c r="C113" t="s">
        <v>135</v>
      </c>
      <c r="D113" t="s">
        <v>259</v>
      </c>
      <c r="E113" t="s">
        <v>12</v>
      </c>
      <c r="I113" t="s">
        <v>58</v>
      </c>
      <c r="K113" t="s">
        <v>52</v>
      </c>
      <c r="N113" t="s">
        <v>72</v>
      </c>
      <c r="O113">
        <v>0</v>
      </c>
    </row>
    <row r="114" spans="1:15" hidden="1" x14ac:dyDescent="0.3">
      <c r="A114" t="s">
        <v>473</v>
      </c>
      <c r="B114">
        <v>4</v>
      </c>
      <c r="C114" t="s">
        <v>135</v>
      </c>
      <c r="D114" t="s">
        <v>116</v>
      </c>
      <c r="E114" t="s">
        <v>12</v>
      </c>
      <c r="I114" t="s">
        <v>58</v>
      </c>
      <c r="K114" t="s">
        <v>52</v>
      </c>
      <c r="N114" t="s">
        <v>72</v>
      </c>
      <c r="O114">
        <v>0</v>
      </c>
    </row>
    <row r="115" spans="1:15" hidden="1" x14ac:dyDescent="0.3">
      <c r="A115" t="s">
        <v>473</v>
      </c>
      <c r="B115">
        <v>4</v>
      </c>
      <c r="C115" t="s">
        <v>135</v>
      </c>
      <c r="D115" t="s">
        <v>117</v>
      </c>
      <c r="E115" t="s">
        <v>12</v>
      </c>
      <c r="I115" t="s">
        <v>58</v>
      </c>
      <c r="K115" t="s">
        <v>52</v>
      </c>
      <c r="N115" t="s">
        <v>72</v>
      </c>
      <c r="O115">
        <v>0</v>
      </c>
    </row>
    <row r="116" spans="1:15" hidden="1" x14ac:dyDescent="0.3">
      <c r="A116" t="s">
        <v>473</v>
      </c>
      <c r="B116">
        <v>4</v>
      </c>
      <c r="C116" t="s">
        <v>135</v>
      </c>
      <c r="D116" t="s">
        <v>259</v>
      </c>
      <c r="E116" t="s">
        <v>10</v>
      </c>
      <c r="I116" t="s">
        <v>77</v>
      </c>
      <c r="K116" t="s">
        <v>49</v>
      </c>
      <c r="N116" t="s">
        <v>72</v>
      </c>
      <c r="O116">
        <v>0</v>
      </c>
    </row>
    <row r="117" spans="1:15" hidden="1" x14ac:dyDescent="0.3">
      <c r="A117" t="s">
        <v>473</v>
      </c>
      <c r="B117">
        <v>4</v>
      </c>
      <c r="C117" t="s">
        <v>135</v>
      </c>
      <c r="D117" t="s">
        <v>116</v>
      </c>
      <c r="E117" t="s">
        <v>10</v>
      </c>
      <c r="I117" t="s">
        <v>77</v>
      </c>
      <c r="K117" t="s">
        <v>49</v>
      </c>
      <c r="N117" t="s">
        <v>72</v>
      </c>
      <c r="O117">
        <v>0</v>
      </c>
    </row>
    <row r="118" spans="1:15" hidden="1" x14ac:dyDescent="0.3">
      <c r="A118" t="s">
        <v>473</v>
      </c>
      <c r="B118">
        <v>4</v>
      </c>
      <c r="C118" t="s">
        <v>135</v>
      </c>
      <c r="D118" t="s">
        <v>117</v>
      </c>
      <c r="E118" t="s">
        <v>10</v>
      </c>
      <c r="I118" t="s">
        <v>77</v>
      </c>
      <c r="K118" t="s">
        <v>49</v>
      </c>
      <c r="N118" t="s">
        <v>72</v>
      </c>
      <c r="O118">
        <v>0</v>
      </c>
    </row>
    <row r="119" spans="1:15" hidden="1" x14ac:dyDescent="0.3">
      <c r="A119" t="s">
        <v>473</v>
      </c>
      <c r="B119">
        <v>4</v>
      </c>
      <c r="C119" t="s">
        <v>135</v>
      </c>
      <c r="D119" t="s">
        <v>259</v>
      </c>
      <c r="E119" t="s">
        <v>10</v>
      </c>
      <c r="I119" t="s">
        <v>79</v>
      </c>
      <c r="K119" t="s">
        <v>49</v>
      </c>
      <c r="N119" t="s">
        <v>72</v>
      </c>
      <c r="O119">
        <v>0</v>
      </c>
    </row>
    <row r="120" spans="1:15" hidden="1" x14ac:dyDescent="0.3">
      <c r="A120" t="s">
        <v>473</v>
      </c>
      <c r="B120">
        <v>4</v>
      </c>
      <c r="C120" t="s">
        <v>135</v>
      </c>
      <c r="D120" t="s">
        <v>116</v>
      </c>
      <c r="E120" t="s">
        <v>10</v>
      </c>
      <c r="I120" t="s">
        <v>79</v>
      </c>
      <c r="K120" t="s">
        <v>49</v>
      </c>
      <c r="N120" t="s">
        <v>72</v>
      </c>
      <c r="O120">
        <v>0</v>
      </c>
    </row>
    <row r="121" spans="1:15" hidden="1" x14ac:dyDescent="0.3">
      <c r="A121" t="s">
        <v>473</v>
      </c>
      <c r="B121">
        <v>4</v>
      </c>
      <c r="C121" t="s">
        <v>135</v>
      </c>
      <c r="D121" t="s">
        <v>117</v>
      </c>
      <c r="E121" t="s">
        <v>10</v>
      </c>
      <c r="I121" t="s">
        <v>79</v>
      </c>
      <c r="K121" t="s">
        <v>49</v>
      </c>
      <c r="N121" t="s">
        <v>72</v>
      </c>
      <c r="O121">
        <v>0</v>
      </c>
    </row>
    <row r="122" spans="1:15" hidden="1" x14ac:dyDescent="0.3">
      <c r="A122" t="s">
        <v>473</v>
      </c>
      <c r="B122">
        <v>4</v>
      </c>
      <c r="C122" t="s">
        <v>135</v>
      </c>
      <c r="D122" t="s">
        <v>259</v>
      </c>
      <c r="E122" t="s">
        <v>10</v>
      </c>
      <c r="I122" t="s">
        <v>60</v>
      </c>
      <c r="K122" t="s">
        <v>52</v>
      </c>
      <c r="N122" t="s">
        <v>72</v>
      </c>
      <c r="O122">
        <v>0</v>
      </c>
    </row>
    <row r="123" spans="1:15" hidden="1" x14ac:dyDescent="0.3">
      <c r="A123" t="s">
        <v>473</v>
      </c>
      <c r="B123">
        <v>4</v>
      </c>
      <c r="C123" t="s">
        <v>135</v>
      </c>
      <c r="D123" t="s">
        <v>116</v>
      </c>
      <c r="E123" t="s">
        <v>10</v>
      </c>
      <c r="I123" t="s">
        <v>60</v>
      </c>
      <c r="K123" t="s">
        <v>52</v>
      </c>
      <c r="N123" t="s">
        <v>72</v>
      </c>
      <c r="O123">
        <v>0</v>
      </c>
    </row>
    <row r="124" spans="1:15" hidden="1" x14ac:dyDescent="0.3">
      <c r="A124" t="s">
        <v>473</v>
      </c>
      <c r="B124">
        <v>4</v>
      </c>
      <c r="C124" t="s">
        <v>135</v>
      </c>
      <c r="D124" t="s">
        <v>117</v>
      </c>
      <c r="E124" t="s">
        <v>10</v>
      </c>
      <c r="I124" t="s">
        <v>60</v>
      </c>
      <c r="K124" t="s">
        <v>52</v>
      </c>
      <c r="N124" t="s">
        <v>72</v>
      </c>
      <c r="O124">
        <v>0</v>
      </c>
    </row>
    <row r="125" spans="1:15" hidden="1" x14ac:dyDescent="0.3">
      <c r="A125" t="s">
        <v>473</v>
      </c>
      <c r="B125">
        <v>4</v>
      </c>
      <c r="C125" t="s">
        <v>135</v>
      </c>
      <c r="D125" t="s">
        <v>259</v>
      </c>
      <c r="E125" t="s">
        <v>10</v>
      </c>
      <c r="I125" t="s">
        <v>58</v>
      </c>
      <c r="K125" t="s">
        <v>52</v>
      </c>
      <c r="N125" t="s">
        <v>72</v>
      </c>
      <c r="O125">
        <v>0</v>
      </c>
    </row>
    <row r="126" spans="1:15" hidden="1" x14ac:dyDescent="0.3">
      <c r="A126" t="s">
        <v>473</v>
      </c>
      <c r="B126">
        <v>4</v>
      </c>
      <c r="C126" t="s">
        <v>135</v>
      </c>
      <c r="D126" t="s">
        <v>116</v>
      </c>
      <c r="E126" t="s">
        <v>10</v>
      </c>
      <c r="I126" t="s">
        <v>58</v>
      </c>
      <c r="K126" t="s">
        <v>52</v>
      </c>
      <c r="N126" t="s">
        <v>72</v>
      </c>
      <c r="O126">
        <v>0</v>
      </c>
    </row>
    <row r="127" spans="1:15" hidden="1" x14ac:dyDescent="0.3">
      <c r="A127" t="s">
        <v>473</v>
      </c>
      <c r="B127">
        <v>4</v>
      </c>
      <c r="C127" t="s">
        <v>135</v>
      </c>
      <c r="D127" t="s">
        <v>117</v>
      </c>
      <c r="E127" t="s">
        <v>10</v>
      </c>
      <c r="I127" t="s">
        <v>58</v>
      </c>
      <c r="K127" t="s">
        <v>52</v>
      </c>
      <c r="N127" t="s">
        <v>72</v>
      </c>
      <c r="O127">
        <v>0</v>
      </c>
    </row>
    <row r="128" spans="1:15" hidden="1" x14ac:dyDescent="0.3">
      <c r="A128" t="s">
        <v>83</v>
      </c>
      <c r="B128">
        <v>6</v>
      </c>
      <c r="C128" t="s">
        <v>131</v>
      </c>
      <c r="D128" t="s">
        <v>259</v>
      </c>
      <c r="E128" t="s">
        <v>27</v>
      </c>
      <c r="I128" t="s">
        <v>59</v>
      </c>
      <c r="K128" t="s">
        <v>84</v>
      </c>
      <c r="N128" t="s">
        <v>78</v>
      </c>
      <c r="O128">
        <v>0</v>
      </c>
    </row>
    <row r="129" spans="1:15" hidden="1" x14ac:dyDescent="0.3">
      <c r="A129" t="s">
        <v>83</v>
      </c>
      <c r="B129">
        <v>6</v>
      </c>
      <c r="C129" t="s">
        <v>131</v>
      </c>
      <c r="D129" t="s">
        <v>259</v>
      </c>
      <c r="E129" t="s">
        <v>27</v>
      </c>
      <c r="I129" t="s">
        <v>59</v>
      </c>
      <c r="K129" t="s">
        <v>85</v>
      </c>
      <c r="N129" t="s">
        <v>78</v>
      </c>
      <c r="O129">
        <v>0</v>
      </c>
    </row>
    <row r="130" spans="1:15" hidden="1" x14ac:dyDescent="0.3">
      <c r="A130" t="s">
        <v>83</v>
      </c>
      <c r="B130">
        <v>6</v>
      </c>
      <c r="C130" t="s">
        <v>131</v>
      </c>
      <c r="D130" t="s">
        <v>259</v>
      </c>
      <c r="E130" t="s">
        <v>27</v>
      </c>
      <c r="I130" t="s">
        <v>55</v>
      </c>
      <c r="K130" t="s">
        <v>86</v>
      </c>
      <c r="N130" t="s">
        <v>78</v>
      </c>
      <c r="O130">
        <v>0</v>
      </c>
    </row>
    <row r="131" spans="1:15" hidden="1" x14ac:dyDescent="0.3">
      <c r="A131" t="s">
        <v>83</v>
      </c>
      <c r="B131">
        <v>6</v>
      </c>
      <c r="C131" t="s">
        <v>131</v>
      </c>
      <c r="D131" t="s">
        <v>259</v>
      </c>
      <c r="E131" t="s">
        <v>27</v>
      </c>
      <c r="I131" t="s">
        <v>59</v>
      </c>
      <c r="K131" t="s">
        <v>86</v>
      </c>
      <c r="N131" t="s">
        <v>78</v>
      </c>
      <c r="O131">
        <v>0</v>
      </c>
    </row>
    <row r="132" spans="1:15" hidden="1" x14ac:dyDescent="0.3">
      <c r="A132" t="s">
        <v>83</v>
      </c>
      <c r="B132">
        <v>6</v>
      </c>
      <c r="C132" t="s">
        <v>131</v>
      </c>
      <c r="D132" t="s">
        <v>116</v>
      </c>
      <c r="E132" t="s">
        <v>27</v>
      </c>
      <c r="I132" t="s">
        <v>59</v>
      </c>
      <c r="K132" t="s">
        <v>84</v>
      </c>
      <c r="N132" t="s">
        <v>78</v>
      </c>
      <c r="O132">
        <v>0</v>
      </c>
    </row>
    <row r="133" spans="1:15" hidden="1" x14ac:dyDescent="0.3">
      <c r="A133" t="s">
        <v>83</v>
      </c>
      <c r="B133">
        <v>6</v>
      </c>
      <c r="C133" t="s">
        <v>131</v>
      </c>
      <c r="D133" t="s">
        <v>116</v>
      </c>
      <c r="E133" t="s">
        <v>27</v>
      </c>
      <c r="I133" t="s">
        <v>59</v>
      </c>
      <c r="K133" t="s">
        <v>85</v>
      </c>
      <c r="N133" t="s">
        <v>78</v>
      </c>
      <c r="O133">
        <v>0</v>
      </c>
    </row>
    <row r="134" spans="1:15" hidden="1" x14ac:dyDescent="0.3">
      <c r="A134" t="s">
        <v>83</v>
      </c>
      <c r="B134">
        <v>6</v>
      </c>
      <c r="C134" t="s">
        <v>131</v>
      </c>
      <c r="D134" t="s">
        <v>116</v>
      </c>
      <c r="E134" t="s">
        <v>27</v>
      </c>
      <c r="I134" t="s">
        <v>55</v>
      </c>
      <c r="K134" t="s">
        <v>86</v>
      </c>
      <c r="N134" t="s">
        <v>78</v>
      </c>
      <c r="O134">
        <v>0</v>
      </c>
    </row>
    <row r="135" spans="1:15" hidden="1" x14ac:dyDescent="0.3">
      <c r="A135" t="s">
        <v>83</v>
      </c>
      <c r="B135">
        <v>6</v>
      </c>
      <c r="C135" t="s">
        <v>131</v>
      </c>
      <c r="D135" t="s">
        <v>116</v>
      </c>
      <c r="E135" t="s">
        <v>27</v>
      </c>
      <c r="I135" t="s">
        <v>59</v>
      </c>
      <c r="K135" t="s">
        <v>86</v>
      </c>
      <c r="N135" t="s">
        <v>78</v>
      </c>
      <c r="O135">
        <v>0</v>
      </c>
    </row>
    <row r="136" spans="1:15" hidden="1" x14ac:dyDescent="0.3">
      <c r="A136" t="s">
        <v>83</v>
      </c>
      <c r="B136">
        <v>6</v>
      </c>
      <c r="C136" t="s">
        <v>131</v>
      </c>
      <c r="D136" t="s">
        <v>117</v>
      </c>
      <c r="E136" t="s">
        <v>27</v>
      </c>
      <c r="I136" t="s">
        <v>59</v>
      </c>
      <c r="K136" t="s">
        <v>84</v>
      </c>
      <c r="N136" t="s">
        <v>78</v>
      </c>
      <c r="O136">
        <v>0</v>
      </c>
    </row>
    <row r="137" spans="1:15" hidden="1" x14ac:dyDescent="0.3">
      <c r="A137" t="s">
        <v>83</v>
      </c>
      <c r="B137">
        <v>6</v>
      </c>
      <c r="C137" t="s">
        <v>131</v>
      </c>
      <c r="D137" t="s">
        <v>117</v>
      </c>
      <c r="E137" t="s">
        <v>27</v>
      </c>
      <c r="I137" t="s">
        <v>59</v>
      </c>
      <c r="K137" t="s">
        <v>85</v>
      </c>
      <c r="N137" t="s">
        <v>78</v>
      </c>
      <c r="O137">
        <v>0</v>
      </c>
    </row>
    <row r="138" spans="1:15" hidden="1" x14ac:dyDescent="0.3">
      <c r="A138" t="s">
        <v>83</v>
      </c>
      <c r="B138">
        <v>6</v>
      </c>
      <c r="C138" t="s">
        <v>131</v>
      </c>
      <c r="D138" t="s">
        <v>117</v>
      </c>
      <c r="E138" t="s">
        <v>27</v>
      </c>
      <c r="I138" t="s">
        <v>55</v>
      </c>
      <c r="K138" t="s">
        <v>86</v>
      </c>
      <c r="N138" t="s">
        <v>78</v>
      </c>
      <c r="O138">
        <v>0</v>
      </c>
    </row>
    <row r="139" spans="1:15" hidden="1" x14ac:dyDescent="0.3">
      <c r="A139" t="s">
        <v>83</v>
      </c>
      <c r="B139">
        <v>6</v>
      </c>
      <c r="C139" t="s">
        <v>131</v>
      </c>
      <c r="D139" t="s">
        <v>117</v>
      </c>
      <c r="E139" t="s">
        <v>27</v>
      </c>
      <c r="I139" t="s">
        <v>59</v>
      </c>
      <c r="K139" t="s">
        <v>86</v>
      </c>
      <c r="N139" t="s">
        <v>78</v>
      </c>
      <c r="O139">
        <v>0</v>
      </c>
    </row>
    <row r="140" spans="1:15" hidden="1" x14ac:dyDescent="0.3">
      <c r="A140" s="4" t="s">
        <v>132</v>
      </c>
      <c r="B140" s="4">
        <v>7</v>
      </c>
      <c r="C140" s="4" t="s">
        <v>132</v>
      </c>
      <c r="D140" s="4" t="s">
        <v>259</v>
      </c>
      <c r="E140" s="4"/>
      <c r="F140" s="4"/>
      <c r="G140" s="4"/>
      <c r="H140" s="4"/>
      <c r="I140" s="4"/>
      <c r="J140" s="4"/>
      <c r="K140" s="4"/>
      <c r="L140" s="4"/>
      <c r="M140" s="4"/>
      <c r="N140" s="4" t="s">
        <v>145</v>
      </c>
      <c r="O140">
        <v>0</v>
      </c>
    </row>
    <row r="141" spans="1:15" hidden="1" x14ac:dyDescent="0.3">
      <c r="A141" s="4" t="s">
        <v>132</v>
      </c>
      <c r="B141" s="4">
        <v>7</v>
      </c>
      <c r="C141" s="4" t="s">
        <v>132</v>
      </c>
      <c r="D141" s="4" t="s">
        <v>116</v>
      </c>
      <c r="E141" s="4"/>
      <c r="F141" s="4"/>
      <c r="G141" s="4"/>
      <c r="H141" s="4"/>
      <c r="I141" s="4"/>
      <c r="J141" s="4"/>
      <c r="K141" s="4"/>
      <c r="L141" s="4"/>
      <c r="M141" s="4"/>
      <c r="N141" s="4" t="s">
        <v>145</v>
      </c>
      <c r="O141">
        <v>0</v>
      </c>
    </row>
    <row r="142" spans="1:15" hidden="1" x14ac:dyDescent="0.3">
      <c r="A142" s="4" t="s">
        <v>132</v>
      </c>
      <c r="B142" s="4">
        <v>7</v>
      </c>
      <c r="C142" s="4" t="s">
        <v>132</v>
      </c>
      <c r="D142" s="4" t="s">
        <v>117</v>
      </c>
      <c r="E142" s="4"/>
      <c r="F142" s="4"/>
      <c r="G142" s="4"/>
      <c r="H142" s="4"/>
      <c r="I142" s="4"/>
      <c r="J142" s="4"/>
      <c r="K142" s="4"/>
      <c r="L142" s="4"/>
      <c r="M142" s="4"/>
      <c r="N142" s="4" t="s">
        <v>145</v>
      </c>
      <c r="O142">
        <v>0</v>
      </c>
    </row>
    <row r="143" spans="1:15" hidden="1" x14ac:dyDescent="0.3">
      <c r="A143" s="4" t="s">
        <v>32</v>
      </c>
      <c r="B143" s="4">
        <v>8</v>
      </c>
      <c r="C143" s="4" t="s">
        <v>32</v>
      </c>
      <c r="D143" s="4" t="s">
        <v>259</v>
      </c>
      <c r="E143" s="4"/>
      <c r="F143" s="4"/>
      <c r="G143" s="4"/>
      <c r="H143" s="4"/>
      <c r="I143" s="4"/>
      <c r="J143" s="4"/>
      <c r="K143" s="4"/>
      <c r="L143" s="4"/>
      <c r="M143" s="4"/>
      <c r="N143" s="4" t="s">
        <v>133</v>
      </c>
      <c r="O143">
        <v>0</v>
      </c>
    </row>
    <row r="144" spans="1:15" hidden="1" x14ac:dyDescent="0.3">
      <c r="A144" s="4" t="s">
        <v>32</v>
      </c>
      <c r="B144" s="4">
        <v>8</v>
      </c>
      <c r="C144" s="4" t="s">
        <v>32</v>
      </c>
      <c r="D144" s="4" t="s">
        <v>116</v>
      </c>
      <c r="E144" s="4"/>
      <c r="F144" s="4"/>
      <c r="G144" s="4"/>
      <c r="H144" s="4"/>
      <c r="I144" s="4"/>
      <c r="J144" s="4"/>
      <c r="K144" s="4"/>
      <c r="L144" s="4"/>
      <c r="M144" s="4"/>
      <c r="N144" s="4" t="s">
        <v>133</v>
      </c>
      <c r="O144">
        <v>0</v>
      </c>
    </row>
    <row r="145" spans="1:15" hidden="1" x14ac:dyDescent="0.3">
      <c r="A145" s="4" t="s">
        <v>32</v>
      </c>
      <c r="B145" s="4">
        <v>8</v>
      </c>
      <c r="C145" s="4" t="s">
        <v>32</v>
      </c>
      <c r="D145" s="4" t="s">
        <v>117</v>
      </c>
      <c r="E145" s="4"/>
      <c r="F145" s="4"/>
      <c r="G145" s="4"/>
      <c r="H145" s="4"/>
      <c r="I145" s="4"/>
      <c r="J145" s="4"/>
      <c r="K145" s="4"/>
      <c r="L145" s="4"/>
      <c r="M145" s="4"/>
      <c r="N145" s="4" t="s">
        <v>133</v>
      </c>
      <c r="O145">
        <v>0</v>
      </c>
    </row>
    <row r="146" spans="1:15" hidden="1" x14ac:dyDescent="0.3">
      <c r="A146" t="s">
        <v>74</v>
      </c>
      <c r="B146">
        <v>9</v>
      </c>
      <c r="C146" t="s">
        <v>129</v>
      </c>
      <c r="D146" t="s">
        <v>259</v>
      </c>
      <c r="E146" t="s">
        <v>10</v>
      </c>
      <c r="J146" t="s">
        <v>23</v>
      </c>
      <c r="N146" t="s">
        <v>136</v>
      </c>
      <c r="O146">
        <v>0</v>
      </c>
    </row>
    <row r="147" spans="1:15" hidden="1" x14ac:dyDescent="0.3">
      <c r="A147" t="s">
        <v>74</v>
      </c>
      <c r="B147">
        <v>9</v>
      </c>
      <c r="C147" t="s">
        <v>129</v>
      </c>
      <c r="D147" t="s">
        <v>259</v>
      </c>
      <c r="E147" t="s">
        <v>12</v>
      </c>
      <c r="J147" t="s">
        <v>23</v>
      </c>
      <c r="N147" t="s">
        <v>136</v>
      </c>
      <c r="O147">
        <v>0</v>
      </c>
    </row>
    <row r="148" spans="1:15" hidden="1" x14ac:dyDescent="0.3">
      <c r="A148" t="s">
        <v>74</v>
      </c>
      <c r="B148">
        <v>9</v>
      </c>
      <c r="C148" t="s">
        <v>129</v>
      </c>
      <c r="D148" t="s">
        <v>116</v>
      </c>
      <c r="E148" t="s">
        <v>10</v>
      </c>
      <c r="J148" t="s">
        <v>23</v>
      </c>
      <c r="N148" t="s">
        <v>136</v>
      </c>
      <c r="O148">
        <v>0</v>
      </c>
    </row>
    <row r="149" spans="1:15" hidden="1" x14ac:dyDescent="0.3">
      <c r="A149" t="s">
        <v>74</v>
      </c>
      <c r="B149">
        <v>9</v>
      </c>
      <c r="C149" t="s">
        <v>129</v>
      </c>
      <c r="D149" t="s">
        <v>116</v>
      </c>
      <c r="E149" t="s">
        <v>12</v>
      </c>
      <c r="J149" t="s">
        <v>23</v>
      </c>
      <c r="N149" t="s">
        <v>136</v>
      </c>
      <c r="O149">
        <v>0</v>
      </c>
    </row>
    <row r="150" spans="1:15" hidden="1" x14ac:dyDescent="0.3">
      <c r="A150" t="s">
        <v>74</v>
      </c>
      <c r="B150">
        <v>9</v>
      </c>
      <c r="C150" t="s">
        <v>129</v>
      </c>
      <c r="D150" t="s">
        <v>117</v>
      </c>
      <c r="E150" t="s">
        <v>10</v>
      </c>
      <c r="J150" t="s">
        <v>23</v>
      </c>
      <c r="N150" t="s">
        <v>136</v>
      </c>
      <c r="O150">
        <v>0</v>
      </c>
    </row>
    <row r="151" spans="1:15" hidden="1" x14ac:dyDescent="0.3">
      <c r="A151" t="s">
        <v>74</v>
      </c>
      <c r="B151">
        <v>9</v>
      </c>
      <c r="C151" t="s">
        <v>129</v>
      </c>
      <c r="D151" t="s">
        <v>117</v>
      </c>
      <c r="E151" t="s">
        <v>12</v>
      </c>
      <c r="J151" t="s">
        <v>23</v>
      </c>
      <c r="N151" t="s">
        <v>136</v>
      </c>
      <c r="O151">
        <v>0</v>
      </c>
    </row>
    <row r="152" spans="1:15" hidden="1" x14ac:dyDescent="0.3">
      <c r="A152" t="s">
        <v>74</v>
      </c>
      <c r="B152">
        <v>9</v>
      </c>
      <c r="C152" t="s">
        <v>129</v>
      </c>
      <c r="D152" t="s">
        <v>259</v>
      </c>
      <c r="E152" t="s">
        <v>10</v>
      </c>
      <c r="J152" t="s">
        <v>23</v>
      </c>
      <c r="N152" t="s">
        <v>137</v>
      </c>
      <c r="O152">
        <v>0</v>
      </c>
    </row>
    <row r="153" spans="1:15" hidden="1" x14ac:dyDescent="0.3">
      <c r="A153" t="s">
        <v>74</v>
      </c>
      <c r="B153">
        <v>9</v>
      </c>
      <c r="C153" t="s">
        <v>129</v>
      </c>
      <c r="D153" t="s">
        <v>259</v>
      </c>
      <c r="E153" t="s">
        <v>12</v>
      </c>
      <c r="J153" t="s">
        <v>23</v>
      </c>
      <c r="N153" t="s">
        <v>137</v>
      </c>
      <c r="O153">
        <v>0</v>
      </c>
    </row>
    <row r="154" spans="1:15" hidden="1" x14ac:dyDescent="0.3">
      <c r="A154" t="s">
        <v>74</v>
      </c>
      <c r="B154">
        <v>9</v>
      </c>
      <c r="C154" t="s">
        <v>129</v>
      </c>
      <c r="D154" t="s">
        <v>116</v>
      </c>
      <c r="E154" t="s">
        <v>10</v>
      </c>
      <c r="J154" t="s">
        <v>23</v>
      </c>
      <c r="N154" t="s">
        <v>137</v>
      </c>
      <c r="O154">
        <v>0</v>
      </c>
    </row>
    <row r="155" spans="1:15" hidden="1" x14ac:dyDescent="0.3">
      <c r="A155" t="s">
        <v>74</v>
      </c>
      <c r="B155">
        <v>9</v>
      </c>
      <c r="C155" t="s">
        <v>129</v>
      </c>
      <c r="D155" t="s">
        <v>116</v>
      </c>
      <c r="E155" t="s">
        <v>12</v>
      </c>
      <c r="J155" t="s">
        <v>23</v>
      </c>
      <c r="N155" t="s">
        <v>137</v>
      </c>
      <c r="O155">
        <v>0</v>
      </c>
    </row>
    <row r="156" spans="1:15" hidden="1" x14ac:dyDescent="0.3">
      <c r="A156" t="s">
        <v>74</v>
      </c>
      <c r="B156">
        <v>9</v>
      </c>
      <c r="C156" t="s">
        <v>129</v>
      </c>
      <c r="D156" t="s">
        <v>117</v>
      </c>
      <c r="E156" t="s">
        <v>10</v>
      </c>
      <c r="J156" t="s">
        <v>23</v>
      </c>
      <c r="N156" t="s">
        <v>137</v>
      </c>
      <c r="O156">
        <v>0</v>
      </c>
    </row>
    <row r="157" spans="1:15" hidden="1" x14ac:dyDescent="0.3">
      <c r="A157" t="s">
        <v>74</v>
      </c>
      <c r="B157">
        <v>9</v>
      </c>
      <c r="C157" t="s">
        <v>129</v>
      </c>
      <c r="D157" t="s">
        <v>117</v>
      </c>
      <c r="E157" t="s">
        <v>12</v>
      </c>
      <c r="J157" t="s">
        <v>23</v>
      </c>
      <c r="N157" t="s">
        <v>137</v>
      </c>
      <c r="O157">
        <v>0</v>
      </c>
    </row>
    <row r="158" spans="1:15" hidden="1" x14ac:dyDescent="0.3">
      <c r="A158" t="s">
        <v>466</v>
      </c>
      <c r="B158">
        <v>10</v>
      </c>
      <c r="C158" t="s">
        <v>466</v>
      </c>
      <c r="D158" t="s">
        <v>259</v>
      </c>
      <c r="H158" t="s">
        <v>482</v>
      </c>
      <c r="I158" t="s">
        <v>60</v>
      </c>
      <c r="N158" t="s">
        <v>72</v>
      </c>
      <c r="O158">
        <v>0</v>
      </c>
    </row>
    <row r="159" spans="1:15" hidden="1" x14ac:dyDescent="0.3">
      <c r="A159" t="s">
        <v>466</v>
      </c>
      <c r="B159">
        <v>10</v>
      </c>
      <c r="C159" t="s">
        <v>466</v>
      </c>
      <c r="D159" t="s">
        <v>259</v>
      </c>
      <c r="H159" t="s">
        <v>480</v>
      </c>
      <c r="I159" t="s">
        <v>60</v>
      </c>
      <c r="N159" t="s">
        <v>72</v>
      </c>
      <c r="O159">
        <v>0</v>
      </c>
    </row>
    <row r="160" spans="1:15" hidden="1" x14ac:dyDescent="0.3">
      <c r="A160" t="s">
        <v>466</v>
      </c>
      <c r="B160">
        <v>10</v>
      </c>
      <c r="C160" t="s">
        <v>466</v>
      </c>
      <c r="D160" t="s">
        <v>259</v>
      </c>
      <c r="H160" t="s">
        <v>480</v>
      </c>
      <c r="I160" t="s">
        <v>55</v>
      </c>
      <c r="N160" t="s">
        <v>72</v>
      </c>
      <c r="O160">
        <v>0</v>
      </c>
    </row>
    <row r="161" spans="1:15" hidden="1" x14ac:dyDescent="0.3">
      <c r="A161" t="s">
        <v>466</v>
      </c>
      <c r="B161">
        <v>10</v>
      </c>
      <c r="C161" t="s">
        <v>466</v>
      </c>
      <c r="D161" t="s">
        <v>259</v>
      </c>
      <c r="H161" t="s">
        <v>481</v>
      </c>
      <c r="I161" t="s">
        <v>55</v>
      </c>
      <c r="N161" t="s">
        <v>72</v>
      </c>
      <c r="O161">
        <v>0</v>
      </c>
    </row>
    <row r="162" spans="1:15" hidden="1" x14ac:dyDescent="0.3">
      <c r="A162" t="s">
        <v>466</v>
      </c>
      <c r="B162">
        <v>10</v>
      </c>
      <c r="C162" t="s">
        <v>466</v>
      </c>
      <c r="D162" t="s">
        <v>259</v>
      </c>
      <c r="H162" t="s">
        <v>21</v>
      </c>
      <c r="I162" t="s">
        <v>55</v>
      </c>
      <c r="N162" t="s">
        <v>72</v>
      </c>
      <c r="O162">
        <v>0</v>
      </c>
    </row>
    <row r="163" spans="1:15" hidden="1" x14ac:dyDescent="0.3">
      <c r="A163" t="s">
        <v>466</v>
      </c>
      <c r="B163">
        <v>10</v>
      </c>
      <c r="C163" t="s">
        <v>466</v>
      </c>
      <c r="D163" t="s">
        <v>116</v>
      </c>
      <c r="H163" t="s">
        <v>482</v>
      </c>
      <c r="I163" t="s">
        <v>60</v>
      </c>
      <c r="N163" t="s">
        <v>72</v>
      </c>
      <c r="O163">
        <v>0</v>
      </c>
    </row>
    <row r="164" spans="1:15" hidden="1" x14ac:dyDescent="0.3">
      <c r="A164" t="s">
        <v>466</v>
      </c>
      <c r="B164">
        <v>10</v>
      </c>
      <c r="C164" t="s">
        <v>466</v>
      </c>
      <c r="D164" t="s">
        <v>116</v>
      </c>
      <c r="H164" t="s">
        <v>480</v>
      </c>
      <c r="I164" t="s">
        <v>60</v>
      </c>
      <c r="N164" t="s">
        <v>72</v>
      </c>
      <c r="O164">
        <v>0</v>
      </c>
    </row>
    <row r="165" spans="1:15" hidden="1" x14ac:dyDescent="0.3">
      <c r="A165" t="s">
        <v>466</v>
      </c>
      <c r="B165">
        <v>10</v>
      </c>
      <c r="C165" t="s">
        <v>466</v>
      </c>
      <c r="D165" t="s">
        <v>116</v>
      </c>
      <c r="H165" t="s">
        <v>480</v>
      </c>
      <c r="I165" t="s">
        <v>55</v>
      </c>
      <c r="N165" t="s">
        <v>72</v>
      </c>
      <c r="O165">
        <v>0</v>
      </c>
    </row>
    <row r="166" spans="1:15" hidden="1" x14ac:dyDescent="0.3">
      <c r="A166" t="s">
        <v>466</v>
      </c>
      <c r="B166">
        <v>10</v>
      </c>
      <c r="C166" t="s">
        <v>466</v>
      </c>
      <c r="D166" t="s">
        <v>116</v>
      </c>
      <c r="H166" t="s">
        <v>481</v>
      </c>
      <c r="I166" t="s">
        <v>55</v>
      </c>
      <c r="N166" t="s">
        <v>72</v>
      </c>
      <c r="O166">
        <v>0</v>
      </c>
    </row>
    <row r="167" spans="1:15" hidden="1" x14ac:dyDescent="0.3">
      <c r="A167" t="s">
        <v>466</v>
      </c>
      <c r="B167">
        <v>10</v>
      </c>
      <c r="C167" t="s">
        <v>466</v>
      </c>
      <c r="D167" t="s">
        <v>116</v>
      </c>
      <c r="H167" t="s">
        <v>21</v>
      </c>
      <c r="I167" t="s">
        <v>55</v>
      </c>
      <c r="N167" t="s">
        <v>72</v>
      </c>
      <c r="O167">
        <v>0</v>
      </c>
    </row>
    <row r="168" spans="1:15" hidden="1" x14ac:dyDescent="0.3">
      <c r="A168" t="s">
        <v>466</v>
      </c>
      <c r="B168">
        <v>10</v>
      </c>
      <c r="C168" t="s">
        <v>466</v>
      </c>
      <c r="D168" t="s">
        <v>117</v>
      </c>
      <c r="H168" t="s">
        <v>482</v>
      </c>
      <c r="I168" t="s">
        <v>60</v>
      </c>
      <c r="N168" t="s">
        <v>72</v>
      </c>
      <c r="O168">
        <v>0</v>
      </c>
    </row>
    <row r="169" spans="1:15" hidden="1" x14ac:dyDescent="0.3">
      <c r="A169" t="s">
        <v>466</v>
      </c>
      <c r="B169">
        <v>10</v>
      </c>
      <c r="C169" t="s">
        <v>466</v>
      </c>
      <c r="D169" t="s">
        <v>117</v>
      </c>
      <c r="H169" t="s">
        <v>480</v>
      </c>
      <c r="I169" t="s">
        <v>60</v>
      </c>
      <c r="N169" t="s">
        <v>72</v>
      </c>
      <c r="O169">
        <v>0</v>
      </c>
    </row>
    <row r="170" spans="1:15" hidden="1" x14ac:dyDescent="0.3">
      <c r="A170" t="s">
        <v>466</v>
      </c>
      <c r="B170">
        <v>10</v>
      </c>
      <c r="C170" t="s">
        <v>466</v>
      </c>
      <c r="D170" t="s">
        <v>117</v>
      </c>
      <c r="H170" t="s">
        <v>480</v>
      </c>
      <c r="I170" t="s">
        <v>55</v>
      </c>
      <c r="N170" t="s">
        <v>72</v>
      </c>
      <c r="O170">
        <v>0</v>
      </c>
    </row>
    <row r="171" spans="1:15" hidden="1" x14ac:dyDescent="0.3">
      <c r="A171" t="s">
        <v>466</v>
      </c>
      <c r="B171">
        <v>10</v>
      </c>
      <c r="C171" t="s">
        <v>466</v>
      </c>
      <c r="D171" t="s">
        <v>117</v>
      </c>
      <c r="H171" t="s">
        <v>481</v>
      </c>
      <c r="I171" t="s">
        <v>55</v>
      </c>
      <c r="N171" t="s">
        <v>72</v>
      </c>
      <c r="O171">
        <v>0</v>
      </c>
    </row>
    <row r="172" spans="1:15" hidden="1" x14ac:dyDescent="0.3">
      <c r="A172" t="s">
        <v>466</v>
      </c>
      <c r="B172">
        <v>10</v>
      </c>
      <c r="C172" t="s">
        <v>466</v>
      </c>
      <c r="D172" t="s">
        <v>117</v>
      </c>
      <c r="H172" t="s">
        <v>21</v>
      </c>
      <c r="I172" t="s">
        <v>55</v>
      </c>
      <c r="N172" t="s">
        <v>72</v>
      </c>
      <c r="O172">
        <v>0</v>
      </c>
    </row>
    <row r="173" spans="1:15" hidden="1" x14ac:dyDescent="0.3">
      <c r="A173" s="4" t="s">
        <v>474</v>
      </c>
      <c r="B173" s="4">
        <v>11</v>
      </c>
      <c r="C173" s="4" t="s">
        <v>474</v>
      </c>
      <c r="D173" s="4" t="s">
        <v>259</v>
      </c>
      <c r="E173" s="4"/>
      <c r="F173" s="4"/>
      <c r="G173" s="4"/>
      <c r="H173" s="4"/>
      <c r="I173" s="4"/>
      <c r="J173" s="4"/>
      <c r="K173" s="4"/>
      <c r="L173" s="4"/>
      <c r="M173" s="4"/>
      <c r="N173" s="4" t="s">
        <v>190</v>
      </c>
      <c r="O173">
        <v>0</v>
      </c>
    </row>
    <row r="174" spans="1:15" hidden="1" x14ac:dyDescent="0.3">
      <c r="A174" s="4" t="s">
        <v>474</v>
      </c>
      <c r="B174" s="4">
        <v>11</v>
      </c>
      <c r="C174" s="4" t="s">
        <v>474</v>
      </c>
      <c r="D174" s="4" t="s">
        <v>116</v>
      </c>
      <c r="E174" s="4"/>
      <c r="F174" s="4"/>
      <c r="G174" s="4"/>
      <c r="H174" s="4"/>
      <c r="I174" s="4"/>
      <c r="J174" s="4"/>
      <c r="K174" s="4"/>
      <c r="L174" s="4"/>
      <c r="M174" s="4"/>
      <c r="N174" s="4" t="s">
        <v>190</v>
      </c>
      <c r="O174">
        <v>0</v>
      </c>
    </row>
    <row r="175" spans="1:15" hidden="1" x14ac:dyDescent="0.3">
      <c r="A175" s="4" t="s">
        <v>474</v>
      </c>
      <c r="B175" s="4">
        <v>11</v>
      </c>
      <c r="C175" s="4" t="s">
        <v>474</v>
      </c>
      <c r="D175" s="4" t="s">
        <v>117</v>
      </c>
      <c r="E175" s="4"/>
      <c r="F175" s="4"/>
      <c r="G175" s="4"/>
      <c r="H175" s="4"/>
      <c r="I175" s="4"/>
      <c r="J175" s="4"/>
      <c r="K175" s="4"/>
      <c r="L175" s="4"/>
      <c r="M175" s="4"/>
      <c r="N175" s="4" t="s">
        <v>190</v>
      </c>
      <c r="O175">
        <v>0</v>
      </c>
    </row>
    <row r="176" spans="1:15" hidden="1" x14ac:dyDescent="0.3">
      <c r="A176" t="s">
        <v>70</v>
      </c>
      <c r="B176">
        <v>12</v>
      </c>
      <c r="C176" t="s">
        <v>70</v>
      </c>
      <c r="D176" t="s">
        <v>259</v>
      </c>
      <c r="G176" t="s">
        <v>14</v>
      </c>
      <c r="N176" t="s">
        <v>71</v>
      </c>
      <c r="O176">
        <v>0</v>
      </c>
    </row>
    <row r="177" spans="1:15" hidden="1" x14ac:dyDescent="0.3">
      <c r="A177" t="s">
        <v>70</v>
      </c>
      <c r="B177">
        <v>12</v>
      </c>
      <c r="C177" t="s">
        <v>70</v>
      </c>
      <c r="D177" t="s">
        <v>259</v>
      </c>
      <c r="G177" t="s">
        <v>96</v>
      </c>
      <c r="N177" t="s">
        <v>71</v>
      </c>
      <c r="O177">
        <v>0</v>
      </c>
    </row>
    <row r="178" spans="1:15" hidden="1" x14ac:dyDescent="0.3">
      <c r="A178" t="s">
        <v>70</v>
      </c>
      <c r="B178">
        <v>12</v>
      </c>
      <c r="C178" t="s">
        <v>70</v>
      </c>
      <c r="D178" t="s">
        <v>259</v>
      </c>
      <c r="G178" t="s">
        <v>97</v>
      </c>
      <c r="N178" t="s">
        <v>71</v>
      </c>
      <c r="O178">
        <v>0</v>
      </c>
    </row>
    <row r="179" spans="1:15" hidden="1" x14ac:dyDescent="0.3">
      <c r="A179" t="s">
        <v>70</v>
      </c>
      <c r="B179">
        <v>12</v>
      </c>
      <c r="C179" t="s">
        <v>70</v>
      </c>
      <c r="D179" t="s">
        <v>259</v>
      </c>
      <c r="G179" t="s">
        <v>16</v>
      </c>
      <c r="N179" t="s">
        <v>71</v>
      </c>
      <c r="O179">
        <v>0</v>
      </c>
    </row>
    <row r="180" spans="1:15" hidden="1" x14ac:dyDescent="0.3">
      <c r="A180" t="s">
        <v>70</v>
      </c>
      <c r="B180">
        <v>12</v>
      </c>
      <c r="C180" t="s">
        <v>70</v>
      </c>
      <c r="D180" t="s">
        <v>259</v>
      </c>
      <c r="G180" t="s">
        <v>17</v>
      </c>
      <c r="N180" t="s">
        <v>71</v>
      </c>
      <c r="O180">
        <v>0</v>
      </c>
    </row>
    <row r="181" spans="1:15" hidden="1" x14ac:dyDescent="0.3">
      <c r="A181" t="s">
        <v>70</v>
      </c>
      <c r="B181">
        <v>12</v>
      </c>
      <c r="C181" t="s">
        <v>70</v>
      </c>
      <c r="D181" t="s">
        <v>116</v>
      </c>
      <c r="G181" t="s">
        <v>14</v>
      </c>
      <c r="N181" t="s">
        <v>71</v>
      </c>
      <c r="O181">
        <v>0</v>
      </c>
    </row>
    <row r="182" spans="1:15" hidden="1" x14ac:dyDescent="0.3">
      <c r="A182" t="s">
        <v>70</v>
      </c>
      <c r="B182">
        <v>12</v>
      </c>
      <c r="C182" t="s">
        <v>70</v>
      </c>
      <c r="D182" t="s">
        <v>116</v>
      </c>
      <c r="G182" t="s">
        <v>96</v>
      </c>
      <c r="N182" t="s">
        <v>71</v>
      </c>
      <c r="O182">
        <v>0</v>
      </c>
    </row>
    <row r="183" spans="1:15" hidden="1" x14ac:dyDescent="0.3">
      <c r="A183" t="s">
        <v>70</v>
      </c>
      <c r="B183">
        <v>12</v>
      </c>
      <c r="C183" t="s">
        <v>70</v>
      </c>
      <c r="D183" t="s">
        <v>116</v>
      </c>
      <c r="G183" t="s">
        <v>97</v>
      </c>
      <c r="N183" t="s">
        <v>71</v>
      </c>
      <c r="O183">
        <v>0</v>
      </c>
    </row>
    <row r="184" spans="1:15" hidden="1" x14ac:dyDescent="0.3">
      <c r="A184" t="s">
        <v>70</v>
      </c>
      <c r="B184">
        <v>12</v>
      </c>
      <c r="C184" t="s">
        <v>70</v>
      </c>
      <c r="D184" t="s">
        <v>116</v>
      </c>
      <c r="G184" t="s">
        <v>16</v>
      </c>
      <c r="N184" t="s">
        <v>71</v>
      </c>
      <c r="O184">
        <v>0</v>
      </c>
    </row>
    <row r="185" spans="1:15" hidden="1" x14ac:dyDescent="0.3">
      <c r="A185" t="s">
        <v>70</v>
      </c>
      <c r="B185">
        <v>12</v>
      </c>
      <c r="C185" t="s">
        <v>70</v>
      </c>
      <c r="D185" t="s">
        <v>116</v>
      </c>
      <c r="G185" t="s">
        <v>17</v>
      </c>
      <c r="N185" t="s">
        <v>71</v>
      </c>
      <c r="O185">
        <v>0</v>
      </c>
    </row>
    <row r="186" spans="1:15" hidden="1" x14ac:dyDescent="0.3">
      <c r="A186" t="s">
        <v>70</v>
      </c>
      <c r="B186">
        <v>12</v>
      </c>
      <c r="C186" t="s">
        <v>70</v>
      </c>
      <c r="D186" t="s">
        <v>117</v>
      </c>
      <c r="G186" t="s">
        <v>14</v>
      </c>
      <c r="N186" t="s">
        <v>71</v>
      </c>
      <c r="O186">
        <v>0</v>
      </c>
    </row>
    <row r="187" spans="1:15" hidden="1" x14ac:dyDescent="0.3">
      <c r="A187" t="s">
        <v>70</v>
      </c>
      <c r="B187">
        <v>12</v>
      </c>
      <c r="C187" t="s">
        <v>70</v>
      </c>
      <c r="D187" t="s">
        <v>117</v>
      </c>
      <c r="G187" t="s">
        <v>96</v>
      </c>
      <c r="N187" t="s">
        <v>71</v>
      </c>
      <c r="O187">
        <v>0</v>
      </c>
    </row>
    <row r="188" spans="1:15" hidden="1" x14ac:dyDescent="0.3">
      <c r="A188" t="s">
        <v>70</v>
      </c>
      <c r="B188">
        <v>12</v>
      </c>
      <c r="C188" t="s">
        <v>70</v>
      </c>
      <c r="D188" t="s">
        <v>117</v>
      </c>
      <c r="G188" t="s">
        <v>97</v>
      </c>
      <c r="N188" t="s">
        <v>71</v>
      </c>
      <c r="O188">
        <v>0</v>
      </c>
    </row>
    <row r="189" spans="1:15" hidden="1" x14ac:dyDescent="0.3">
      <c r="A189" t="s">
        <v>70</v>
      </c>
      <c r="B189">
        <v>12</v>
      </c>
      <c r="C189" t="s">
        <v>70</v>
      </c>
      <c r="D189" t="s">
        <v>117</v>
      </c>
      <c r="G189" t="s">
        <v>16</v>
      </c>
      <c r="N189" t="s">
        <v>71</v>
      </c>
      <c r="O189">
        <v>0</v>
      </c>
    </row>
    <row r="190" spans="1:15" hidden="1" x14ac:dyDescent="0.3">
      <c r="A190" t="s">
        <v>70</v>
      </c>
      <c r="B190">
        <v>12</v>
      </c>
      <c r="C190" t="s">
        <v>70</v>
      </c>
      <c r="D190" t="s">
        <v>117</v>
      </c>
      <c r="G190" t="s">
        <v>17</v>
      </c>
      <c r="N190" t="s">
        <v>71</v>
      </c>
      <c r="O190">
        <v>0</v>
      </c>
    </row>
    <row r="191" spans="1:15" hidden="1" x14ac:dyDescent="0.3">
      <c r="A191" t="s">
        <v>70</v>
      </c>
      <c r="B191">
        <v>12</v>
      </c>
      <c r="C191" t="s">
        <v>70</v>
      </c>
      <c r="D191" t="s">
        <v>259</v>
      </c>
      <c r="G191" s="7" t="s">
        <v>483</v>
      </c>
      <c r="M191" s="16"/>
      <c r="N191" t="s">
        <v>312</v>
      </c>
      <c r="O191">
        <v>0</v>
      </c>
    </row>
    <row r="192" spans="1:15" hidden="1" x14ac:dyDescent="0.3">
      <c r="A192" t="s">
        <v>70</v>
      </c>
      <c r="B192">
        <v>12</v>
      </c>
      <c r="C192" t="s">
        <v>70</v>
      </c>
      <c r="D192" t="s">
        <v>116</v>
      </c>
      <c r="G192" s="7" t="s">
        <v>483</v>
      </c>
      <c r="M192" s="16"/>
      <c r="N192" t="s">
        <v>312</v>
      </c>
      <c r="O192">
        <v>0</v>
      </c>
    </row>
    <row r="193" spans="1:15" hidden="1" x14ac:dyDescent="0.3">
      <c r="A193" t="s">
        <v>70</v>
      </c>
      <c r="B193">
        <v>12</v>
      </c>
      <c r="C193" t="s">
        <v>70</v>
      </c>
      <c r="D193" t="s">
        <v>117</v>
      </c>
      <c r="G193" s="7" t="s">
        <v>483</v>
      </c>
      <c r="M193" s="16"/>
      <c r="N193" t="s">
        <v>312</v>
      </c>
      <c r="O193">
        <v>0</v>
      </c>
    </row>
    <row r="194" spans="1:15" hidden="1" x14ac:dyDescent="0.3">
      <c r="A194" t="s">
        <v>123</v>
      </c>
      <c r="B194">
        <v>13</v>
      </c>
      <c r="C194" t="s">
        <v>123</v>
      </c>
      <c r="D194" t="s">
        <v>259</v>
      </c>
      <c r="N194" t="s">
        <v>139</v>
      </c>
      <c r="O194">
        <v>0</v>
      </c>
    </row>
    <row r="195" spans="1:15" hidden="1" x14ac:dyDescent="0.3">
      <c r="A195" t="s">
        <v>123</v>
      </c>
      <c r="B195">
        <v>13</v>
      </c>
      <c r="C195" t="s">
        <v>123</v>
      </c>
      <c r="D195" t="s">
        <v>116</v>
      </c>
      <c r="N195" t="s">
        <v>139</v>
      </c>
      <c r="O195">
        <v>0</v>
      </c>
    </row>
    <row r="196" spans="1:15" hidden="1" x14ac:dyDescent="0.3">
      <c r="A196" t="s">
        <v>123</v>
      </c>
      <c r="B196">
        <v>13</v>
      </c>
      <c r="C196" t="s">
        <v>123</v>
      </c>
      <c r="D196" t="s">
        <v>117</v>
      </c>
      <c r="N196" t="s">
        <v>139</v>
      </c>
      <c r="O196">
        <v>0</v>
      </c>
    </row>
    <row r="197" spans="1:15" hidden="1" x14ac:dyDescent="0.3">
      <c r="A197" t="s">
        <v>134</v>
      </c>
      <c r="B197">
        <v>14</v>
      </c>
      <c r="C197" t="s">
        <v>91</v>
      </c>
      <c r="D197" t="s">
        <v>259</v>
      </c>
      <c r="E197" t="s">
        <v>10</v>
      </c>
      <c r="J197" t="s">
        <v>28</v>
      </c>
      <c r="N197" t="s">
        <v>75</v>
      </c>
      <c r="O197">
        <v>0</v>
      </c>
    </row>
    <row r="198" spans="1:15" hidden="1" x14ac:dyDescent="0.3">
      <c r="A198" t="s">
        <v>134</v>
      </c>
      <c r="B198">
        <v>14</v>
      </c>
      <c r="C198" t="s">
        <v>91</v>
      </c>
      <c r="D198" t="s">
        <v>259</v>
      </c>
      <c r="E198" t="s">
        <v>12</v>
      </c>
      <c r="J198" t="s">
        <v>28</v>
      </c>
      <c r="N198" t="s">
        <v>75</v>
      </c>
      <c r="O198">
        <v>0</v>
      </c>
    </row>
    <row r="199" spans="1:15" hidden="1" x14ac:dyDescent="0.3">
      <c r="A199" t="s">
        <v>134</v>
      </c>
      <c r="B199">
        <v>14</v>
      </c>
      <c r="C199" t="s">
        <v>91</v>
      </c>
      <c r="D199" t="s">
        <v>259</v>
      </c>
      <c r="E199" t="s">
        <v>10</v>
      </c>
      <c r="J199" t="s">
        <v>23</v>
      </c>
      <c r="N199" t="s">
        <v>75</v>
      </c>
      <c r="O199">
        <v>0</v>
      </c>
    </row>
    <row r="200" spans="1:15" hidden="1" x14ac:dyDescent="0.3">
      <c r="A200" t="s">
        <v>134</v>
      </c>
      <c r="B200">
        <v>14</v>
      </c>
      <c r="C200" t="s">
        <v>91</v>
      </c>
      <c r="D200" t="s">
        <v>259</v>
      </c>
      <c r="E200" t="s">
        <v>12</v>
      </c>
      <c r="J200" t="s">
        <v>23</v>
      </c>
      <c r="N200" t="s">
        <v>75</v>
      </c>
      <c r="O200">
        <v>0</v>
      </c>
    </row>
    <row r="201" spans="1:15" hidden="1" x14ac:dyDescent="0.3">
      <c r="A201" t="s">
        <v>134</v>
      </c>
      <c r="B201">
        <v>14</v>
      </c>
      <c r="C201" t="s">
        <v>91</v>
      </c>
      <c r="D201" t="s">
        <v>116</v>
      </c>
      <c r="E201" t="s">
        <v>10</v>
      </c>
      <c r="J201" t="s">
        <v>28</v>
      </c>
      <c r="N201" t="s">
        <v>75</v>
      </c>
      <c r="O201">
        <v>0</v>
      </c>
    </row>
    <row r="202" spans="1:15" hidden="1" x14ac:dyDescent="0.3">
      <c r="A202" t="s">
        <v>134</v>
      </c>
      <c r="B202">
        <v>14</v>
      </c>
      <c r="C202" t="s">
        <v>91</v>
      </c>
      <c r="D202" t="s">
        <v>116</v>
      </c>
      <c r="E202" t="s">
        <v>12</v>
      </c>
      <c r="J202" t="s">
        <v>28</v>
      </c>
      <c r="N202" t="s">
        <v>75</v>
      </c>
      <c r="O202">
        <v>0</v>
      </c>
    </row>
    <row r="203" spans="1:15" hidden="1" x14ac:dyDescent="0.3">
      <c r="A203" t="s">
        <v>134</v>
      </c>
      <c r="B203">
        <v>14</v>
      </c>
      <c r="C203" t="s">
        <v>91</v>
      </c>
      <c r="D203" t="s">
        <v>116</v>
      </c>
      <c r="E203" t="s">
        <v>10</v>
      </c>
      <c r="J203" t="s">
        <v>23</v>
      </c>
      <c r="N203" t="s">
        <v>75</v>
      </c>
      <c r="O203">
        <v>0</v>
      </c>
    </row>
    <row r="204" spans="1:15" hidden="1" x14ac:dyDescent="0.3">
      <c r="A204" t="s">
        <v>134</v>
      </c>
      <c r="B204">
        <v>14</v>
      </c>
      <c r="C204" t="s">
        <v>91</v>
      </c>
      <c r="D204" t="s">
        <v>116</v>
      </c>
      <c r="E204" t="s">
        <v>12</v>
      </c>
      <c r="J204" t="s">
        <v>23</v>
      </c>
      <c r="N204" t="s">
        <v>75</v>
      </c>
      <c r="O204">
        <v>0</v>
      </c>
    </row>
    <row r="205" spans="1:15" hidden="1" x14ac:dyDescent="0.3">
      <c r="A205" t="s">
        <v>134</v>
      </c>
      <c r="B205">
        <v>14</v>
      </c>
      <c r="C205" t="s">
        <v>91</v>
      </c>
      <c r="D205" t="s">
        <v>117</v>
      </c>
      <c r="E205" t="s">
        <v>10</v>
      </c>
      <c r="J205" t="s">
        <v>28</v>
      </c>
      <c r="N205" t="s">
        <v>75</v>
      </c>
      <c r="O205">
        <v>0</v>
      </c>
    </row>
    <row r="206" spans="1:15" hidden="1" x14ac:dyDescent="0.3">
      <c r="A206" t="s">
        <v>134</v>
      </c>
      <c r="B206">
        <v>14</v>
      </c>
      <c r="C206" t="s">
        <v>91</v>
      </c>
      <c r="D206" t="s">
        <v>117</v>
      </c>
      <c r="E206" t="s">
        <v>12</v>
      </c>
      <c r="J206" t="s">
        <v>28</v>
      </c>
      <c r="N206" t="s">
        <v>75</v>
      </c>
      <c r="O206">
        <v>0</v>
      </c>
    </row>
    <row r="207" spans="1:15" hidden="1" x14ac:dyDescent="0.3">
      <c r="A207" t="s">
        <v>134</v>
      </c>
      <c r="B207">
        <v>14</v>
      </c>
      <c r="C207" t="s">
        <v>91</v>
      </c>
      <c r="D207" t="s">
        <v>117</v>
      </c>
      <c r="E207" t="s">
        <v>10</v>
      </c>
      <c r="J207" t="s">
        <v>23</v>
      </c>
      <c r="N207" t="s">
        <v>75</v>
      </c>
      <c r="O207">
        <v>0</v>
      </c>
    </row>
    <row r="208" spans="1:15" hidden="1" x14ac:dyDescent="0.3">
      <c r="A208" t="s">
        <v>134</v>
      </c>
      <c r="B208">
        <v>14</v>
      </c>
      <c r="C208" t="s">
        <v>91</v>
      </c>
      <c r="D208" t="s">
        <v>117</v>
      </c>
      <c r="E208" t="s">
        <v>12</v>
      </c>
      <c r="J208" t="s">
        <v>23</v>
      </c>
      <c r="N208" t="s">
        <v>75</v>
      </c>
      <c r="O208">
        <v>0</v>
      </c>
    </row>
    <row r="209" spans="1:15" x14ac:dyDescent="0.3">
      <c r="A209" t="s">
        <v>297</v>
      </c>
      <c r="B209">
        <v>17</v>
      </c>
      <c r="C209" t="s">
        <v>297</v>
      </c>
      <c r="D209" t="s">
        <v>259</v>
      </c>
      <c r="E209" t="s">
        <v>10</v>
      </c>
      <c r="K209" t="s">
        <v>49</v>
      </c>
      <c r="N209" t="s">
        <v>309</v>
      </c>
      <c r="O209">
        <v>0</v>
      </c>
    </row>
    <row r="210" spans="1:15" x14ac:dyDescent="0.3">
      <c r="A210" t="s">
        <v>297</v>
      </c>
      <c r="B210">
        <v>17</v>
      </c>
      <c r="C210" t="s">
        <v>297</v>
      </c>
      <c r="D210" t="s">
        <v>259</v>
      </c>
      <c r="E210" t="s">
        <v>12</v>
      </c>
      <c r="K210" t="s">
        <v>49</v>
      </c>
      <c r="N210" t="s">
        <v>309</v>
      </c>
      <c r="O210">
        <v>0</v>
      </c>
    </row>
    <row r="211" spans="1:15" x14ac:dyDescent="0.3">
      <c r="A211" t="s">
        <v>297</v>
      </c>
      <c r="B211">
        <v>17</v>
      </c>
      <c r="C211" t="s">
        <v>297</v>
      </c>
      <c r="D211" t="s">
        <v>116</v>
      </c>
      <c r="E211" t="s">
        <v>10</v>
      </c>
      <c r="K211" t="s">
        <v>49</v>
      </c>
      <c r="N211" t="s">
        <v>309</v>
      </c>
      <c r="O211">
        <v>0</v>
      </c>
    </row>
    <row r="212" spans="1:15" x14ac:dyDescent="0.3">
      <c r="A212" t="s">
        <v>297</v>
      </c>
      <c r="B212">
        <v>17</v>
      </c>
      <c r="C212" t="s">
        <v>297</v>
      </c>
      <c r="D212" t="s">
        <v>116</v>
      </c>
      <c r="E212" t="s">
        <v>12</v>
      </c>
      <c r="K212" t="s">
        <v>49</v>
      </c>
      <c r="N212" t="s">
        <v>309</v>
      </c>
      <c r="O212">
        <v>0</v>
      </c>
    </row>
    <row r="213" spans="1:15" x14ac:dyDescent="0.3">
      <c r="A213" t="s">
        <v>297</v>
      </c>
      <c r="B213">
        <v>17</v>
      </c>
      <c r="C213" t="s">
        <v>297</v>
      </c>
      <c r="D213" t="s">
        <v>117</v>
      </c>
      <c r="E213" t="s">
        <v>10</v>
      </c>
      <c r="K213" t="s">
        <v>49</v>
      </c>
      <c r="N213" t="s">
        <v>309</v>
      </c>
      <c r="O213">
        <v>0</v>
      </c>
    </row>
    <row r="214" spans="1:15" x14ac:dyDescent="0.3">
      <c r="A214" t="s">
        <v>297</v>
      </c>
      <c r="B214">
        <v>17</v>
      </c>
      <c r="C214" t="s">
        <v>297</v>
      </c>
      <c r="D214" t="s">
        <v>117</v>
      </c>
      <c r="E214" t="s">
        <v>12</v>
      </c>
      <c r="K214" t="s">
        <v>49</v>
      </c>
      <c r="N214" t="s">
        <v>309</v>
      </c>
      <c r="O214">
        <v>0</v>
      </c>
    </row>
    <row r="215" spans="1:15" x14ac:dyDescent="0.3">
      <c r="A215" t="s">
        <v>297</v>
      </c>
      <c r="B215">
        <v>17</v>
      </c>
      <c r="C215" t="s">
        <v>297</v>
      </c>
      <c r="D215" t="s">
        <v>259</v>
      </c>
      <c r="E215" t="s">
        <v>10</v>
      </c>
      <c r="K215" t="s">
        <v>52</v>
      </c>
      <c r="N215" t="s">
        <v>309</v>
      </c>
      <c r="O215">
        <v>0</v>
      </c>
    </row>
    <row r="216" spans="1:15" x14ac:dyDescent="0.3">
      <c r="A216" t="s">
        <v>297</v>
      </c>
      <c r="B216">
        <v>17</v>
      </c>
      <c r="C216" t="s">
        <v>297</v>
      </c>
      <c r="D216" t="s">
        <v>259</v>
      </c>
      <c r="E216" t="s">
        <v>12</v>
      </c>
      <c r="K216" t="s">
        <v>52</v>
      </c>
      <c r="N216" t="s">
        <v>309</v>
      </c>
      <c r="O216">
        <v>0</v>
      </c>
    </row>
    <row r="217" spans="1:15" x14ac:dyDescent="0.3">
      <c r="A217" t="s">
        <v>297</v>
      </c>
      <c r="B217">
        <v>17</v>
      </c>
      <c r="C217" t="s">
        <v>297</v>
      </c>
      <c r="D217" t="s">
        <v>116</v>
      </c>
      <c r="E217" t="s">
        <v>10</v>
      </c>
      <c r="K217" t="s">
        <v>52</v>
      </c>
      <c r="N217" t="s">
        <v>309</v>
      </c>
      <c r="O217">
        <v>0</v>
      </c>
    </row>
    <row r="218" spans="1:15" x14ac:dyDescent="0.3">
      <c r="A218" t="s">
        <v>297</v>
      </c>
      <c r="B218">
        <v>17</v>
      </c>
      <c r="C218" t="s">
        <v>297</v>
      </c>
      <c r="D218" t="s">
        <v>116</v>
      </c>
      <c r="E218" t="s">
        <v>12</v>
      </c>
      <c r="K218" t="s">
        <v>52</v>
      </c>
      <c r="N218" t="s">
        <v>309</v>
      </c>
      <c r="O218">
        <v>0</v>
      </c>
    </row>
    <row r="219" spans="1:15" x14ac:dyDescent="0.3">
      <c r="A219" t="s">
        <v>297</v>
      </c>
      <c r="B219">
        <v>17</v>
      </c>
      <c r="C219" t="s">
        <v>297</v>
      </c>
      <c r="D219" t="s">
        <v>117</v>
      </c>
      <c r="E219" t="s">
        <v>10</v>
      </c>
      <c r="K219" t="s">
        <v>52</v>
      </c>
      <c r="N219" t="s">
        <v>309</v>
      </c>
      <c r="O219">
        <v>0</v>
      </c>
    </row>
    <row r="220" spans="1:15" x14ac:dyDescent="0.3">
      <c r="A220" t="s">
        <v>297</v>
      </c>
      <c r="B220">
        <v>17</v>
      </c>
      <c r="C220" t="s">
        <v>297</v>
      </c>
      <c r="D220" t="s">
        <v>117</v>
      </c>
      <c r="E220" t="s">
        <v>12</v>
      </c>
      <c r="K220" t="s">
        <v>52</v>
      </c>
      <c r="N220" t="s">
        <v>309</v>
      </c>
      <c r="O220">
        <v>0</v>
      </c>
    </row>
    <row r="221" spans="1:15" x14ac:dyDescent="0.3">
      <c r="A221" t="s">
        <v>297</v>
      </c>
      <c r="B221">
        <v>17</v>
      </c>
      <c r="C221" t="s">
        <v>297</v>
      </c>
      <c r="D221" t="s">
        <v>259</v>
      </c>
      <c r="E221" t="s">
        <v>27</v>
      </c>
      <c r="K221" t="s">
        <v>207</v>
      </c>
      <c r="N221" t="s">
        <v>309</v>
      </c>
      <c r="O221">
        <v>0</v>
      </c>
    </row>
    <row r="222" spans="1:15" x14ac:dyDescent="0.3">
      <c r="A222" t="s">
        <v>297</v>
      </c>
      <c r="B222">
        <v>17</v>
      </c>
      <c r="C222" t="s">
        <v>297</v>
      </c>
      <c r="D222" t="s">
        <v>116</v>
      </c>
      <c r="E222" t="s">
        <v>27</v>
      </c>
      <c r="K222" t="s">
        <v>207</v>
      </c>
      <c r="N222" t="s">
        <v>309</v>
      </c>
      <c r="O222">
        <v>0</v>
      </c>
    </row>
    <row r="223" spans="1:15" x14ac:dyDescent="0.3">
      <c r="A223" t="s">
        <v>297</v>
      </c>
      <c r="B223">
        <v>17</v>
      </c>
      <c r="C223" t="s">
        <v>297</v>
      </c>
      <c r="D223" t="s">
        <v>117</v>
      </c>
      <c r="E223" t="s">
        <v>27</v>
      </c>
      <c r="K223" t="s">
        <v>207</v>
      </c>
      <c r="N223" t="s">
        <v>309</v>
      </c>
      <c r="O223">
        <v>0</v>
      </c>
    </row>
    <row r="224" spans="1:15" x14ac:dyDescent="0.3">
      <c r="A224" t="s">
        <v>297</v>
      </c>
      <c r="B224">
        <v>17</v>
      </c>
      <c r="C224" t="s">
        <v>297</v>
      </c>
      <c r="D224" t="s">
        <v>259</v>
      </c>
      <c r="E224" t="s">
        <v>27</v>
      </c>
      <c r="K224" t="s">
        <v>85</v>
      </c>
      <c r="N224" t="s">
        <v>309</v>
      </c>
      <c r="O224">
        <v>0</v>
      </c>
    </row>
    <row r="225" spans="1:15" x14ac:dyDescent="0.3">
      <c r="A225" t="s">
        <v>297</v>
      </c>
      <c r="B225">
        <v>17</v>
      </c>
      <c r="C225" t="s">
        <v>297</v>
      </c>
      <c r="D225" t="s">
        <v>116</v>
      </c>
      <c r="E225" t="s">
        <v>27</v>
      </c>
      <c r="K225" t="s">
        <v>85</v>
      </c>
      <c r="N225" t="s">
        <v>309</v>
      </c>
      <c r="O225">
        <v>0</v>
      </c>
    </row>
    <row r="226" spans="1:15" x14ac:dyDescent="0.3">
      <c r="A226" t="s">
        <v>297</v>
      </c>
      <c r="B226">
        <v>17</v>
      </c>
      <c r="C226" t="s">
        <v>297</v>
      </c>
      <c r="D226" t="s">
        <v>117</v>
      </c>
      <c r="E226" t="s">
        <v>27</v>
      </c>
      <c r="K226" t="s">
        <v>85</v>
      </c>
      <c r="N226" t="s">
        <v>309</v>
      </c>
      <c r="O226">
        <v>0</v>
      </c>
    </row>
    <row r="227" spans="1:15" x14ac:dyDescent="0.3">
      <c r="A227" t="s">
        <v>297</v>
      </c>
      <c r="B227">
        <v>17</v>
      </c>
      <c r="C227" t="s">
        <v>297</v>
      </c>
      <c r="D227" t="s">
        <v>259</v>
      </c>
      <c r="E227" t="s">
        <v>27</v>
      </c>
      <c r="K227" t="s">
        <v>86</v>
      </c>
      <c r="N227" t="s">
        <v>309</v>
      </c>
      <c r="O227">
        <v>0</v>
      </c>
    </row>
    <row r="228" spans="1:15" x14ac:dyDescent="0.3">
      <c r="A228" t="s">
        <v>297</v>
      </c>
      <c r="B228">
        <v>17</v>
      </c>
      <c r="C228" t="s">
        <v>297</v>
      </c>
      <c r="D228" t="s">
        <v>116</v>
      </c>
      <c r="E228" t="s">
        <v>27</v>
      </c>
      <c r="K228" t="s">
        <v>86</v>
      </c>
      <c r="N228" t="s">
        <v>309</v>
      </c>
      <c r="O228">
        <v>0</v>
      </c>
    </row>
    <row r="229" spans="1:15" x14ac:dyDescent="0.3">
      <c r="A229" t="s">
        <v>297</v>
      </c>
      <c r="B229">
        <v>17</v>
      </c>
      <c r="C229" t="s">
        <v>297</v>
      </c>
      <c r="D229" t="s">
        <v>117</v>
      </c>
      <c r="E229" t="s">
        <v>27</v>
      </c>
      <c r="K229" t="s">
        <v>86</v>
      </c>
      <c r="N229" t="s">
        <v>309</v>
      </c>
      <c r="O229">
        <v>0</v>
      </c>
    </row>
    <row r="230" spans="1:15" x14ac:dyDescent="0.3">
      <c r="A230" t="s">
        <v>298</v>
      </c>
      <c r="B230">
        <v>16</v>
      </c>
      <c r="C230" t="s">
        <v>298</v>
      </c>
      <c r="D230" t="s">
        <v>259</v>
      </c>
      <c r="M230" t="s">
        <v>302</v>
      </c>
      <c r="N230" t="s">
        <v>300</v>
      </c>
      <c r="O230">
        <v>0</v>
      </c>
    </row>
    <row r="231" spans="1:15" x14ac:dyDescent="0.3">
      <c r="A231" t="s">
        <v>298</v>
      </c>
      <c r="B231">
        <v>16</v>
      </c>
      <c r="C231" t="s">
        <v>298</v>
      </c>
      <c r="D231" t="s">
        <v>116</v>
      </c>
      <c r="M231" t="s">
        <v>302</v>
      </c>
      <c r="N231" t="s">
        <v>300</v>
      </c>
      <c r="O231">
        <v>0</v>
      </c>
    </row>
    <row r="232" spans="1:15" x14ac:dyDescent="0.3">
      <c r="A232" t="s">
        <v>298</v>
      </c>
      <c r="B232">
        <v>16</v>
      </c>
      <c r="C232" t="s">
        <v>298</v>
      </c>
      <c r="D232" t="s">
        <v>117</v>
      </c>
      <c r="M232" t="s">
        <v>302</v>
      </c>
      <c r="N232" t="s">
        <v>300</v>
      </c>
      <c r="O232">
        <v>0</v>
      </c>
    </row>
    <row r="233" spans="1:15" x14ac:dyDescent="0.3">
      <c r="A233" t="s">
        <v>298</v>
      </c>
      <c r="B233">
        <v>16</v>
      </c>
      <c r="C233" t="s">
        <v>298</v>
      </c>
      <c r="D233" t="s">
        <v>259</v>
      </c>
      <c r="M233" t="s">
        <v>303</v>
      </c>
      <c r="N233" t="s">
        <v>299</v>
      </c>
      <c r="O233">
        <v>0</v>
      </c>
    </row>
    <row r="234" spans="1:15" x14ac:dyDescent="0.3">
      <c r="A234" t="s">
        <v>298</v>
      </c>
      <c r="B234">
        <v>16</v>
      </c>
      <c r="C234" t="s">
        <v>298</v>
      </c>
      <c r="D234" t="s">
        <v>116</v>
      </c>
      <c r="M234" t="s">
        <v>303</v>
      </c>
      <c r="N234" t="s">
        <v>299</v>
      </c>
      <c r="O234">
        <v>0</v>
      </c>
    </row>
    <row r="235" spans="1:15" x14ac:dyDescent="0.3">
      <c r="A235" t="s">
        <v>298</v>
      </c>
      <c r="B235">
        <v>16</v>
      </c>
      <c r="C235" t="s">
        <v>298</v>
      </c>
      <c r="D235" t="s">
        <v>117</v>
      </c>
      <c r="M235" t="s">
        <v>303</v>
      </c>
      <c r="N235" t="s">
        <v>299</v>
      </c>
      <c r="O235">
        <v>0</v>
      </c>
    </row>
    <row r="236" spans="1:15" x14ac:dyDescent="0.3">
      <c r="A236" t="s">
        <v>298</v>
      </c>
      <c r="B236">
        <v>16</v>
      </c>
      <c r="C236" t="s">
        <v>298</v>
      </c>
      <c r="D236" t="s">
        <v>259</v>
      </c>
      <c r="M236" s="7" t="s">
        <v>304</v>
      </c>
      <c r="N236" t="s">
        <v>299</v>
      </c>
      <c r="O236">
        <v>0</v>
      </c>
    </row>
    <row r="237" spans="1:15" x14ac:dyDescent="0.3">
      <c r="A237" t="s">
        <v>298</v>
      </c>
      <c r="B237">
        <v>16</v>
      </c>
      <c r="C237" t="s">
        <v>298</v>
      </c>
      <c r="D237" t="s">
        <v>116</v>
      </c>
      <c r="M237" s="7" t="s">
        <v>304</v>
      </c>
      <c r="N237" t="s">
        <v>299</v>
      </c>
      <c r="O237">
        <v>0</v>
      </c>
    </row>
    <row r="238" spans="1:15" x14ac:dyDescent="0.3">
      <c r="A238" t="s">
        <v>298</v>
      </c>
      <c r="B238">
        <v>16</v>
      </c>
      <c r="C238" t="s">
        <v>298</v>
      </c>
      <c r="D238" t="s">
        <v>117</v>
      </c>
      <c r="M238" s="7" t="s">
        <v>304</v>
      </c>
      <c r="N238" t="s">
        <v>299</v>
      </c>
      <c r="O238">
        <v>0</v>
      </c>
    </row>
    <row r="239" spans="1:15" x14ac:dyDescent="0.3">
      <c r="A239" t="s">
        <v>298</v>
      </c>
      <c r="B239">
        <v>16</v>
      </c>
      <c r="C239" t="s">
        <v>298</v>
      </c>
      <c r="D239" t="s">
        <v>259</v>
      </c>
      <c r="M239" s="7" t="s">
        <v>305</v>
      </c>
      <c r="N239" t="s">
        <v>299</v>
      </c>
      <c r="O239">
        <v>0</v>
      </c>
    </row>
    <row r="240" spans="1:15" x14ac:dyDescent="0.3">
      <c r="A240" t="s">
        <v>298</v>
      </c>
      <c r="B240">
        <v>16</v>
      </c>
      <c r="C240" t="s">
        <v>298</v>
      </c>
      <c r="D240" t="s">
        <v>116</v>
      </c>
      <c r="M240" s="7" t="s">
        <v>305</v>
      </c>
      <c r="N240" t="s">
        <v>299</v>
      </c>
      <c r="O240">
        <v>0</v>
      </c>
    </row>
    <row r="241" spans="1:15" x14ac:dyDescent="0.3">
      <c r="A241" t="s">
        <v>298</v>
      </c>
      <c r="B241">
        <v>16</v>
      </c>
      <c r="C241" t="s">
        <v>298</v>
      </c>
      <c r="D241" t="s">
        <v>117</v>
      </c>
      <c r="M241" s="7" t="s">
        <v>305</v>
      </c>
      <c r="N241" t="s">
        <v>299</v>
      </c>
      <c r="O241">
        <v>0</v>
      </c>
    </row>
    <row r="242" spans="1:15" x14ac:dyDescent="0.3">
      <c r="A242" t="s">
        <v>298</v>
      </c>
      <c r="B242">
        <v>16</v>
      </c>
      <c r="C242" t="s">
        <v>298</v>
      </c>
      <c r="D242" t="s">
        <v>259</v>
      </c>
      <c r="M242" s="7" t="s">
        <v>306</v>
      </c>
      <c r="N242" t="s">
        <v>299</v>
      </c>
      <c r="O242">
        <v>0</v>
      </c>
    </row>
    <row r="243" spans="1:15" x14ac:dyDescent="0.3">
      <c r="A243" t="s">
        <v>298</v>
      </c>
      <c r="B243">
        <v>16</v>
      </c>
      <c r="C243" t="s">
        <v>298</v>
      </c>
      <c r="D243" t="s">
        <v>116</v>
      </c>
      <c r="M243" s="7" t="s">
        <v>306</v>
      </c>
      <c r="N243" t="s">
        <v>299</v>
      </c>
      <c r="O243">
        <v>0</v>
      </c>
    </row>
    <row r="244" spans="1:15" x14ac:dyDescent="0.3">
      <c r="A244" t="s">
        <v>298</v>
      </c>
      <c r="B244">
        <v>16</v>
      </c>
      <c r="C244" t="s">
        <v>298</v>
      </c>
      <c r="D244" t="s">
        <v>117</v>
      </c>
      <c r="M244" s="7" t="s">
        <v>306</v>
      </c>
      <c r="N244" t="s">
        <v>299</v>
      </c>
      <c r="O244">
        <v>0</v>
      </c>
    </row>
    <row r="245" spans="1:15" x14ac:dyDescent="0.3">
      <c r="A245" t="s">
        <v>307</v>
      </c>
      <c r="B245">
        <v>15</v>
      </c>
      <c r="C245" t="s">
        <v>307</v>
      </c>
      <c r="D245" t="s">
        <v>259</v>
      </c>
      <c r="N245" t="s">
        <v>308</v>
      </c>
      <c r="O245">
        <v>0</v>
      </c>
    </row>
    <row r="246" spans="1:15" x14ac:dyDescent="0.3">
      <c r="A246" t="s">
        <v>307</v>
      </c>
      <c r="B246">
        <v>15</v>
      </c>
      <c r="C246" t="s">
        <v>307</v>
      </c>
      <c r="D246" t="s">
        <v>116</v>
      </c>
      <c r="N246" t="s">
        <v>308</v>
      </c>
      <c r="O246">
        <v>0</v>
      </c>
    </row>
    <row r="247" spans="1:15" x14ac:dyDescent="0.3">
      <c r="A247" t="s">
        <v>307</v>
      </c>
      <c r="B247">
        <v>15</v>
      </c>
      <c r="C247" t="s">
        <v>307</v>
      </c>
      <c r="D247" t="s">
        <v>117</v>
      </c>
      <c r="N247" t="s">
        <v>308</v>
      </c>
      <c r="O247"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B58-ACE8-4F29-91FA-210D6BDB1CB6}">
  <sheetPr>
    <tabColor theme="7"/>
  </sheetPr>
  <dimension ref="A1:N144"/>
  <sheetViews>
    <sheetView showGridLines="0" zoomScale="70" zoomScaleNormal="70" workbookViewId="0">
      <selection activeCell="C148" sqref="C148"/>
    </sheetView>
  </sheetViews>
  <sheetFormatPr defaultRowHeight="14.4" x14ac:dyDescent="0.3"/>
  <cols>
    <col min="1" max="1" width="12.21875" customWidth="1"/>
    <col min="2" max="2" width="39.77734375" customWidth="1"/>
    <col min="3" max="3" width="20.21875" bestFit="1" customWidth="1"/>
    <col min="4" max="5" width="39.77734375" customWidth="1"/>
    <col min="6" max="6" width="11.77734375" customWidth="1"/>
    <col min="7" max="7" width="11.5546875" customWidth="1"/>
    <col min="8" max="8" width="30.5546875" customWidth="1"/>
    <col min="9" max="9" width="11" customWidth="1"/>
    <col min="10" max="10" width="17.44140625" customWidth="1"/>
    <col min="11" max="11" width="28.44140625" customWidth="1"/>
    <col min="12" max="13" width="17.5546875" customWidth="1"/>
    <col min="14" max="14" width="22.77734375" bestFit="1" customWidth="1"/>
  </cols>
  <sheetData>
    <row r="1" spans="1:14" x14ac:dyDescent="0.3">
      <c r="A1" s="1" t="s">
        <v>0</v>
      </c>
      <c r="B1" s="1" t="s">
        <v>138</v>
      </c>
      <c r="C1" s="11" t="s">
        <v>270</v>
      </c>
      <c r="D1" s="1" t="s">
        <v>126</v>
      </c>
      <c r="E1" s="1" t="s">
        <v>5</v>
      </c>
      <c r="F1" s="1" t="s">
        <v>1</v>
      </c>
      <c r="G1" s="1" t="s">
        <v>244</v>
      </c>
      <c r="H1" s="1" t="s">
        <v>7</v>
      </c>
      <c r="I1" s="1" t="s">
        <v>4</v>
      </c>
      <c r="J1" s="9" t="s">
        <v>90</v>
      </c>
      <c r="K1" s="1" t="s">
        <v>6</v>
      </c>
      <c r="L1" s="9" t="s">
        <v>265</v>
      </c>
      <c r="M1" s="1" t="s">
        <v>164</v>
      </c>
      <c r="N1" t="s">
        <v>88</v>
      </c>
    </row>
    <row r="2" spans="1:14" x14ac:dyDescent="0.3">
      <c r="A2" t="s">
        <v>8</v>
      </c>
      <c r="B2">
        <v>1</v>
      </c>
      <c r="C2" s="15" t="s">
        <v>374</v>
      </c>
      <c r="D2" t="s">
        <v>184</v>
      </c>
      <c r="F2" t="s">
        <v>63</v>
      </c>
      <c r="J2" t="s">
        <v>64</v>
      </c>
      <c r="L2" t="s">
        <v>266</v>
      </c>
      <c r="M2" t="s">
        <v>106</v>
      </c>
      <c r="N2" s="10">
        <v>566955</v>
      </c>
    </row>
    <row r="3" spans="1:14" hidden="1" x14ac:dyDescent="0.3">
      <c r="A3" t="s">
        <v>8</v>
      </c>
      <c r="B3">
        <v>1</v>
      </c>
      <c r="C3" s="15" t="s">
        <v>442</v>
      </c>
      <c r="D3" t="s">
        <v>184</v>
      </c>
      <c r="F3" t="s">
        <v>63</v>
      </c>
      <c r="J3" t="s">
        <v>64</v>
      </c>
      <c r="L3" t="s">
        <v>267</v>
      </c>
      <c r="M3" t="s">
        <v>107</v>
      </c>
      <c r="N3" s="10">
        <v>56695.5</v>
      </c>
    </row>
    <row r="4" spans="1:14" x14ac:dyDescent="0.3">
      <c r="A4" t="s">
        <v>8</v>
      </c>
      <c r="B4">
        <v>1</v>
      </c>
      <c r="C4" s="15" t="s">
        <v>375</v>
      </c>
      <c r="D4" t="s">
        <v>184</v>
      </c>
      <c r="F4" t="s">
        <v>10</v>
      </c>
      <c r="J4" t="s">
        <v>64</v>
      </c>
      <c r="L4" t="s">
        <v>266</v>
      </c>
      <c r="M4" t="s">
        <v>106</v>
      </c>
      <c r="N4" s="10">
        <v>566955</v>
      </c>
    </row>
    <row r="5" spans="1:14" hidden="1" x14ac:dyDescent="0.3">
      <c r="A5" t="s">
        <v>8</v>
      </c>
      <c r="B5">
        <v>1</v>
      </c>
      <c r="C5" s="15" t="s">
        <v>442</v>
      </c>
      <c r="D5" t="s">
        <v>184</v>
      </c>
      <c r="F5" t="s">
        <v>10</v>
      </c>
      <c r="J5" t="s">
        <v>64</v>
      </c>
      <c r="L5" t="s">
        <v>267</v>
      </c>
      <c r="M5" t="s">
        <v>107</v>
      </c>
      <c r="N5" s="10">
        <v>56695.5</v>
      </c>
    </row>
    <row r="6" spans="1:14" x14ac:dyDescent="0.3">
      <c r="A6" t="s">
        <v>8</v>
      </c>
      <c r="B6">
        <v>1</v>
      </c>
      <c r="C6" s="15" t="s">
        <v>376</v>
      </c>
      <c r="D6" t="s">
        <v>184</v>
      </c>
      <c r="F6" t="s">
        <v>11</v>
      </c>
      <c r="J6" t="s">
        <v>64</v>
      </c>
      <c r="L6" t="s">
        <v>266</v>
      </c>
      <c r="M6" t="s">
        <v>106</v>
      </c>
      <c r="N6" s="10">
        <v>566955</v>
      </c>
    </row>
    <row r="7" spans="1:14" hidden="1" x14ac:dyDescent="0.3">
      <c r="A7" t="s">
        <v>8</v>
      </c>
      <c r="B7">
        <v>1</v>
      </c>
      <c r="C7" s="15" t="s">
        <v>442</v>
      </c>
      <c r="D7" t="s">
        <v>184</v>
      </c>
      <c r="F7" t="s">
        <v>11</v>
      </c>
      <c r="J7" t="s">
        <v>64</v>
      </c>
      <c r="L7" t="s">
        <v>267</v>
      </c>
      <c r="M7" t="s">
        <v>107</v>
      </c>
      <c r="N7" s="10">
        <v>56695.5</v>
      </c>
    </row>
    <row r="8" spans="1:14" x14ac:dyDescent="0.3">
      <c r="A8" t="s">
        <v>8</v>
      </c>
      <c r="B8">
        <v>1</v>
      </c>
      <c r="C8" s="15" t="s">
        <v>377</v>
      </c>
      <c r="D8" t="s">
        <v>184</v>
      </c>
      <c r="F8" t="s">
        <v>12</v>
      </c>
      <c r="J8" t="s">
        <v>64</v>
      </c>
      <c r="L8" t="s">
        <v>266</v>
      </c>
      <c r="M8" t="s">
        <v>106</v>
      </c>
      <c r="N8" s="10">
        <v>566955</v>
      </c>
    </row>
    <row r="9" spans="1:14" hidden="1" x14ac:dyDescent="0.3">
      <c r="A9" t="s">
        <v>8</v>
      </c>
      <c r="B9">
        <v>1</v>
      </c>
      <c r="C9" s="15" t="s">
        <v>442</v>
      </c>
      <c r="D9" t="s">
        <v>184</v>
      </c>
      <c r="F9" t="s">
        <v>12</v>
      </c>
      <c r="J9" t="s">
        <v>64</v>
      </c>
      <c r="L9" t="s">
        <v>267</v>
      </c>
      <c r="M9" t="s">
        <v>107</v>
      </c>
      <c r="N9" s="10">
        <v>56695.5</v>
      </c>
    </row>
    <row r="10" spans="1:14" x14ac:dyDescent="0.3">
      <c r="A10" t="s">
        <v>8</v>
      </c>
      <c r="B10">
        <v>1</v>
      </c>
      <c r="C10" s="15" t="s">
        <v>378</v>
      </c>
      <c r="D10" t="s">
        <v>184</v>
      </c>
      <c r="F10" t="s">
        <v>63</v>
      </c>
      <c r="J10" t="s">
        <v>65</v>
      </c>
      <c r="L10" t="s">
        <v>266</v>
      </c>
      <c r="M10" t="s">
        <v>106</v>
      </c>
      <c r="N10" s="10">
        <v>36258.75</v>
      </c>
    </row>
    <row r="11" spans="1:14" hidden="1" x14ac:dyDescent="0.3">
      <c r="A11" t="s">
        <v>8</v>
      </c>
      <c r="B11">
        <v>1</v>
      </c>
      <c r="C11" s="15" t="s">
        <v>442</v>
      </c>
      <c r="D11" t="s">
        <v>184</v>
      </c>
      <c r="F11" t="s">
        <v>63</v>
      </c>
      <c r="J11" t="s">
        <v>65</v>
      </c>
      <c r="L11" t="s">
        <v>267</v>
      </c>
      <c r="M11" t="s">
        <v>107</v>
      </c>
      <c r="N11" s="10">
        <v>3625.875</v>
      </c>
    </row>
    <row r="12" spans="1:14" x14ac:dyDescent="0.3">
      <c r="A12" t="s">
        <v>8</v>
      </c>
      <c r="B12">
        <v>1</v>
      </c>
      <c r="C12" s="15" t="s">
        <v>379</v>
      </c>
      <c r="D12" t="s">
        <v>184</v>
      </c>
      <c r="F12" t="s">
        <v>10</v>
      </c>
      <c r="J12" t="s">
        <v>65</v>
      </c>
      <c r="L12" t="s">
        <v>266</v>
      </c>
      <c r="M12" t="s">
        <v>106</v>
      </c>
      <c r="N12" s="10">
        <v>36258.75</v>
      </c>
    </row>
    <row r="13" spans="1:14" hidden="1" x14ac:dyDescent="0.3">
      <c r="A13" t="s">
        <v>8</v>
      </c>
      <c r="B13">
        <v>1</v>
      </c>
      <c r="C13" s="15" t="s">
        <v>442</v>
      </c>
      <c r="D13" t="s">
        <v>184</v>
      </c>
      <c r="F13" t="s">
        <v>10</v>
      </c>
      <c r="J13" t="s">
        <v>65</v>
      </c>
      <c r="L13" t="s">
        <v>267</v>
      </c>
      <c r="M13" t="s">
        <v>107</v>
      </c>
      <c r="N13" s="10">
        <v>3625.875</v>
      </c>
    </row>
    <row r="14" spans="1:14" x14ac:dyDescent="0.3">
      <c r="A14" t="s">
        <v>8</v>
      </c>
      <c r="B14">
        <v>1</v>
      </c>
      <c r="C14" s="15" t="s">
        <v>380</v>
      </c>
      <c r="D14" t="s">
        <v>184</v>
      </c>
      <c r="F14" t="s">
        <v>11</v>
      </c>
      <c r="J14" t="s">
        <v>65</v>
      </c>
      <c r="L14" t="s">
        <v>266</v>
      </c>
      <c r="M14" t="s">
        <v>106</v>
      </c>
      <c r="N14" s="10">
        <v>36258.75</v>
      </c>
    </row>
    <row r="15" spans="1:14" hidden="1" x14ac:dyDescent="0.3">
      <c r="A15" t="s">
        <v>8</v>
      </c>
      <c r="B15">
        <v>1</v>
      </c>
      <c r="C15" s="15" t="s">
        <v>442</v>
      </c>
      <c r="D15" t="s">
        <v>184</v>
      </c>
      <c r="F15" t="s">
        <v>11</v>
      </c>
      <c r="J15" t="s">
        <v>65</v>
      </c>
      <c r="L15" t="s">
        <v>267</v>
      </c>
      <c r="M15" t="s">
        <v>107</v>
      </c>
      <c r="N15" s="10">
        <v>3625.875</v>
      </c>
    </row>
    <row r="16" spans="1:14" x14ac:dyDescent="0.3">
      <c r="A16" t="s">
        <v>8</v>
      </c>
      <c r="B16">
        <v>1</v>
      </c>
      <c r="C16" s="15" t="s">
        <v>381</v>
      </c>
      <c r="D16" t="s">
        <v>184</v>
      </c>
      <c r="F16" t="s">
        <v>12</v>
      </c>
      <c r="J16" t="s">
        <v>65</v>
      </c>
      <c r="L16" t="s">
        <v>266</v>
      </c>
      <c r="M16" t="s">
        <v>106</v>
      </c>
      <c r="N16" s="10">
        <v>36258.75</v>
      </c>
    </row>
    <row r="17" spans="1:14" hidden="1" x14ac:dyDescent="0.3">
      <c r="A17" t="s">
        <v>8</v>
      </c>
      <c r="B17">
        <v>1</v>
      </c>
      <c r="C17" s="15" t="s">
        <v>442</v>
      </c>
      <c r="D17" t="s">
        <v>184</v>
      </c>
      <c r="F17" t="s">
        <v>12</v>
      </c>
      <c r="J17" t="s">
        <v>65</v>
      </c>
      <c r="L17" t="s">
        <v>267</v>
      </c>
      <c r="M17" t="s">
        <v>107</v>
      </c>
      <c r="N17" s="10">
        <v>3625.875</v>
      </c>
    </row>
    <row r="18" spans="1:14" x14ac:dyDescent="0.3">
      <c r="A18" t="s">
        <v>8</v>
      </c>
      <c r="B18">
        <v>1</v>
      </c>
      <c r="C18" s="15" t="s">
        <v>382</v>
      </c>
      <c r="D18" t="s">
        <v>184</v>
      </c>
      <c r="F18" t="s">
        <v>63</v>
      </c>
      <c r="J18" t="s">
        <v>66</v>
      </c>
      <c r="L18" t="s">
        <v>266</v>
      </c>
      <c r="M18" t="s">
        <v>106</v>
      </c>
      <c r="N18" s="10">
        <v>164812.5</v>
      </c>
    </row>
    <row r="19" spans="1:14" hidden="1" x14ac:dyDescent="0.3">
      <c r="A19" t="s">
        <v>8</v>
      </c>
      <c r="B19">
        <v>1</v>
      </c>
      <c r="C19" s="15" t="s">
        <v>442</v>
      </c>
      <c r="D19" t="s">
        <v>184</v>
      </c>
      <c r="F19" t="s">
        <v>63</v>
      </c>
      <c r="J19" t="s">
        <v>66</v>
      </c>
      <c r="L19" t="s">
        <v>267</v>
      </c>
      <c r="M19" t="s">
        <v>107</v>
      </c>
      <c r="N19" s="10">
        <v>16481.25</v>
      </c>
    </row>
    <row r="20" spans="1:14" x14ac:dyDescent="0.3">
      <c r="A20" t="s">
        <v>8</v>
      </c>
      <c r="B20">
        <v>1</v>
      </c>
      <c r="C20" s="15" t="s">
        <v>383</v>
      </c>
      <c r="D20" t="s">
        <v>184</v>
      </c>
      <c r="F20" t="s">
        <v>10</v>
      </c>
      <c r="J20" t="s">
        <v>66</v>
      </c>
      <c r="L20" t="s">
        <v>266</v>
      </c>
      <c r="M20" t="s">
        <v>106</v>
      </c>
      <c r="N20" s="10">
        <v>164812.5</v>
      </c>
    </row>
    <row r="21" spans="1:14" hidden="1" x14ac:dyDescent="0.3">
      <c r="A21" t="s">
        <v>8</v>
      </c>
      <c r="B21">
        <v>1</v>
      </c>
      <c r="C21" s="15" t="s">
        <v>442</v>
      </c>
      <c r="D21" t="s">
        <v>184</v>
      </c>
      <c r="F21" t="s">
        <v>10</v>
      </c>
      <c r="J21" t="s">
        <v>66</v>
      </c>
      <c r="L21" t="s">
        <v>267</v>
      </c>
      <c r="M21" t="s">
        <v>107</v>
      </c>
      <c r="N21" s="10">
        <v>16481.25</v>
      </c>
    </row>
    <row r="22" spans="1:14" x14ac:dyDescent="0.3">
      <c r="A22" t="s">
        <v>8</v>
      </c>
      <c r="B22">
        <v>1</v>
      </c>
      <c r="C22" s="15" t="s">
        <v>384</v>
      </c>
      <c r="D22" t="s">
        <v>184</v>
      </c>
      <c r="F22" t="s">
        <v>11</v>
      </c>
      <c r="J22" t="s">
        <v>66</v>
      </c>
      <c r="L22" t="s">
        <v>266</v>
      </c>
      <c r="M22" t="s">
        <v>106</v>
      </c>
      <c r="N22" s="10">
        <v>164812.5</v>
      </c>
    </row>
    <row r="23" spans="1:14" hidden="1" x14ac:dyDescent="0.3">
      <c r="A23" t="s">
        <v>8</v>
      </c>
      <c r="B23">
        <v>1</v>
      </c>
      <c r="C23" s="15" t="s">
        <v>442</v>
      </c>
      <c r="D23" t="s">
        <v>184</v>
      </c>
      <c r="F23" t="s">
        <v>11</v>
      </c>
      <c r="J23" t="s">
        <v>66</v>
      </c>
      <c r="L23" t="s">
        <v>267</v>
      </c>
      <c r="M23" t="s">
        <v>107</v>
      </c>
      <c r="N23" s="10">
        <v>16481.25</v>
      </c>
    </row>
    <row r="24" spans="1:14" x14ac:dyDescent="0.3">
      <c r="A24" t="s">
        <v>8</v>
      </c>
      <c r="B24">
        <v>1</v>
      </c>
      <c r="C24" s="15" t="s">
        <v>385</v>
      </c>
      <c r="D24" t="s">
        <v>184</v>
      </c>
      <c r="F24" t="s">
        <v>12</v>
      </c>
      <c r="J24" t="s">
        <v>66</v>
      </c>
      <c r="L24" t="s">
        <v>266</v>
      </c>
      <c r="M24" t="s">
        <v>106</v>
      </c>
      <c r="N24" s="10">
        <v>164812.5</v>
      </c>
    </row>
    <row r="25" spans="1:14" hidden="1" x14ac:dyDescent="0.3">
      <c r="A25" t="s">
        <v>8</v>
      </c>
      <c r="B25">
        <v>1</v>
      </c>
      <c r="C25" s="15" t="s">
        <v>442</v>
      </c>
      <c r="D25" t="s">
        <v>184</v>
      </c>
      <c r="F25" t="s">
        <v>12</v>
      </c>
      <c r="J25" t="s">
        <v>66</v>
      </c>
      <c r="L25" t="s">
        <v>267</v>
      </c>
      <c r="M25" t="s">
        <v>107</v>
      </c>
      <c r="N25" s="10">
        <v>16481.25</v>
      </c>
    </row>
    <row r="26" spans="1:14" x14ac:dyDescent="0.3">
      <c r="A26" t="s">
        <v>8</v>
      </c>
      <c r="B26">
        <v>1</v>
      </c>
      <c r="C26" s="15" t="s">
        <v>386</v>
      </c>
      <c r="D26" t="s">
        <v>184</v>
      </c>
      <c r="F26" t="s">
        <v>63</v>
      </c>
      <c r="J26" t="s">
        <v>67</v>
      </c>
      <c r="L26" t="s">
        <v>266</v>
      </c>
      <c r="M26" t="s">
        <v>106</v>
      </c>
      <c r="N26" s="10">
        <v>452576.25600000005</v>
      </c>
    </row>
    <row r="27" spans="1:14" hidden="1" x14ac:dyDescent="0.3">
      <c r="A27" t="s">
        <v>8</v>
      </c>
      <c r="B27">
        <v>1</v>
      </c>
      <c r="C27" s="15" t="s">
        <v>442</v>
      </c>
      <c r="D27" t="s">
        <v>184</v>
      </c>
      <c r="F27" t="s">
        <v>63</v>
      </c>
      <c r="J27" t="s">
        <v>67</v>
      </c>
      <c r="L27" t="s">
        <v>267</v>
      </c>
      <c r="M27" t="s">
        <v>107</v>
      </c>
      <c r="N27" s="10">
        <v>45257.625600000007</v>
      </c>
    </row>
    <row r="28" spans="1:14" x14ac:dyDescent="0.3">
      <c r="A28" t="s">
        <v>8</v>
      </c>
      <c r="B28">
        <v>1</v>
      </c>
      <c r="C28" s="15" t="s">
        <v>387</v>
      </c>
      <c r="D28" t="s">
        <v>184</v>
      </c>
      <c r="F28" t="s">
        <v>10</v>
      </c>
      <c r="J28" t="s">
        <v>67</v>
      </c>
      <c r="L28" t="s">
        <v>266</v>
      </c>
      <c r="M28" t="s">
        <v>106</v>
      </c>
      <c r="N28" s="10">
        <v>452576.25600000005</v>
      </c>
    </row>
    <row r="29" spans="1:14" hidden="1" x14ac:dyDescent="0.3">
      <c r="A29" t="s">
        <v>8</v>
      </c>
      <c r="B29">
        <v>1</v>
      </c>
      <c r="C29" s="15" t="s">
        <v>442</v>
      </c>
      <c r="D29" t="s">
        <v>184</v>
      </c>
      <c r="F29" t="s">
        <v>10</v>
      </c>
      <c r="J29" t="s">
        <v>67</v>
      </c>
      <c r="L29" t="s">
        <v>267</v>
      </c>
      <c r="M29" t="s">
        <v>107</v>
      </c>
      <c r="N29" s="10">
        <v>45257.625600000007</v>
      </c>
    </row>
    <row r="30" spans="1:14" x14ac:dyDescent="0.3">
      <c r="A30" t="s">
        <v>8</v>
      </c>
      <c r="B30">
        <v>1</v>
      </c>
      <c r="C30" s="15" t="s">
        <v>388</v>
      </c>
      <c r="D30" t="s">
        <v>184</v>
      </c>
      <c r="F30" t="s">
        <v>11</v>
      </c>
      <c r="J30" t="s">
        <v>67</v>
      </c>
      <c r="L30" t="s">
        <v>266</v>
      </c>
      <c r="M30" t="s">
        <v>106</v>
      </c>
      <c r="N30" s="10">
        <v>452576.25600000005</v>
      </c>
    </row>
    <row r="31" spans="1:14" hidden="1" x14ac:dyDescent="0.3">
      <c r="A31" t="s">
        <v>8</v>
      </c>
      <c r="B31">
        <v>1</v>
      </c>
      <c r="C31" s="15" t="s">
        <v>442</v>
      </c>
      <c r="D31" t="s">
        <v>184</v>
      </c>
      <c r="F31" t="s">
        <v>11</v>
      </c>
      <c r="J31" t="s">
        <v>67</v>
      </c>
      <c r="L31" t="s">
        <v>267</v>
      </c>
      <c r="M31" t="s">
        <v>107</v>
      </c>
      <c r="N31" s="10">
        <v>45257.625600000007</v>
      </c>
    </row>
    <row r="32" spans="1:14" x14ac:dyDescent="0.3">
      <c r="A32" t="s">
        <v>8</v>
      </c>
      <c r="B32">
        <v>1</v>
      </c>
      <c r="C32" s="15" t="s">
        <v>389</v>
      </c>
      <c r="D32" t="s">
        <v>184</v>
      </c>
      <c r="F32" t="s">
        <v>12</v>
      </c>
      <c r="J32" t="s">
        <v>67</v>
      </c>
      <c r="L32" t="s">
        <v>266</v>
      </c>
      <c r="M32" t="s">
        <v>106</v>
      </c>
      <c r="N32" s="10">
        <v>452576.25600000005</v>
      </c>
    </row>
    <row r="33" spans="1:14" hidden="1" x14ac:dyDescent="0.3">
      <c r="A33" t="s">
        <v>8</v>
      </c>
      <c r="B33">
        <v>1</v>
      </c>
      <c r="C33" s="15" t="s">
        <v>442</v>
      </c>
      <c r="D33" t="s">
        <v>184</v>
      </c>
      <c r="F33" t="s">
        <v>12</v>
      </c>
      <c r="J33" t="s">
        <v>67</v>
      </c>
      <c r="L33" t="s">
        <v>267</v>
      </c>
      <c r="M33" t="s">
        <v>107</v>
      </c>
      <c r="N33" s="10">
        <v>45257.625600000007</v>
      </c>
    </row>
    <row r="34" spans="1:14" x14ac:dyDescent="0.3">
      <c r="A34" t="s">
        <v>8</v>
      </c>
      <c r="B34">
        <v>1</v>
      </c>
      <c r="C34" s="15" t="s">
        <v>390</v>
      </c>
      <c r="D34" t="s">
        <v>184</v>
      </c>
      <c r="F34" t="s">
        <v>63</v>
      </c>
      <c r="J34" t="s">
        <v>68</v>
      </c>
      <c r="L34" t="s">
        <v>266</v>
      </c>
      <c r="M34" t="s">
        <v>106</v>
      </c>
      <c r="N34" s="10">
        <v>1205370.0000000002</v>
      </c>
    </row>
    <row r="35" spans="1:14" hidden="1" x14ac:dyDescent="0.3">
      <c r="A35" t="s">
        <v>8</v>
      </c>
      <c r="B35">
        <v>1</v>
      </c>
      <c r="C35" s="15" t="s">
        <v>442</v>
      </c>
      <c r="D35" t="s">
        <v>184</v>
      </c>
      <c r="F35" t="s">
        <v>63</v>
      </c>
      <c r="J35" t="s">
        <v>68</v>
      </c>
      <c r="L35" t="s">
        <v>267</v>
      </c>
      <c r="M35" t="s">
        <v>107</v>
      </c>
      <c r="N35" s="10">
        <v>120537.00000000001</v>
      </c>
    </row>
    <row r="36" spans="1:14" x14ac:dyDescent="0.3">
      <c r="A36" t="s">
        <v>8</v>
      </c>
      <c r="B36">
        <v>1</v>
      </c>
      <c r="C36" s="15" t="s">
        <v>391</v>
      </c>
      <c r="D36" t="s">
        <v>184</v>
      </c>
      <c r="F36" t="s">
        <v>10</v>
      </c>
      <c r="J36" t="s">
        <v>68</v>
      </c>
      <c r="L36" t="s">
        <v>266</v>
      </c>
      <c r="M36" t="s">
        <v>106</v>
      </c>
      <c r="N36" s="10">
        <v>1138405.0000000002</v>
      </c>
    </row>
    <row r="37" spans="1:14" hidden="1" x14ac:dyDescent="0.3">
      <c r="A37" t="s">
        <v>8</v>
      </c>
      <c r="B37">
        <v>1</v>
      </c>
      <c r="C37" s="15" t="s">
        <v>442</v>
      </c>
      <c r="D37" t="s">
        <v>184</v>
      </c>
      <c r="F37" t="s">
        <v>10</v>
      </c>
      <c r="J37" t="s">
        <v>68</v>
      </c>
      <c r="L37" t="s">
        <v>267</v>
      </c>
      <c r="M37" t="s">
        <v>107</v>
      </c>
      <c r="N37" s="10">
        <v>113840.50000000001</v>
      </c>
    </row>
    <row r="38" spans="1:14" x14ac:dyDescent="0.3">
      <c r="A38" t="s">
        <v>8</v>
      </c>
      <c r="B38">
        <v>1</v>
      </c>
      <c r="C38" s="15" t="s">
        <v>392</v>
      </c>
      <c r="D38" t="s">
        <v>184</v>
      </c>
      <c r="F38" t="s">
        <v>11</v>
      </c>
      <c r="J38" t="s">
        <v>68</v>
      </c>
      <c r="L38" t="s">
        <v>266</v>
      </c>
      <c r="M38" t="s">
        <v>106</v>
      </c>
      <c r="N38" s="10">
        <v>1004475.0000000001</v>
      </c>
    </row>
    <row r="39" spans="1:14" hidden="1" x14ac:dyDescent="0.3">
      <c r="A39" t="s">
        <v>8</v>
      </c>
      <c r="B39">
        <v>1</v>
      </c>
      <c r="C39" s="15" t="s">
        <v>442</v>
      </c>
      <c r="D39" t="s">
        <v>184</v>
      </c>
      <c r="F39" t="s">
        <v>11</v>
      </c>
      <c r="J39" t="s">
        <v>68</v>
      </c>
      <c r="L39" t="s">
        <v>267</v>
      </c>
      <c r="M39" t="s">
        <v>107</v>
      </c>
      <c r="N39" s="10">
        <v>100447.50000000001</v>
      </c>
    </row>
    <row r="40" spans="1:14" x14ac:dyDescent="0.3">
      <c r="A40" t="s">
        <v>8</v>
      </c>
      <c r="B40">
        <v>1</v>
      </c>
      <c r="C40" s="12" t="s">
        <v>393</v>
      </c>
      <c r="D40" t="s">
        <v>184</v>
      </c>
      <c r="F40" t="s">
        <v>11</v>
      </c>
      <c r="J40" t="s">
        <v>69</v>
      </c>
      <c r="L40" t="s">
        <v>266</v>
      </c>
      <c r="M40" t="s">
        <v>106</v>
      </c>
      <c r="N40" s="10">
        <v>157270.24896000003</v>
      </c>
    </row>
    <row r="41" spans="1:14" hidden="1" x14ac:dyDescent="0.3">
      <c r="A41" t="s">
        <v>8</v>
      </c>
      <c r="B41">
        <v>1</v>
      </c>
      <c r="C41" s="15" t="s">
        <v>442</v>
      </c>
      <c r="D41" t="s">
        <v>184</v>
      </c>
      <c r="F41" t="s">
        <v>11</v>
      </c>
      <c r="J41" t="s">
        <v>69</v>
      </c>
      <c r="L41" t="s">
        <v>267</v>
      </c>
      <c r="M41" t="s">
        <v>107</v>
      </c>
      <c r="N41" s="10">
        <v>15727.024896000003</v>
      </c>
    </row>
    <row r="42" spans="1:14" x14ac:dyDescent="0.3">
      <c r="A42" t="s">
        <v>8</v>
      </c>
      <c r="B42">
        <v>1</v>
      </c>
      <c r="C42" s="12" t="s">
        <v>394</v>
      </c>
      <c r="D42" t="s">
        <v>184</v>
      </c>
      <c r="F42" t="s">
        <v>12</v>
      </c>
      <c r="J42" t="s">
        <v>69</v>
      </c>
      <c r="L42" t="s">
        <v>266</v>
      </c>
      <c r="M42" t="s">
        <v>106</v>
      </c>
      <c r="N42" s="10">
        <v>157270.24896000003</v>
      </c>
    </row>
    <row r="43" spans="1:14" hidden="1" x14ac:dyDescent="0.3">
      <c r="A43" t="s">
        <v>8</v>
      </c>
      <c r="B43">
        <v>1</v>
      </c>
      <c r="C43" s="15" t="s">
        <v>442</v>
      </c>
      <c r="D43" t="s">
        <v>184</v>
      </c>
      <c r="F43" t="s">
        <v>12</v>
      </c>
      <c r="J43" t="s">
        <v>69</v>
      </c>
      <c r="L43" t="s">
        <v>267</v>
      </c>
      <c r="M43" t="s">
        <v>107</v>
      </c>
      <c r="N43" s="10">
        <v>15727.024896000003</v>
      </c>
    </row>
    <row r="44" spans="1:14" hidden="1" x14ac:dyDescent="0.3">
      <c r="A44" t="s">
        <v>42</v>
      </c>
      <c r="B44">
        <v>2</v>
      </c>
      <c r="C44" s="15" t="s">
        <v>397</v>
      </c>
      <c r="D44" t="s">
        <v>194</v>
      </c>
      <c r="F44" t="s">
        <v>10</v>
      </c>
      <c r="H44" t="s">
        <v>55</v>
      </c>
      <c r="K44" t="s">
        <v>49</v>
      </c>
      <c r="L44" t="s">
        <v>266</v>
      </c>
      <c r="M44" t="s">
        <v>100</v>
      </c>
      <c r="N44" s="33">
        <v>607103.63185000001</v>
      </c>
    </row>
    <row r="45" spans="1:14" hidden="1" x14ac:dyDescent="0.3">
      <c r="A45" t="s">
        <v>42</v>
      </c>
      <c r="B45">
        <v>2</v>
      </c>
      <c r="C45" s="15" t="s">
        <v>434</v>
      </c>
      <c r="D45" t="s">
        <v>194</v>
      </c>
      <c r="F45" t="s">
        <v>10</v>
      </c>
      <c r="H45" t="s">
        <v>55</v>
      </c>
      <c r="K45" t="s">
        <v>49</v>
      </c>
      <c r="L45" t="s">
        <v>268</v>
      </c>
      <c r="M45" t="s">
        <v>104</v>
      </c>
      <c r="N45" s="34">
        <v>0.83608063253710541</v>
      </c>
    </row>
    <row r="46" spans="1:14" hidden="1" x14ac:dyDescent="0.3">
      <c r="A46" t="s">
        <v>42</v>
      </c>
      <c r="B46">
        <v>2</v>
      </c>
      <c r="C46" s="15" t="s">
        <v>434</v>
      </c>
      <c r="D46" t="s">
        <v>194</v>
      </c>
      <c r="F46" t="s">
        <v>10</v>
      </c>
      <c r="H46" t="s">
        <v>55</v>
      </c>
      <c r="K46" t="s">
        <v>49</v>
      </c>
      <c r="L46" t="s">
        <v>269</v>
      </c>
      <c r="M46" t="s">
        <v>105</v>
      </c>
      <c r="N46" s="35">
        <v>5.0561206270464858</v>
      </c>
    </row>
    <row r="47" spans="1:14" hidden="1" x14ac:dyDescent="0.3">
      <c r="A47" t="s">
        <v>42</v>
      </c>
      <c r="B47">
        <v>2</v>
      </c>
      <c r="C47" s="15" t="s">
        <v>398</v>
      </c>
      <c r="D47" t="s">
        <v>194</v>
      </c>
      <c r="F47" t="s">
        <v>12</v>
      </c>
      <c r="H47" t="s">
        <v>55</v>
      </c>
      <c r="K47" t="s">
        <v>49</v>
      </c>
      <c r="L47" t="s">
        <v>266</v>
      </c>
      <c r="M47" t="s">
        <v>100</v>
      </c>
      <c r="N47" s="33">
        <v>607103.63185000001</v>
      </c>
    </row>
    <row r="48" spans="1:14" hidden="1" x14ac:dyDescent="0.3">
      <c r="A48" t="s">
        <v>42</v>
      </c>
      <c r="B48">
        <v>2</v>
      </c>
      <c r="C48" s="15" t="s">
        <v>435</v>
      </c>
      <c r="D48" t="s">
        <v>194</v>
      </c>
      <c r="F48" t="s">
        <v>12</v>
      </c>
      <c r="H48" t="s">
        <v>55</v>
      </c>
      <c r="K48" t="s">
        <v>49</v>
      </c>
      <c r="L48" t="s">
        <v>268</v>
      </c>
      <c r="M48" t="s">
        <v>104</v>
      </c>
      <c r="N48" s="34">
        <v>0.81788613172541724</v>
      </c>
    </row>
    <row r="49" spans="1:14" hidden="1" x14ac:dyDescent="0.3">
      <c r="A49" t="s">
        <v>42</v>
      </c>
      <c r="B49">
        <v>2</v>
      </c>
      <c r="C49" s="15" t="s">
        <v>435</v>
      </c>
      <c r="D49" t="s">
        <v>194</v>
      </c>
      <c r="F49" t="s">
        <v>12</v>
      </c>
      <c r="H49" t="s">
        <v>55</v>
      </c>
      <c r="K49" t="s">
        <v>49</v>
      </c>
      <c r="L49" t="s">
        <v>269</v>
      </c>
      <c r="M49" t="s">
        <v>105</v>
      </c>
      <c r="N49" s="36">
        <v>9.3421976795910062</v>
      </c>
    </row>
    <row r="50" spans="1:14" hidden="1" x14ac:dyDescent="0.3">
      <c r="A50" t="s">
        <v>42</v>
      </c>
      <c r="B50">
        <v>2</v>
      </c>
      <c r="C50" s="15" t="s">
        <v>395</v>
      </c>
      <c r="D50" t="s">
        <v>194</v>
      </c>
      <c r="F50" t="s">
        <v>10</v>
      </c>
      <c r="H50" t="s">
        <v>58</v>
      </c>
      <c r="K50" t="s">
        <v>49</v>
      </c>
      <c r="L50" t="s">
        <v>266</v>
      </c>
      <c r="M50" t="s">
        <v>100</v>
      </c>
      <c r="N50" s="33">
        <v>666189.83456250001</v>
      </c>
    </row>
    <row r="51" spans="1:14" hidden="1" x14ac:dyDescent="0.3">
      <c r="A51" t="s">
        <v>42</v>
      </c>
      <c r="B51">
        <v>2</v>
      </c>
      <c r="C51" s="15" t="s">
        <v>442</v>
      </c>
      <c r="D51" t="s">
        <v>194</v>
      </c>
      <c r="F51" t="s">
        <v>10</v>
      </c>
      <c r="H51" t="s">
        <v>58</v>
      </c>
      <c r="K51" t="s">
        <v>49</v>
      </c>
      <c r="L51" t="s">
        <v>268</v>
      </c>
      <c r="M51" t="s">
        <v>104</v>
      </c>
      <c r="N51" s="33">
        <v>0.68465232683982669</v>
      </c>
    </row>
    <row r="52" spans="1:14" hidden="1" x14ac:dyDescent="0.3">
      <c r="A52" t="s">
        <v>42</v>
      </c>
      <c r="B52">
        <v>2</v>
      </c>
      <c r="C52" s="15" t="s">
        <v>442</v>
      </c>
      <c r="D52" t="s">
        <v>194</v>
      </c>
      <c r="F52" t="s">
        <v>10</v>
      </c>
      <c r="H52" t="s">
        <v>58</v>
      </c>
      <c r="K52" t="s">
        <v>49</v>
      </c>
      <c r="L52" t="s">
        <v>269</v>
      </c>
      <c r="M52" t="s">
        <v>105</v>
      </c>
      <c r="N52" s="37">
        <v>9.3421976795910062</v>
      </c>
    </row>
    <row r="53" spans="1:14" hidden="1" x14ac:dyDescent="0.3">
      <c r="A53" t="s">
        <v>42</v>
      </c>
      <c r="B53">
        <v>2</v>
      </c>
      <c r="C53" s="15" t="s">
        <v>396</v>
      </c>
      <c r="D53" t="s">
        <v>194</v>
      </c>
      <c r="F53" t="s">
        <v>12</v>
      </c>
      <c r="H53" t="s">
        <v>58</v>
      </c>
      <c r="K53" t="s">
        <v>49</v>
      </c>
      <c r="L53" t="s">
        <v>266</v>
      </c>
      <c r="M53" t="s">
        <v>100</v>
      </c>
      <c r="N53" s="33">
        <v>666189.83456250001</v>
      </c>
    </row>
    <row r="54" spans="1:14" hidden="1" x14ac:dyDescent="0.3">
      <c r="A54" t="s">
        <v>42</v>
      </c>
      <c r="B54">
        <v>2</v>
      </c>
      <c r="C54" s="12" t="s">
        <v>442</v>
      </c>
      <c r="D54" t="s">
        <v>194</v>
      </c>
      <c r="F54" t="s">
        <v>12</v>
      </c>
      <c r="H54" t="s">
        <v>58</v>
      </c>
      <c r="K54" t="s">
        <v>49</v>
      </c>
      <c r="L54" t="s">
        <v>268</v>
      </c>
      <c r="M54" t="s">
        <v>104</v>
      </c>
      <c r="N54" s="33">
        <v>0.68465232683982669</v>
      </c>
    </row>
    <row r="55" spans="1:14" hidden="1" x14ac:dyDescent="0.3">
      <c r="A55" t="s">
        <v>42</v>
      </c>
      <c r="B55">
        <v>2</v>
      </c>
      <c r="C55" s="15" t="s">
        <v>442</v>
      </c>
      <c r="D55" t="s">
        <v>194</v>
      </c>
      <c r="F55" t="s">
        <v>12</v>
      </c>
      <c r="H55" t="s">
        <v>58</v>
      </c>
      <c r="K55" t="s">
        <v>49</v>
      </c>
      <c r="L55" t="s">
        <v>269</v>
      </c>
      <c r="M55" t="s">
        <v>105</v>
      </c>
      <c r="N55" s="37">
        <v>9.3421976795910062</v>
      </c>
    </row>
    <row r="56" spans="1:14" hidden="1" x14ac:dyDescent="0.3">
      <c r="A56" t="s">
        <v>42</v>
      </c>
      <c r="B56">
        <v>2</v>
      </c>
      <c r="C56" s="15" t="s">
        <v>399</v>
      </c>
      <c r="D56" t="s">
        <v>194</v>
      </c>
      <c r="F56" t="s">
        <v>10</v>
      </c>
      <c r="H56" t="s">
        <v>59</v>
      </c>
      <c r="K56" t="s">
        <v>49</v>
      </c>
      <c r="L56" t="s">
        <v>266</v>
      </c>
      <c r="M56" t="s">
        <v>100</v>
      </c>
      <c r="N56" s="33">
        <v>1061006.5061785714</v>
      </c>
    </row>
    <row r="57" spans="1:14" hidden="1" x14ac:dyDescent="0.3">
      <c r="A57" t="s">
        <v>42</v>
      </c>
      <c r="B57">
        <v>2</v>
      </c>
      <c r="C57" s="15" t="s">
        <v>442</v>
      </c>
      <c r="D57" t="s">
        <v>194</v>
      </c>
      <c r="F57" t="s">
        <v>10</v>
      </c>
      <c r="H57" t="s">
        <v>59</v>
      </c>
      <c r="K57" t="s">
        <v>49</v>
      </c>
      <c r="L57" t="s">
        <v>268</v>
      </c>
      <c r="M57" t="s">
        <v>104</v>
      </c>
      <c r="N57" s="37">
        <v>0.34264490850821877</v>
      </c>
    </row>
    <row r="58" spans="1:14" hidden="1" x14ac:dyDescent="0.3">
      <c r="A58" t="s">
        <v>42</v>
      </c>
      <c r="B58">
        <v>2</v>
      </c>
      <c r="C58" s="15" t="s">
        <v>442</v>
      </c>
      <c r="D58" t="s">
        <v>194</v>
      </c>
      <c r="F58" t="s">
        <v>10</v>
      </c>
      <c r="H58" t="s">
        <v>59</v>
      </c>
      <c r="K58" t="s">
        <v>49</v>
      </c>
      <c r="L58" t="s">
        <v>269</v>
      </c>
      <c r="M58" t="s">
        <v>105</v>
      </c>
      <c r="N58" s="37">
        <v>7.1000702364891639</v>
      </c>
    </row>
    <row r="59" spans="1:14" hidden="1" x14ac:dyDescent="0.3">
      <c r="A59" t="s">
        <v>42</v>
      </c>
      <c r="B59">
        <v>2</v>
      </c>
      <c r="C59" s="15" t="s">
        <v>400</v>
      </c>
      <c r="D59" t="s">
        <v>194</v>
      </c>
      <c r="F59" t="s">
        <v>12</v>
      </c>
      <c r="H59" t="s">
        <v>59</v>
      </c>
      <c r="K59" t="s">
        <v>49</v>
      </c>
      <c r="L59" t="s">
        <v>266</v>
      </c>
      <c r="M59" t="s">
        <v>100</v>
      </c>
      <c r="N59" s="33">
        <v>1061006.5061785714</v>
      </c>
    </row>
    <row r="60" spans="1:14" hidden="1" x14ac:dyDescent="0.3">
      <c r="A60" t="s">
        <v>42</v>
      </c>
      <c r="B60">
        <v>2</v>
      </c>
      <c r="C60" s="15" t="s">
        <v>442</v>
      </c>
      <c r="D60" t="s">
        <v>194</v>
      </c>
      <c r="F60" t="s">
        <v>12</v>
      </c>
      <c r="H60" t="s">
        <v>59</v>
      </c>
      <c r="K60" t="s">
        <v>49</v>
      </c>
      <c r="L60" t="s">
        <v>268</v>
      </c>
      <c r="M60" t="s">
        <v>104</v>
      </c>
      <c r="N60" s="37">
        <v>0.34264490850821877</v>
      </c>
    </row>
    <row r="61" spans="1:14" hidden="1" x14ac:dyDescent="0.3">
      <c r="A61" t="s">
        <v>42</v>
      </c>
      <c r="B61">
        <v>2</v>
      </c>
      <c r="C61" s="15" t="s">
        <v>442</v>
      </c>
      <c r="D61" t="s">
        <v>194</v>
      </c>
      <c r="F61" t="s">
        <v>12</v>
      </c>
      <c r="H61" t="s">
        <v>59</v>
      </c>
      <c r="K61" t="s">
        <v>49</v>
      </c>
      <c r="L61" t="s">
        <v>269</v>
      </c>
      <c r="M61" t="s">
        <v>105</v>
      </c>
      <c r="N61" s="37">
        <v>7.1000702364891639</v>
      </c>
    </row>
    <row r="62" spans="1:14" hidden="1" x14ac:dyDescent="0.3">
      <c r="A62" s="17" t="s">
        <v>42</v>
      </c>
      <c r="B62" s="17">
        <v>0</v>
      </c>
      <c r="C62" s="30" t="s">
        <v>442</v>
      </c>
      <c r="D62" s="17" t="s">
        <v>193</v>
      </c>
      <c r="E62" s="17"/>
      <c r="F62" s="17"/>
      <c r="G62" s="17"/>
      <c r="H62" s="17" t="s">
        <v>55</v>
      </c>
      <c r="I62" s="17"/>
      <c r="J62" s="17"/>
      <c r="K62" s="17" t="s">
        <v>53</v>
      </c>
      <c r="L62" s="17" t="s">
        <v>266</v>
      </c>
      <c r="M62" s="17" t="s">
        <v>100</v>
      </c>
      <c r="N62" s="37">
        <v>507824.03333333333</v>
      </c>
    </row>
    <row r="63" spans="1:14" hidden="1" x14ac:dyDescent="0.3">
      <c r="A63" s="17" t="s">
        <v>42</v>
      </c>
      <c r="B63" s="17">
        <v>0</v>
      </c>
      <c r="C63" s="30" t="s">
        <v>442</v>
      </c>
      <c r="D63" s="17" t="s">
        <v>193</v>
      </c>
      <c r="E63" s="17"/>
      <c r="F63" s="17"/>
      <c r="G63" s="17"/>
      <c r="H63" s="17" t="s">
        <v>55</v>
      </c>
      <c r="I63" s="17"/>
      <c r="J63" s="17"/>
      <c r="K63" s="17" t="s">
        <v>53</v>
      </c>
      <c r="L63" s="17" t="s">
        <v>268</v>
      </c>
      <c r="M63" s="17" t="s">
        <v>104</v>
      </c>
      <c r="N63" s="37">
        <v>0.70316123608534298</v>
      </c>
    </row>
    <row r="64" spans="1:14" hidden="1" x14ac:dyDescent="0.3">
      <c r="A64" s="17" t="s">
        <v>42</v>
      </c>
      <c r="B64" s="17">
        <v>0</v>
      </c>
      <c r="C64" s="30" t="s">
        <v>442</v>
      </c>
      <c r="D64" s="17" t="s">
        <v>193</v>
      </c>
      <c r="E64" s="17"/>
      <c r="F64" s="17"/>
      <c r="G64" s="17"/>
      <c r="H64" s="17" t="s">
        <v>55</v>
      </c>
      <c r="I64" s="17"/>
      <c r="J64" s="17"/>
      <c r="K64" s="17" t="s">
        <v>53</v>
      </c>
      <c r="L64" s="17" t="s">
        <v>269</v>
      </c>
      <c r="M64" s="17" t="s">
        <v>105</v>
      </c>
      <c r="N64" s="37">
        <v>7.814468991711423</v>
      </c>
    </row>
    <row r="65" spans="1:14" hidden="1" x14ac:dyDescent="0.3">
      <c r="A65" t="s">
        <v>42</v>
      </c>
      <c r="B65">
        <v>3</v>
      </c>
      <c r="C65" s="15" t="s">
        <v>405</v>
      </c>
      <c r="D65" t="s">
        <v>193</v>
      </c>
      <c r="F65" t="s">
        <v>10</v>
      </c>
      <c r="H65" t="s">
        <v>60</v>
      </c>
      <c r="K65" t="s">
        <v>52</v>
      </c>
      <c r="L65" t="s">
        <v>266</v>
      </c>
      <c r="M65" t="s">
        <v>100</v>
      </c>
      <c r="N65" s="33">
        <v>86834.14161627907</v>
      </c>
    </row>
    <row r="66" spans="1:14" hidden="1" x14ac:dyDescent="0.3">
      <c r="A66" t="s">
        <v>42</v>
      </c>
      <c r="B66">
        <v>3</v>
      </c>
      <c r="C66" s="15" t="s">
        <v>436</v>
      </c>
      <c r="D66" t="s">
        <v>193</v>
      </c>
      <c r="F66" t="s">
        <v>10</v>
      </c>
      <c r="H66" t="s">
        <v>60</v>
      </c>
      <c r="K66" t="s">
        <v>52</v>
      </c>
      <c r="L66" t="s">
        <v>268</v>
      </c>
      <c r="M66" t="s">
        <v>104</v>
      </c>
      <c r="N66" s="33">
        <v>0.48187154373334351</v>
      </c>
    </row>
    <row r="67" spans="1:14" hidden="1" x14ac:dyDescent="0.3">
      <c r="A67" t="s">
        <v>42</v>
      </c>
      <c r="B67">
        <v>3</v>
      </c>
      <c r="C67" s="15" t="s">
        <v>436</v>
      </c>
      <c r="D67" t="s">
        <v>193</v>
      </c>
      <c r="F67" t="s">
        <v>10</v>
      </c>
      <c r="H67" t="s">
        <v>60</v>
      </c>
      <c r="K67" t="s">
        <v>52</v>
      </c>
      <c r="L67" t="s">
        <v>269</v>
      </c>
      <c r="M67" t="s">
        <v>105</v>
      </c>
      <c r="N67" s="33">
        <v>4.3202796422877237</v>
      </c>
    </row>
    <row r="68" spans="1:14" hidden="1" x14ac:dyDescent="0.3">
      <c r="A68" t="s">
        <v>42</v>
      </c>
      <c r="B68">
        <v>3</v>
      </c>
      <c r="C68" s="15" t="s">
        <v>406</v>
      </c>
      <c r="D68" t="s">
        <v>193</v>
      </c>
      <c r="F68" t="s">
        <v>12</v>
      </c>
      <c r="H68" t="s">
        <v>60</v>
      </c>
      <c r="K68" t="s">
        <v>52</v>
      </c>
      <c r="L68" t="s">
        <v>266</v>
      </c>
      <c r="M68" t="s">
        <v>100</v>
      </c>
      <c r="N68" s="33">
        <v>86834.14161627907</v>
      </c>
    </row>
    <row r="69" spans="1:14" hidden="1" x14ac:dyDescent="0.3">
      <c r="A69" t="s">
        <v>42</v>
      </c>
      <c r="B69">
        <v>3</v>
      </c>
      <c r="C69" s="15" t="s">
        <v>437</v>
      </c>
      <c r="D69" t="s">
        <v>193</v>
      </c>
      <c r="F69" t="s">
        <v>12</v>
      </c>
      <c r="H69" t="s">
        <v>60</v>
      </c>
      <c r="K69" t="s">
        <v>52</v>
      </c>
      <c r="L69" t="s">
        <v>268</v>
      </c>
      <c r="M69" t="s">
        <v>104</v>
      </c>
      <c r="N69" s="33">
        <v>0.48187154373334351</v>
      </c>
    </row>
    <row r="70" spans="1:14" hidden="1" x14ac:dyDescent="0.3">
      <c r="A70" t="s">
        <v>42</v>
      </c>
      <c r="B70">
        <v>3</v>
      </c>
      <c r="C70" s="15" t="s">
        <v>437</v>
      </c>
      <c r="D70" t="s">
        <v>193</v>
      </c>
      <c r="F70" t="s">
        <v>12</v>
      </c>
      <c r="H70" t="s">
        <v>60</v>
      </c>
      <c r="K70" t="s">
        <v>52</v>
      </c>
      <c r="L70" t="s">
        <v>269</v>
      </c>
      <c r="M70" t="s">
        <v>105</v>
      </c>
      <c r="N70" s="33">
        <v>4.3202796422877237</v>
      </c>
    </row>
    <row r="71" spans="1:14" hidden="1" x14ac:dyDescent="0.3">
      <c r="A71" t="s">
        <v>42</v>
      </c>
      <c r="B71">
        <v>3</v>
      </c>
      <c r="C71" s="15" t="s">
        <v>401</v>
      </c>
      <c r="D71" t="s">
        <v>193</v>
      </c>
      <c r="F71" t="s">
        <v>10</v>
      </c>
      <c r="H71" t="s">
        <v>58</v>
      </c>
      <c r="K71" t="s">
        <v>52</v>
      </c>
      <c r="L71" t="s">
        <v>266</v>
      </c>
      <c r="M71" t="s">
        <v>100</v>
      </c>
      <c r="N71" s="33">
        <v>152978.43437142856</v>
      </c>
    </row>
    <row r="72" spans="1:14" hidden="1" x14ac:dyDescent="0.3">
      <c r="A72" t="s">
        <v>42</v>
      </c>
      <c r="B72">
        <v>3</v>
      </c>
      <c r="C72" s="15" t="s">
        <v>442</v>
      </c>
      <c r="D72" t="s">
        <v>193</v>
      </c>
      <c r="F72" t="s">
        <v>10</v>
      </c>
      <c r="H72" t="s">
        <v>58</v>
      </c>
      <c r="K72" t="s">
        <v>52</v>
      </c>
      <c r="L72" t="s">
        <v>268</v>
      </c>
      <c r="M72" t="s">
        <v>104</v>
      </c>
      <c r="N72" s="33">
        <v>0.43036347436100297</v>
      </c>
    </row>
    <row r="73" spans="1:14" hidden="1" x14ac:dyDescent="0.3">
      <c r="A73" t="s">
        <v>42</v>
      </c>
      <c r="B73">
        <v>3</v>
      </c>
      <c r="C73" s="15" t="s">
        <v>442</v>
      </c>
      <c r="D73" t="s">
        <v>193</v>
      </c>
      <c r="F73" t="s">
        <v>10</v>
      </c>
      <c r="H73" t="s">
        <v>58</v>
      </c>
      <c r="K73" t="s">
        <v>52</v>
      </c>
      <c r="L73" t="s">
        <v>269</v>
      </c>
      <c r="M73" t="s">
        <v>105</v>
      </c>
      <c r="N73" s="33">
        <v>4.3202796422877237</v>
      </c>
    </row>
    <row r="74" spans="1:14" hidden="1" x14ac:dyDescent="0.3">
      <c r="A74" t="s">
        <v>42</v>
      </c>
      <c r="B74">
        <v>3</v>
      </c>
      <c r="C74" s="15" t="s">
        <v>402</v>
      </c>
      <c r="D74" t="s">
        <v>193</v>
      </c>
      <c r="F74" t="s">
        <v>12</v>
      </c>
      <c r="H74" t="s">
        <v>58</v>
      </c>
      <c r="K74" t="s">
        <v>52</v>
      </c>
      <c r="L74" t="s">
        <v>266</v>
      </c>
      <c r="M74" t="s">
        <v>100</v>
      </c>
      <c r="N74" s="33">
        <v>152978.43437142856</v>
      </c>
    </row>
    <row r="75" spans="1:14" hidden="1" x14ac:dyDescent="0.3">
      <c r="A75" t="s">
        <v>42</v>
      </c>
      <c r="B75">
        <v>3</v>
      </c>
      <c r="C75" s="15" t="s">
        <v>442</v>
      </c>
      <c r="D75" t="s">
        <v>193</v>
      </c>
      <c r="F75" t="s">
        <v>12</v>
      </c>
      <c r="H75" t="s">
        <v>58</v>
      </c>
      <c r="K75" t="s">
        <v>52</v>
      </c>
      <c r="L75" t="s">
        <v>268</v>
      </c>
      <c r="M75" t="s">
        <v>104</v>
      </c>
      <c r="N75" s="33">
        <v>0.43036347436100297</v>
      </c>
    </row>
    <row r="76" spans="1:14" hidden="1" x14ac:dyDescent="0.3">
      <c r="A76" t="s">
        <v>42</v>
      </c>
      <c r="B76">
        <v>3</v>
      </c>
      <c r="C76" s="15" t="s">
        <v>442</v>
      </c>
      <c r="D76" t="s">
        <v>193</v>
      </c>
      <c r="F76" t="s">
        <v>12</v>
      </c>
      <c r="H76" t="s">
        <v>58</v>
      </c>
      <c r="K76" t="s">
        <v>52</v>
      </c>
      <c r="L76" t="s">
        <v>269</v>
      </c>
      <c r="M76" t="s">
        <v>105</v>
      </c>
      <c r="N76" s="33">
        <v>4.3202796422877237</v>
      </c>
    </row>
    <row r="77" spans="1:14" hidden="1" x14ac:dyDescent="0.3">
      <c r="A77" t="s">
        <v>42</v>
      </c>
      <c r="B77">
        <v>3</v>
      </c>
      <c r="C77" s="15" t="s">
        <v>403</v>
      </c>
      <c r="D77" t="s">
        <v>193</v>
      </c>
      <c r="F77" t="s">
        <v>10</v>
      </c>
      <c r="H77" t="s">
        <v>59</v>
      </c>
      <c r="K77" t="s">
        <v>52</v>
      </c>
      <c r="L77" t="s">
        <v>266</v>
      </c>
      <c r="M77" t="s">
        <v>100</v>
      </c>
      <c r="N77" s="33">
        <v>151755.95133989735</v>
      </c>
    </row>
    <row r="78" spans="1:14" hidden="1" x14ac:dyDescent="0.3">
      <c r="A78" t="s">
        <v>42</v>
      </c>
      <c r="B78">
        <v>3</v>
      </c>
      <c r="C78" s="15" t="s">
        <v>442</v>
      </c>
      <c r="D78" t="s">
        <v>193</v>
      </c>
      <c r="F78" t="s">
        <v>10</v>
      </c>
      <c r="H78" t="s">
        <v>59</v>
      </c>
      <c r="K78" t="s">
        <v>52</v>
      </c>
      <c r="L78" t="s">
        <v>268</v>
      </c>
      <c r="M78" t="s">
        <v>104</v>
      </c>
      <c r="N78" s="33">
        <v>0.19416544815465731</v>
      </c>
    </row>
    <row r="79" spans="1:14" hidden="1" x14ac:dyDescent="0.3">
      <c r="A79" t="s">
        <v>42</v>
      </c>
      <c r="B79">
        <v>3</v>
      </c>
      <c r="C79" s="15" t="s">
        <v>442</v>
      </c>
      <c r="D79" t="s">
        <v>193</v>
      </c>
      <c r="F79" t="s">
        <v>10</v>
      </c>
      <c r="H79" t="s">
        <v>59</v>
      </c>
      <c r="K79" t="s">
        <v>52</v>
      </c>
      <c r="L79" t="s">
        <v>269</v>
      </c>
      <c r="M79" t="s">
        <v>105</v>
      </c>
      <c r="N79" s="33">
        <v>3.2834125281386699</v>
      </c>
    </row>
    <row r="80" spans="1:14" hidden="1" x14ac:dyDescent="0.3">
      <c r="A80" t="s">
        <v>42</v>
      </c>
      <c r="B80">
        <v>3</v>
      </c>
      <c r="C80" s="15" t="s">
        <v>404</v>
      </c>
      <c r="D80" t="s">
        <v>193</v>
      </c>
      <c r="F80" t="s">
        <v>12</v>
      </c>
      <c r="H80" t="s">
        <v>59</v>
      </c>
      <c r="K80" t="s">
        <v>52</v>
      </c>
      <c r="L80" t="s">
        <v>266</v>
      </c>
      <c r="M80" t="s">
        <v>100</v>
      </c>
      <c r="N80" s="33">
        <v>151755.95133989735</v>
      </c>
    </row>
    <row r="81" spans="1:14" hidden="1" x14ac:dyDescent="0.3">
      <c r="A81" t="s">
        <v>42</v>
      </c>
      <c r="B81">
        <v>3</v>
      </c>
      <c r="C81" s="15" t="s">
        <v>442</v>
      </c>
      <c r="D81" t="s">
        <v>193</v>
      </c>
      <c r="F81" t="s">
        <v>12</v>
      </c>
      <c r="H81" t="s">
        <v>59</v>
      </c>
      <c r="K81" t="s">
        <v>52</v>
      </c>
      <c r="L81" t="s">
        <v>268</v>
      </c>
      <c r="M81" t="s">
        <v>104</v>
      </c>
      <c r="N81" s="33">
        <v>0.19416544815465731</v>
      </c>
    </row>
    <row r="82" spans="1:14" hidden="1" x14ac:dyDescent="0.3">
      <c r="A82" t="s">
        <v>42</v>
      </c>
      <c r="B82">
        <v>3</v>
      </c>
      <c r="C82" s="15" t="s">
        <v>442</v>
      </c>
      <c r="D82" t="s">
        <v>193</v>
      </c>
      <c r="F82" t="s">
        <v>12</v>
      </c>
      <c r="H82" t="s">
        <v>59</v>
      </c>
      <c r="K82" t="s">
        <v>52</v>
      </c>
      <c r="L82" t="s">
        <v>269</v>
      </c>
      <c r="M82" t="s">
        <v>105</v>
      </c>
      <c r="N82" s="33">
        <v>3.2834125281386699</v>
      </c>
    </row>
    <row r="83" spans="1:14" hidden="1" x14ac:dyDescent="0.3">
      <c r="A83" t="s">
        <v>125</v>
      </c>
      <c r="B83">
        <v>5</v>
      </c>
      <c r="C83" s="15" t="s">
        <v>407</v>
      </c>
      <c r="D83" t="s">
        <v>128</v>
      </c>
      <c r="L83" t="s">
        <v>266</v>
      </c>
      <c r="M83" t="s">
        <v>73</v>
      </c>
      <c r="N83" s="33">
        <v>383244.39999999997</v>
      </c>
    </row>
    <row r="84" spans="1:14" hidden="1" x14ac:dyDescent="0.3">
      <c r="A84" t="s">
        <v>42</v>
      </c>
      <c r="B84">
        <v>6</v>
      </c>
      <c r="C84" s="15" t="s">
        <v>408</v>
      </c>
      <c r="D84" t="s">
        <v>83</v>
      </c>
      <c r="H84" t="s">
        <v>59</v>
      </c>
      <c r="K84" t="s">
        <v>84</v>
      </c>
      <c r="L84" t="s">
        <v>266</v>
      </c>
      <c r="M84" t="s">
        <v>100</v>
      </c>
      <c r="N84" s="33">
        <v>2695660</v>
      </c>
    </row>
    <row r="85" spans="1:14" hidden="1" x14ac:dyDescent="0.3">
      <c r="A85" t="s">
        <v>42</v>
      </c>
      <c r="B85">
        <v>6</v>
      </c>
      <c r="C85" s="15" t="s">
        <v>438</v>
      </c>
      <c r="D85" t="s">
        <v>83</v>
      </c>
      <c r="H85" t="s">
        <v>59</v>
      </c>
      <c r="K85" t="s">
        <v>84</v>
      </c>
      <c r="L85" t="s">
        <v>268</v>
      </c>
      <c r="M85" t="s">
        <v>104</v>
      </c>
      <c r="N85" s="33">
        <v>2.1788947178607961E-2</v>
      </c>
    </row>
    <row r="86" spans="1:14" hidden="1" x14ac:dyDescent="0.3">
      <c r="A86" t="s">
        <v>42</v>
      </c>
      <c r="B86">
        <v>6</v>
      </c>
      <c r="C86" s="15" t="s">
        <v>438</v>
      </c>
      <c r="D86" t="s">
        <v>83</v>
      </c>
      <c r="H86" t="s">
        <v>59</v>
      </c>
      <c r="K86" t="s">
        <v>84</v>
      </c>
      <c r="L86" t="s">
        <v>269</v>
      </c>
      <c r="M86" t="s">
        <v>105</v>
      </c>
      <c r="N86" s="33">
        <v>11.085804941232109</v>
      </c>
    </row>
    <row r="87" spans="1:14" hidden="1" x14ac:dyDescent="0.3">
      <c r="A87" t="s">
        <v>42</v>
      </c>
      <c r="B87">
        <v>6</v>
      </c>
      <c r="C87" s="15" t="s">
        <v>409</v>
      </c>
      <c r="D87" t="s">
        <v>83</v>
      </c>
      <c r="H87" t="s">
        <v>59</v>
      </c>
      <c r="K87" t="s">
        <v>85</v>
      </c>
      <c r="L87" t="s">
        <v>266</v>
      </c>
      <c r="M87" t="s">
        <v>100</v>
      </c>
      <c r="N87" s="33">
        <v>2695660</v>
      </c>
    </row>
    <row r="88" spans="1:14" hidden="1" x14ac:dyDescent="0.3">
      <c r="A88" t="s">
        <v>42</v>
      </c>
      <c r="B88">
        <v>6</v>
      </c>
      <c r="C88" s="15" t="s">
        <v>439</v>
      </c>
      <c r="D88" t="s">
        <v>83</v>
      </c>
      <c r="H88" t="s">
        <v>59</v>
      </c>
      <c r="K88" t="s">
        <v>85</v>
      </c>
      <c r="L88" t="s">
        <v>268</v>
      </c>
      <c r="M88" t="s">
        <v>104</v>
      </c>
      <c r="N88" s="33">
        <v>3.9909318582945483E-2</v>
      </c>
    </row>
    <row r="89" spans="1:14" hidden="1" x14ac:dyDescent="0.3">
      <c r="A89" t="s">
        <v>42</v>
      </c>
      <c r="B89">
        <v>6</v>
      </c>
      <c r="C89" s="15" t="s">
        <v>439</v>
      </c>
      <c r="D89" t="s">
        <v>83</v>
      </c>
      <c r="H89" t="s">
        <v>59</v>
      </c>
      <c r="K89" t="s">
        <v>85</v>
      </c>
      <c r="L89" t="s">
        <v>269</v>
      </c>
      <c r="M89" t="s">
        <v>105</v>
      </c>
      <c r="N89" s="33">
        <v>10.207641128661276</v>
      </c>
    </row>
    <row r="90" spans="1:14" hidden="1" x14ac:dyDescent="0.3">
      <c r="A90" t="s">
        <v>42</v>
      </c>
      <c r="B90">
        <v>6</v>
      </c>
      <c r="C90" s="15" t="s">
        <v>410</v>
      </c>
      <c r="D90" t="s">
        <v>83</v>
      </c>
      <c r="H90" t="s">
        <v>55</v>
      </c>
      <c r="K90" t="s">
        <v>86</v>
      </c>
      <c r="L90" t="s">
        <v>266</v>
      </c>
      <c r="M90" t="s">
        <v>100</v>
      </c>
      <c r="N90" s="33">
        <v>2695660</v>
      </c>
    </row>
    <row r="91" spans="1:14" hidden="1" x14ac:dyDescent="0.3">
      <c r="A91" t="s">
        <v>42</v>
      </c>
      <c r="B91">
        <v>6</v>
      </c>
      <c r="C91" s="15" t="s">
        <v>440</v>
      </c>
      <c r="D91" t="s">
        <v>83</v>
      </c>
      <c r="H91" t="s">
        <v>55</v>
      </c>
      <c r="K91" t="s">
        <v>86</v>
      </c>
      <c r="L91" t="s">
        <v>268</v>
      </c>
      <c r="M91" t="s">
        <v>104</v>
      </c>
      <c r="N91" s="33">
        <v>1.4562334756321857</v>
      </c>
    </row>
    <row r="92" spans="1:14" hidden="1" x14ac:dyDescent="0.3">
      <c r="A92" t="s">
        <v>42</v>
      </c>
      <c r="B92">
        <v>6</v>
      </c>
      <c r="C92" s="15" t="s">
        <v>440</v>
      </c>
      <c r="D92" t="s">
        <v>83</v>
      </c>
      <c r="H92" t="s">
        <v>55</v>
      </c>
      <c r="K92" t="s">
        <v>86</v>
      </c>
      <c r="L92" t="s">
        <v>269</v>
      </c>
      <c r="M92" t="s">
        <v>105</v>
      </c>
      <c r="N92" s="33">
        <v>19.545535696131669</v>
      </c>
    </row>
    <row r="93" spans="1:14" hidden="1" x14ac:dyDescent="0.3">
      <c r="A93" t="s">
        <v>42</v>
      </c>
      <c r="B93">
        <v>6</v>
      </c>
      <c r="C93" s="15" t="s">
        <v>411</v>
      </c>
      <c r="D93" t="s">
        <v>83</v>
      </c>
      <c r="H93" t="s">
        <v>59</v>
      </c>
      <c r="K93" t="s">
        <v>86</v>
      </c>
      <c r="L93" t="s">
        <v>266</v>
      </c>
      <c r="M93" t="s">
        <v>100</v>
      </c>
      <c r="N93" s="33">
        <v>2695660</v>
      </c>
    </row>
    <row r="94" spans="1:14" hidden="1" x14ac:dyDescent="0.3">
      <c r="A94" t="s">
        <v>42</v>
      </c>
      <c r="B94">
        <v>6</v>
      </c>
      <c r="C94" s="15" t="s">
        <v>442</v>
      </c>
      <c r="D94" t="s">
        <v>83</v>
      </c>
      <c r="H94" t="s">
        <v>59</v>
      </c>
      <c r="K94" t="s">
        <v>86</v>
      </c>
      <c r="L94" t="s">
        <v>268</v>
      </c>
      <c r="M94" t="s">
        <v>104</v>
      </c>
      <c r="N94" s="33">
        <v>1.4562334756321857</v>
      </c>
    </row>
    <row r="95" spans="1:14" hidden="1" x14ac:dyDescent="0.3">
      <c r="A95" t="s">
        <v>42</v>
      </c>
      <c r="B95">
        <v>6</v>
      </c>
      <c r="C95" s="15" t="s">
        <v>442</v>
      </c>
      <c r="D95" t="s">
        <v>83</v>
      </c>
      <c r="H95" t="s">
        <v>59</v>
      </c>
      <c r="K95" t="s">
        <v>86</v>
      </c>
      <c r="L95" t="s">
        <v>269</v>
      </c>
      <c r="M95" t="s">
        <v>105</v>
      </c>
      <c r="N95" s="33">
        <v>19.545535696131669</v>
      </c>
    </row>
    <row r="96" spans="1:14" hidden="1" x14ac:dyDescent="0.3">
      <c r="A96" t="s">
        <v>132</v>
      </c>
      <c r="B96">
        <v>7</v>
      </c>
      <c r="C96" s="15" t="s">
        <v>412</v>
      </c>
      <c r="D96" t="s">
        <v>132</v>
      </c>
      <c r="L96" t="s">
        <v>266</v>
      </c>
      <c r="M96" t="s">
        <v>195</v>
      </c>
      <c r="N96" s="10">
        <v>61.265000000000001</v>
      </c>
    </row>
    <row r="97" spans="1:14" hidden="1" x14ac:dyDescent="0.3">
      <c r="A97" t="s">
        <v>32</v>
      </c>
      <c r="B97">
        <v>8</v>
      </c>
      <c r="C97" s="15" t="s">
        <v>413</v>
      </c>
      <c r="D97" t="s">
        <v>197</v>
      </c>
      <c r="L97" t="s">
        <v>266</v>
      </c>
      <c r="M97" t="s">
        <v>133</v>
      </c>
      <c r="N97" s="10">
        <v>750</v>
      </c>
    </row>
    <row r="98" spans="1:14" hidden="1" x14ac:dyDescent="0.3">
      <c r="A98" t="s">
        <v>74</v>
      </c>
      <c r="B98">
        <v>9</v>
      </c>
      <c r="C98" s="15" t="s">
        <v>442</v>
      </c>
      <c r="D98" t="s">
        <v>186</v>
      </c>
      <c r="E98" t="s">
        <v>23</v>
      </c>
      <c r="F98" t="s">
        <v>10</v>
      </c>
      <c r="J98" t="s">
        <v>101</v>
      </c>
      <c r="L98" t="s">
        <v>267</v>
      </c>
      <c r="M98" t="s">
        <v>192</v>
      </c>
      <c r="N98" s="10">
        <v>0</v>
      </c>
    </row>
    <row r="99" spans="1:14" hidden="1" x14ac:dyDescent="0.3">
      <c r="A99" t="s">
        <v>74</v>
      </c>
      <c r="B99">
        <v>9</v>
      </c>
      <c r="C99" s="15" t="s">
        <v>442</v>
      </c>
      <c r="D99" t="s">
        <v>186</v>
      </c>
      <c r="E99" t="s">
        <v>23</v>
      </c>
      <c r="F99" t="s">
        <v>12</v>
      </c>
      <c r="J99" t="s">
        <v>101</v>
      </c>
      <c r="L99" t="s">
        <v>267</v>
      </c>
      <c r="M99" t="s">
        <v>192</v>
      </c>
      <c r="N99" s="10">
        <v>0</v>
      </c>
    </row>
    <row r="100" spans="1:14" hidden="1" x14ac:dyDescent="0.3">
      <c r="A100" t="s">
        <v>74</v>
      </c>
      <c r="B100">
        <v>9</v>
      </c>
      <c r="C100" s="15" t="s">
        <v>442</v>
      </c>
      <c r="D100" t="s">
        <v>186</v>
      </c>
      <c r="E100" t="s">
        <v>23</v>
      </c>
      <c r="F100" t="s">
        <v>10</v>
      </c>
      <c r="J100" t="s">
        <v>102</v>
      </c>
      <c r="L100" t="s">
        <v>267</v>
      </c>
      <c r="M100" t="s">
        <v>192</v>
      </c>
      <c r="N100" s="10">
        <v>0</v>
      </c>
    </row>
    <row r="101" spans="1:14" hidden="1" x14ac:dyDescent="0.3">
      <c r="A101" t="s">
        <v>74</v>
      </c>
      <c r="B101">
        <v>9</v>
      </c>
      <c r="C101" s="15" t="s">
        <v>442</v>
      </c>
      <c r="D101" t="s">
        <v>186</v>
      </c>
      <c r="E101" t="s">
        <v>23</v>
      </c>
      <c r="F101" t="s">
        <v>12</v>
      </c>
      <c r="J101" t="s">
        <v>103</v>
      </c>
      <c r="L101" t="s">
        <v>267</v>
      </c>
      <c r="M101" t="s">
        <v>192</v>
      </c>
      <c r="N101" s="10">
        <v>0</v>
      </c>
    </row>
    <row r="102" spans="1:14" hidden="1" x14ac:dyDescent="0.3">
      <c r="A102" t="s">
        <v>74</v>
      </c>
      <c r="B102">
        <v>9</v>
      </c>
      <c r="C102" s="15" t="s">
        <v>414</v>
      </c>
      <c r="D102" t="s">
        <v>186</v>
      </c>
      <c r="E102" t="s">
        <v>23</v>
      </c>
      <c r="F102" t="s">
        <v>10</v>
      </c>
      <c r="J102" t="s">
        <v>101</v>
      </c>
      <c r="L102" t="s">
        <v>266</v>
      </c>
      <c r="M102" t="s">
        <v>191</v>
      </c>
      <c r="N102" s="10">
        <v>4017.9000000000005</v>
      </c>
    </row>
    <row r="103" spans="1:14" hidden="1" x14ac:dyDescent="0.3">
      <c r="A103" t="s">
        <v>74</v>
      </c>
      <c r="B103">
        <v>9</v>
      </c>
      <c r="C103" s="15" t="s">
        <v>415</v>
      </c>
      <c r="D103" t="s">
        <v>186</v>
      </c>
      <c r="E103" t="s">
        <v>23</v>
      </c>
      <c r="F103" t="s">
        <v>12</v>
      </c>
      <c r="J103" t="s">
        <v>101</v>
      </c>
      <c r="L103" t="s">
        <v>266</v>
      </c>
      <c r="M103" t="s">
        <v>191</v>
      </c>
      <c r="N103" s="10">
        <v>4017.9000000000005</v>
      </c>
    </row>
    <row r="104" spans="1:14" hidden="1" x14ac:dyDescent="0.3">
      <c r="A104" t="s">
        <v>74</v>
      </c>
      <c r="B104">
        <v>9</v>
      </c>
      <c r="C104" s="15" t="s">
        <v>416</v>
      </c>
      <c r="D104" t="s">
        <v>186</v>
      </c>
      <c r="E104" t="s">
        <v>23</v>
      </c>
      <c r="F104" t="s">
        <v>10</v>
      </c>
      <c r="J104" t="s">
        <v>102</v>
      </c>
      <c r="L104" t="s">
        <v>266</v>
      </c>
      <c r="M104" t="s">
        <v>191</v>
      </c>
      <c r="N104" s="10">
        <v>502237.50000000006</v>
      </c>
    </row>
    <row r="105" spans="1:14" hidden="1" x14ac:dyDescent="0.3">
      <c r="A105" t="s">
        <v>74</v>
      </c>
      <c r="B105">
        <v>9</v>
      </c>
      <c r="C105" s="15" t="s">
        <v>417</v>
      </c>
      <c r="D105" t="s">
        <v>186</v>
      </c>
      <c r="E105" t="s">
        <v>23</v>
      </c>
      <c r="F105" t="s">
        <v>12</v>
      </c>
      <c r="J105" t="s">
        <v>103</v>
      </c>
      <c r="L105" t="s">
        <v>266</v>
      </c>
      <c r="M105" t="s">
        <v>191</v>
      </c>
      <c r="N105" s="10">
        <v>502237.50000000006</v>
      </c>
    </row>
    <row r="106" spans="1:14" hidden="1" x14ac:dyDescent="0.3">
      <c r="A106" t="s">
        <v>466</v>
      </c>
      <c r="B106">
        <v>10</v>
      </c>
      <c r="C106" s="15" t="s">
        <v>418</v>
      </c>
      <c r="D106" t="s">
        <v>466</v>
      </c>
      <c r="H106" t="s">
        <v>60</v>
      </c>
      <c r="I106" t="s">
        <v>484</v>
      </c>
      <c r="L106" t="s">
        <v>266</v>
      </c>
      <c r="M106" t="s">
        <v>100</v>
      </c>
      <c r="N106" s="10">
        <v>49635.9</v>
      </c>
    </row>
    <row r="107" spans="1:14" hidden="1" x14ac:dyDescent="0.3">
      <c r="A107" t="s">
        <v>466</v>
      </c>
      <c r="B107">
        <v>10</v>
      </c>
      <c r="C107" s="15" t="s">
        <v>419</v>
      </c>
      <c r="D107" t="s">
        <v>466</v>
      </c>
      <c r="H107" t="s">
        <v>60</v>
      </c>
      <c r="I107" t="s">
        <v>485</v>
      </c>
      <c r="L107" t="s">
        <v>266</v>
      </c>
      <c r="M107" t="s">
        <v>100</v>
      </c>
      <c r="N107" s="10">
        <v>57771</v>
      </c>
    </row>
    <row r="108" spans="1:14" hidden="1" x14ac:dyDescent="0.3">
      <c r="A108" t="s">
        <v>466</v>
      </c>
      <c r="B108">
        <v>10</v>
      </c>
      <c r="C108" s="15" t="s">
        <v>420</v>
      </c>
      <c r="D108" t="s">
        <v>466</v>
      </c>
      <c r="H108" t="s">
        <v>55</v>
      </c>
      <c r="I108" t="s">
        <v>485</v>
      </c>
      <c r="L108" t="s">
        <v>266</v>
      </c>
      <c r="M108" t="s">
        <v>100</v>
      </c>
      <c r="N108" s="10">
        <v>57771</v>
      </c>
    </row>
    <row r="109" spans="1:14" hidden="1" x14ac:dyDescent="0.3">
      <c r="A109" t="s">
        <v>466</v>
      </c>
      <c r="B109">
        <v>10</v>
      </c>
      <c r="C109" s="15" t="s">
        <v>421</v>
      </c>
      <c r="D109" t="s">
        <v>466</v>
      </c>
      <c r="H109" t="s">
        <v>55</v>
      </c>
      <c r="I109" t="s">
        <v>486</v>
      </c>
      <c r="L109" t="s">
        <v>266</v>
      </c>
      <c r="M109" t="s">
        <v>100</v>
      </c>
      <c r="N109" s="10">
        <v>206325</v>
      </c>
    </row>
    <row r="110" spans="1:14" hidden="1" x14ac:dyDescent="0.3">
      <c r="A110" t="s">
        <v>466</v>
      </c>
      <c r="B110">
        <v>10</v>
      </c>
      <c r="C110" s="15" t="s">
        <v>422</v>
      </c>
      <c r="D110" t="s">
        <v>466</v>
      </c>
      <c r="H110" t="s">
        <v>55</v>
      </c>
      <c r="I110" t="s">
        <v>21</v>
      </c>
      <c r="L110" t="s">
        <v>266</v>
      </c>
      <c r="M110" t="s">
        <v>100</v>
      </c>
      <c r="N110" s="10">
        <v>117900</v>
      </c>
    </row>
    <row r="111" spans="1:14" hidden="1" x14ac:dyDescent="0.3">
      <c r="A111" t="s">
        <v>466</v>
      </c>
      <c r="B111">
        <v>10</v>
      </c>
      <c r="C111" s="15" t="s">
        <v>442</v>
      </c>
      <c r="D111" t="s">
        <v>466</v>
      </c>
      <c r="H111" t="s">
        <v>59</v>
      </c>
      <c r="I111" t="s">
        <v>484</v>
      </c>
      <c r="L111" t="s">
        <v>266</v>
      </c>
      <c r="M111" t="s">
        <v>100</v>
      </c>
      <c r="N111" s="10">
        <v>78993</v>
      </c>
    </row>
    <row r="112" spans="1:14" hidden="1" x14ac:dyDescent="0.3">
      <c r="A112" t="s">
        <v>466</v>
      </c>
      <c r="B112">
        <v>10</v>
      </c>
      <c r="C112" s="15" t="s">
        <v>442</v>
      </c>
      <c r="D112" t="s">
        <v>466</v>
      </c>
      <c r="H112" t="s">
        <v>59</v>
      </c>
      <c r="I112" t="s">
        <v>485</v>
      </c>
      <c r="L112" t="s">
        <v>266</v>
      </c>
      <c r="M112" t="s">
        <v>100</v>
      </c>
      <c r="N112" s="10">
        <v>53055</v>
      </c>
    </row>
    <row r="113" spans="1:14" hidden="1" x14ac:dyDescent="0.3">
      <c r="A113" t="s">
        <v>466</v>
      </c>
      <c r="B113">
        <v>10</v>
      </c>
      <c r="C113" s="15" t="s">
        <v>442</v>
      </c>
      <c r="D113" t="s">
        <v>466</v>
      </c>
      <c r="H113" t="s">
        <v>59</v>
      </c>
      <c r="I113" t="s">
        <v>486</v>
      </c>
      <c r="L113" t="s">
        <v>266</v>
      </c>
      <c r="M113" t="s">
        <v>100</v>
      </c>
      <c r="N113" s="10">
        <v>372564</v>
      </c>
    </row>
    <row r="114" spans="1:14" hidden="1" x14ac:dyDescent="0.3">
      <c r="A114" t="s">
        <v>466</v>
      </c>
      <c r="B114">
        <v>10</v>
      </c>
      <c r="C114" s="15" t="s">
        <v>442</v>
      </c>
      <c r="D114" t="s">
        <v>466</v>
      </c>
      <c r="H114" t="s">
        <v>59</v>
      </c>
      <c r="I114" t="s">
        <v>21</v>
      </c>
      <c r="L114" t="s">
        <v>266</v>
      </c>
      <c r="M114" t="s">
        <v>100</v>
      </c>
      <c r="N114" s="10">
        <v>282960</v>
      </c>
    </row>
    <row r="115" spans="1:14" hidden="1" x14ac:dyDescent="0.3">
      <c r="A115" t="s">
        <v>166</v>
      </c>
      <c r="B115">
        <v>11</v>
      </c>
      <c r="C115" s="15" t="s">
        <v>423</v>
      </c>
      <c r="D115" t="s">
        <v>189</v>
      </c>
      <c r="L115" t="s">
        <v>266</v>
      </c>
      <c r="M115" t="s">
        <v>190</v>
      </c>
      <c r="N115" s="10">
        <v>10811.7</v>
      </c>
    </row>
    <row r="116" spans="1:14" hidden="1" x14ac:dyDescent="0.3">
      <c r="A116" t="s">
        <v>70</v>
      </c>
      <c r="B116">
        <v>12</v>
      </c>
      <c r="C116" s="15" t="s">
        <v>424</v>
      </c>
      <c r="D116" t="s">
        <v>70</v>
      </c>
      <c r="G116" t="s">
        <v>14</v>
      </c>
      <c r="L116" t="s">
        <v>266</v>
      </c>
      <c r="M116" t="s">
        <v>94</v>
      </c>
      <c r="N116" s="10">
        <v>1149.3314</v>
      </c>
    </row>
    <row r="117" spans="1:14" hidden="1" x14ac:dyDescent="0.3">
      <c r="A117" t="s">
        <v>70</v>
      </c>
      <c r="B117">
        <v>12</v>
      </c>
      <c r="C117" s="15" t="s">
        <v>424</v>
      </c>
      <c r="D117" t="s">
        <v>70</v>
      </c>
      <c r="G117" t="s">
        <v>14</v>
      </c>
      <c r="L117" t="s">
        <v>266</v>
      </c>
      <c r="M117" t="s">
        <v>95</v>
      </c>
      <c r="N117" s="10">
        <v>3786.1770000000001</v>
      </c>
    </row>
    <row r="118" spans="1:14" hidden="1" x14ac:dyDescent="0.3">
      <c r="A118" t="s">
        <v>70</v>
      </c>
      <c r="B118">
        <v>12</v>
      </c>
      <c r="C118" s="15" t="s">
        <v>425</v>
      </c>
      <c r="D118" t="s">
        <v>70</v>
      </c>
      <c r="G118" t="s">
        <v>96</v>
      </c>
      <c r="L118" t="s">
        <v>266</v>
      </c>
      <c r="M118" t="s">
        <v>94</v>
      </c>
      <c r="N118" s="10">
        <v>34799.745300000002</v>
      </c>
    </row>
    <row r="119" spans="1:14" hidden="1" x14ac:dyDescent="0.3">
      <c r="A119" t="s">
        <v>70</v>
      </c>
      <c r="B119">
        <v>12</v>
      </c>
      <c r="C119" s="15" t="s">
        <v>425</v>
      </c>
      <c r="D119" t="s">
        <v>70</v>
      </c>
      <c r="G119" t="s">
        <v>96</v>
      </c>
      <c r="L119" t="s">
        <v>266</v>
      </c>
      <c r="M119" t="s">
        <v>95</v>
      </c>
      <c r="N119" s="10">
        <v>33038.989200000004</v>
      </c>
    </row>
    <row r="120" spans="1:14" hidden="1" x14ac:dyDescent="0.3">
      <c r="A120" t="s">
        <v>70</v>
      </c>
      <c r="B120">
        <v>12</v>
      </c>
      <c r="C120" s="15" t="s">
        <v>426</v>
      </c>
      <c r="D120" t="s">
        <v>70</v>
      </c>
      <c r="G120" t="s">
        <v>97</v>
      </c>
      <c r="L120" t="s">
        <v>266</v>
      </c>
      <c r="M120" t="s">
        <v>94</v>
      </c>
      <c r="N120" s="10">
        <v>91897.5</v>
      </c>
    </row>
    <row r="121" spans="1:14" hidden="1" x14ac:dyDescent="0.3">
      <c r="A121" t="s">
        <v>70</v>
      </c>
      <c r="B121">
        <v>12</v>
      </c>
      <c r="C121" s="15" t="s">
        <v>426</v>
      </c>
      <c r="D121" t="s">
        <v>70</v>
      </c>
      <c r="G121" t="s">
        <v>97</v>
      </c>
      <c r="L121" t="s">
        <v>266</v>
      </c>
      <c r="M121" t="s">
        <v>95</v>
      </c>
      <c r="N121" s="10">
        <v>34690.693599999999</v>
      </c>
    </row>
    <row r="122" spans="1:14" hidden="1" x14ac:dyDescent="0.3">
      <c r="A122" t="s">
        <v>70</v>
      </c>
      <c r="B122">
        <v>12</v>
      </c>
      <c r="C122" s="15" t="s">
        <v>427</v>
      </c>
      <c r="D122" t="s">
        <v>70</v>
      </c>
      <c r="G122" t="s">
        <v>16</v>
      </c>
      <c r="L122" t="s">
        <v>266</v>
      </c>
      <c r="M122" t="s">
        <v>94</v>
      </c>
      <c r="N122" s="10">
        <v>34799.745300000002</v>
      </c>
    </row>
    <row r="123" spans="1:14" hidden="1" x14ac:dyDescent="0.3">
      <c r="A123" t="s">
        <v>70</v>
      </c>
      <c r="B123">
        <v>12</v>
      </c>
      <c r="C123" s="15" t="s">
        <v>427</v>
      </c>
      <c r="D123" t="s">
        <v>70</v>
      </c>
      <c r="G123" t="s">
        <v>16</v>
      </c>
      <c r="L123" t="s">
        <v>266</v>
      </c>
      <c r="M123" t="s">
        <v>95</v>
      </c>
      <c r="N123" s="10">
        <v>33038.989200000004</v>
      </c>
    </row>
    <row r="124" spans="1:14" hidden="1" x14ac:dyDescent="0.3">
      <c r="A124" t="s">
        <v>70</v>
      </c>
      <c r="B124">
        <v>12</v>
      </c>
      <c r="C124" s="15" t="s">
        <v>428</v>
      </c>
      <c r="D124" t="s">
        <v>70</v>
      </c>
      <c r="G124" t="s">
        <v>17</v>
      </c>
      <c r="L124" t="s">
        <v>266</v>
      </c>
      <c r="M124" t="s">
        <v>94</v>
      </c>
      <c r="N124" s="10">
        <v>171542</v>
      </c>
    </row>
    <row r="125" spans="1:14" hidden="1" x14ac:dyDescent="0.3">
      <c r="A125" t="s">
        <v>70</v>
      </c>
      <c r="B125">
        <v>12</v>
      </c>
      <c r="C125" s="15" t="s">
        <v>428</v>
      </c>
      <c r="D125" t="s">
        <v>70</v>
      </c>
      <c r="G125" t="s">
        <v>17</v>
      </c>
      <c r="L125" t="s">
        <v>266</v>
      </c>
      <c r="M125" t="s">
        <v>95</v>
      </c>
      <c r="N125" s="10">
        <v>47905.554100000001</v>
      </c>
    </row>
    <row r="126" spans="1:14" hidden="1" x14ac:dyDescent="0.3">
      <c r="A126" t="s">
        <v>70</v>
      </c>
      <c r="B126">
        <v>12</v>
      </c>
      <c r="C126" s="15" t="s">
        <v>429</v>
      </c>
      <c r="D126" t="s">
        <v>70</v>
      </c>
      <c r="G126" t="s">
        <v>98</v>
      </c>
      <c r="L126" t="s">
        <v>266</v>
      </c>
      <c r="M126" t="s">
        <v>94</v>
      </c>
      <c r="N126" s="10">
        <v>59775</v>
      </c>
    </row>
    <row r="127" spans="1:14" hidden="1" x14ac:dyDescent="0.3">
      <c r="A127" t="s">
        <v>70</v>
      </c>
      <c r="B127">
        <v>12</v>
      </c>
      <c r="C127" s="15" t="s">
        <v>429</v>
      </c>
      <c r="D127" t="s">
        <v>70</v>
      </c>
      <c r="G127" t="s">
        <v>98</v>
      </c>
      <c r="L127" t="s">
        <v>266</v>
      </c>
      <c r="M127" t="s">
        <v>95</v>
      </c>
      <c r="N127" s="10">
        <v>46740.463499999998</v>
      </c>
    </row>
    <row r="128" spans="1:14" hidden="1" x14ac:dyDescent="0.3">
      <c r="A128" t="s">
        <v>70</v>
      </c>
      <c r="B128">
        <v>12</v>
      </c>
      <c r="C128" s="15" t="s">
        <v>443</v>
      </c>
      <c r="D128" t="s">
        <v>70</v>
      </c>
      <c r="G128" t="s">
        <v>99</v>
      </c>
      <c r="L128" t="s">
        <v>266</v>
      </c>
      <c r="M128" t="s">
        <v>94</v>
      </c>
      <c r="N128" s="10">
        <v>34799.745300000002</v>
      </c>
    </row>
    <row r="129" spans="1:14" hidden="1" x14ac:dyDescent="0.3">
      <c r="A129" t="s">
        <v>70</v>
      </c>
      <c r="B129">
        <v>12</v>
      </c>
      <c r="C129" s="15" t="s">
        <v>443</v>
      </c>
      <c r="D129" t="s">
        <v>70</v>
      </c>
      <c r="G129" t="s">
        <v>99</v>
      </c>
      <c r="L129" t="s">
        <v>266</v>
      </c>
      <c r="M129" t="s">
        <v>95</v>
      </c>
      <c r="N129" s="10">
        <v>33038.989200000004</v>
      </c>
    </row>
    <row r="130" spans="1:14" hidden="1" x14ac:dyDescent="0.3">
      <c r="A130" t="s">
        <v>123</v>
      </c>
      <c r="B130">
        <v>13</v>
      </c>
      <c r="C130" s="12" t="s">
        <v>430</v>
      </c>
      <c r="D130" t="s">
        <v>204</v>
      </c>
      <c r="L130" t="s">
        <v>266</v>
      </c>
      <c r="M130" t="s">
        <v>205</v>
      </c>
      <c r="N130" s="10">
        <v>1000000</v>
      </c>
    </row>
    <row r="131" spans="1:14" hidden="1" x14ac:dyDescent="0.3">
      <c r="A131" t="s">
        <v>91</v>
      </c>
      <c r="B131">
        <v>14</v>
      </c>
      <c r="C131" s="12" t="s">
        <v>444</v>
      </c>
      <c r="D131" t="s">
        <v>91</v>
      </c>
      <c r="E131" t="s">
        <v>28</v>
      </c>
      <c r="F131" t="s">
        <v>10</v>
      </c>
      <c r="L131" t="s">
        <v>266</v>
      </c>
      <c r="M131" t="s">
        <v>92</v>
      </c>
      <c r="N131" s="10">
        <v>4094576.742412</v>
      </c>
    </row>
    <row r="132" spans="1:14" hidden="1" x14ac:dyDescent="0.3">
      <c r="A132" t="s">
        <v>91</v>
      </c>
      <c r="B132">
        <v>14</v>
      </c>
      <c r="C132" s="12" t="s">
        <v>442</v>
      </c>
      <c r="D132" t="s">
        <v>91</v>
      </c>
      <c r="E132" t="s">
        <v>28</v>
      </c>
      <c r="F132" t="s">
        <v>10</v>
      </c>
      <c r="L132" t="s">
        <v>267</v>
      </c>
      <c r="M132" t="s">
        <v>93</v>
      </c>
      <c r="N132" s="10">
        <v>409457.67424120003</v>
      </c>
    </row>
    <row r="133" spans="1:14" hidden="1" x14ac:dyDescent="0.3">
      <c r="A133" t="s">
        <v>91</v>
      </c>
      <c r="B133">
        <v>14</v>
      </c>
      <c r="C133" s="12" t="s">
        <v>431</v>
      </c>
      <c r="D133" t="s">
        <v>91</v>
      </c>
      <c r="E133" t="s">
        <v>28</v>
      </c>
      <c r="F133" t="s">
        <v>12</v>
      </c>
      <c r="L133" t="s">
        <v>266</v>
      </c>
      <c r="M133" t="s">
        <v>92</v>
      </c>
      <c r="N133" s="10">
        <v>2871424.8251065002</v>
      </c>
    </row>
    <row r="134" spans="1:14" hidden="1" x14ac:dyDescent="0.3">
      <c r="A134" t="s">
        <v>91</v>
      </c>
      <c r="B134">
        <v>14</v>
      </c>
      <c r="C134" s="12" t="s">
        <v>442</v>
      </c>
      <c r="D134" t="s">
        <v>91</v>
      </c>
      <c r="E134" t="s">
        <v>28</v>
      </c>
      <c r="F134" t="s">
        <v>12</v>
      </c>
      <c r="L134" t="s">
        <v>267</v>
      </c>
      <c r="M134" t="s">
        <v>93</v>
      </c>
      <c r="N134" s="10">
        <v>287142.48251065001</v>
      </c>
    </row>
    <row r="135" spans="1:14" hidden="1" x14ac:dyDescent="0.3">
      <c r="A135" t="s">
        <v>91</v>
      </c>
      <c r="B135">
        <v>14</v>
      </c>
      <c r="C135" s="12" t="s">
        <v>432</v>
      </c>
      <c r="D135" t="s">
        <v>91</v>
      </c>
      <c r="E135" t="s">
        <v>23</v>
      </c>
      <c r="F135" t="s">
        <v>10</v>
      </c>
      <c r="L135" t="s">
        <v>266</v>
      </c>
      <c r="M135" t="s">
        <v>92</v>
      </c>
      <c r="N135" s="10">
        <v>3377031.9104599995</v>
      </c>
    </row>
    <row r="136" spans="1:14" hidden="1" x14ac:dyDescent="0.3">
      <c r="A136" t="s">
        <v>91</v>
      </c>
      <c r="B136">
        <v>14</v>
      </c>
      <c r="C136" s="12" t="s">
        <v>442</v>
      </c>
      <c r="D136" t="s">
        <v>91</v>
      </c>
      <c r="E136" t="s">
        <v>23</v>
      </c>
      <c r="F136" t="s">
        <v>10</v>
      </c>
      <c r="L136" t="s">
        <v>267</v>
      </c>
      <c r="M136" t="s">
        <v>93</v>
      </c>
      <c r="N136" s="10">
        <v>337703.19104599999</v>
      </c>
    </row>
    <row r="137" spans="1:14" hidden="1" x14ac:dyDescent="0.3">
      <c r="A137" t="s">
        <v>91</v>
      </c>
      <c r="B137">
        <v>14</v>
      </c>
      <c r="C137" s="12" t="s">
        <v>433</v>
      </c>
      <c r="D137" t="s">
        <v>91</v>
      </c>
      <c r="E137" t="s">
        <v>23</v>
      </c>
      <c r="F137" t="s">
        <v>12</v>
      </c>
      <c r="L137" t="s">
        <v>266</v>
      </c>
      <c r="M137" t="s">
        <v>92</v>
      </c>
      <c r="N137" s="10">
        <v>1680176.0000024999</v>
      </c>
    </row>
    <row r="138" spans="1:14" hidden="1" x14ac:dyDescent="0.3">
      <c r="A138" t="s">
        <v>91</v>
      </c>
      <c r="B138">
        <v>14</v>
      </c>
      <c r="C138" s="12" t="s">
        <v>442</v>
      </c>
      <c r="D138" t="s">
        <v>91</v>
      </c>
      <c r="E138" t="s">
        <v>23</v>
      </c>
      <c r="F138" t="s">
        <v>12</v>
      </c>
      <c r="L138" t="s">
        <v>267</v>
      </c>
      <c r="M138" t="s">
        <v>93</v>
      </c>
      <c r="N138" s="10">
        <v>168017.60000025001</v>
      </c>
    </row>
    <row r="139" spans="1:14" hidden="1" x14ac:dyDescent="0.3">
      <c r="A139" t="s">
        <v>198</v>
      </c>
      <c r="B139">
        <v>18</v>
      </c>
      <c r="C139" s="12" t="s">
        <v>442</v>
      </c>
      <c r="D139" t="s">
        <v>199</v>
      </c>
      <c r="H139" t="s">
        <v>60</v>
      </c>
      <c r="L139" t="s">
        <v>266</v>
      </c>
      <c r="M139" t="s">
        <v>200</v>
      </c>
      <c r="N139" s="39">
        <f>INDEX([2]FuelPrices!$B$4:$B$55,MATCH('[2]Key Inputs'!$C$4,[2]FuelPrices!$A$4:$A$55,0),1)</f>
        <v>3.16</v>
      </c>
    </row>
    <row r="140" spans="1:14" hidden="1" x14ac:dyDescent="0.3">
      <c r="A140" t="s">
        <v>198</v>
      </c>
      <c r="B140">
        <v>18</v>
      </c>
      <c r="C140" s="12" t="s">
        <v>442</v>
      </c>
      <c r="D140" t="s">
        <v>199</v>
      </c>
      <c r="H140" t="s">
        <v>55</v>
      </c>
      <c r="L140" t="s">
        <v>266</v>
      </c>
      <c r="M140" t="s">
        <v>200</v>
      </c>
      <c r="N140" s="39">
        <f>INDEX([2]FuelPrices!$E$4:$E$55,MATCH('[2]Key Inputs'!$C$4,[2]FuelPrices!$A$4:$A$55,0),1)</f>
        <v>3.7759999999999998</v>
      </c>
    </row>
    <row r="141" spans="1:14" hidden="1" x14ac:dyDescent="0.3">
      <c r="A141" t="s">
        <v>198</v>
      </c>
      <c r="B141">
        <v>18</v>
      </c>
      <c r="C141" s="12" t="s">
        <v>442</v>
      </c>
      <c r="D141" t="s">
        <v>199</v>
      </c>
      <c r="H141" t="s">
        <v>203</v>
      </c>
      <c r="L141" t="s">
        <v>266</v>
      </c>
      <c r="M141" t="s">
        <v>201</v>
      </c>
      <c r="N141" s="10">
        <v>9.1400000000000009E-2</v>
      </c>
    </row>
    <row r="142" spans="1:14" hidden="1" x14ac:dyDescent="0.3">
      <c r="A142" t="s">
        <v>198</v>
      </c>
      <c r="B142">
        <v>18</v>
      </c>
      <c r="C142" s="12" t="s">
        <v>442</v>
      </c>
      <c r="D142" t="s">
        <v>199</v>
      </c>
      <c r="H142" t="s">
        <v>58</v>
      </c>
      <c r="L142" t="s">
        <v>266</v>
      </c>
      <c r="M142" t="s">
        <v>202</v>
      </c>
      <c r="N142" s="10">
        <v>2.54</v>
      </c>
    </row>
    <row r="143" spans="1:14" hidden="1" x14ac:dyDescent="0.3">
      <c r="A143" t="s">
        <v>307</v>
      </c>
      <c r="B143">
        <v>15</v>
      </c>
      <c r="C143" s="12" t="s">
        <v>441</v>
      </c>
      <c r="D143" t="s">
        <v>307</v>
      </c>
      <c r="L143" t="s">
        <v>266</v>
      </c>
      <c r="M143" t="s">
        <v>93</v>
      </c>
      <c r="N143" s="10">
        <v>429359</v>
      </c>
    </row>
    <row r="144" spans="1:14" x14ac:dyDescent="0.3">
      <c r="A144" s="18" t="s">
        <v>298</v>
      </c>
      <c r="B144" s="19">
        <v>16</v>
      </c>
      <c r="C144" s="19">
        <v>-1</v>
      </c>
      <c r="D144" s="19" t="s">
        <v>298</v>
      </c>
      <c r="E144" s="19"/>
      <c r="F144" s="19"/>
      <c r="G144" s="19"/>
      <c r="H144" s="19"/>
      <c r="J144" s="19"/>
      <c r="K144" s="19"/>
      <c r="L144" s="19" t="s">
        <v>266</v>
      </c>
      <c r="M144" s="22" t="s">
        <v>493</v>
      </c>
      <c r="N144" s="20">
        <v>25000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4FF1-1A2D-4A1A-AB64-01A5C47139C5}">
  <sheetPr>
    <tabColor theme="4"/>
  </sheetPr>
  <dimension ref="A1:O107"/>
  <sheetViews>
    <sheetView showGridLines="0" topLeftCell="E1" zoomScale="85" zoomScaleNormal="85" workbookViewId="0">
      <selection activeCell="O48" sqref="O48"/>
    </sheetView>
  </sheetViews>
  <sheetFormatPr defaultRowHeight="14.4" x14ac:dyDescent="0.3"/>
  <cols>
    <col min="1" max="1" width="39.5546875" bestFit="1" customWidth="1"/>
    <col min="2" max="2" width="17.77734375" bestFit="1" customWidth="1"/>
    <col min="3" max="3" width="27.44140625" customWidth="1"/>
    <col min="4" max="4" width="15.5546875" customWidth="1"/>
    <col min="5" max="6" width="39.5546875" customWidth="1"/>
    <col min="7" max="7" width="11.5546875" customWidth="1"/>
    <col min="8" max="8" width="30.5546875" customWidth="1"/>
    <col min="9" max="9" width="12.5546875" customWidth="1"/>
    <col min="10" max="10" width="17.44140625" customWidth="1"/>
    <col min="11" max="11" width="14.5546875" customWidth="1"/>
    <col min="12" max="12" width="18.5546875" bestFit="1" customWidth="1"/>
    <col min="13" max="13" width="11" customWidth="1"/>
    <col min="14" max="14" width="30.77734375" bestFit="1" customWidth="1"/>
    <col min="15" max="15" width="30.21875" bestFit="1" customWidth="1"/>
  </cols>
  <sheetData>
    <row r="1" spans="1:15" x14ac:dyDescent="0.3">
      <c r="A1" s="1" t="s">
        <v>0</v>
      </c>
      <c r="B1" s="1" t="s">
        <v>138</v>
      </c>
      <c r="C1" s="1" t="s">
        <v>270</v>
      </c>
      <c r="D1" s="1" t="s">
        <v>265</v>
      </c>
      <c r="E1" s="1" t="s">
        <v>126</v>
      </c>
      <c r="F1" s="1" t="s">
        <v>176</v>
      </c>
      <c r="G1" s="1" t="s">
        <v>1</v>
      </c>
      <c r="H1" s="1" t="s">
        <v>244</v>
      </c>
      <c r="I1" s="1" t="s">
        <v>249</v>
      </c>
      <c r="J1" s="1" t="s">
        <v>4</v>
      </c>
      <c r="K1" s="1" t="s">
        <v>5</v>
      </c>
      <c r="L1" s="1" t="s">
        <v>6</v>
      </c>
      <c r="M1" s="1" t="s">
        <v>7</v>
      </c>
      <c r="N1" s="5" t="s">
        <v>164</v>
      </c>
      <c r="O1" t="s">
        <v>88</v>
      </c>
    </row>
    <row r="2" spans="1:15" hidden="1" x14ac:dyDescent="0.3">
      <c r="A2" t="s">
        <v>8</v>
      </c>
      <c r="B2">
        <v>1</v>
      </c>
      <c r="E2" t="s">
        <v>8</v>
      </c>
      <c r="I2" t="s">
        <v>253</v>
      </c>
      <c r="N2" t="s">
        <v>41</v>
      </c>
      <c r="O2">
        <v>365</v>
      </c>
    </row>
    <row r="3" spans="1:15" hidden="1" x14ac:dyDescent="0.3">
      <c r="A3" t="s">
        <v>8</v>
      </c>
      <c r="B3">
        <v>1</v>
      </c>
      <c r="E3" t="s">
        <v>8</v>
      </c>
      <c r="I3" t="s">
        <v>61</v>
      </c>
      <c r="N3" t="s">
        <v>36</v>
      </c>
      <c r="O3">
        <v>0.7</v>
      </c>
    </row>
    <row r="4" spans="1:15" hidden="1" x14ac:dyDescent="0.3">
      <c r="A4" t="s">
        <v>8</v>
      </c>
      <c r="B4">
        <v>1</v>
      </c>
      <c r="E4" t="s">
        <v>8</v>
      </c>
      <c r="I4" t="s">
        <v>62</v>
      </c>
      <c r="N4" t="s">
        <v>36</v>
      </c>
      <c r="O4">
        <v>2.2999999999999998</v>
      </c>
    </row>
    <row r="5" spans="1:15" hidden="1" x14ac:dyDescent="0.3">
      <c r="A5" t="s">
        <v>8</v>
      </c>
      <c r="B5">
        <v>1</v>
      </c>
      <c r="E5" t="s">
        <v>8</v>
      </c>
      <c r="I5" t="s">
        <v>261</v>
      </c>
      <c r="N5" t="s">
        <v>9</v>
      </c>
      <c r="O5">
        <v>0.47249999999999998</v>
      </c>
    </row>
    <row r="6" spans="1:15" hidden="1" x14ac:dyDescent="0.3">
      <c r="A6" t="s">
        <v>8</v>
      </c>
      <c r="B6">
        <v>1</v>
      </c>
      <c r="E6" t="s">
        <v>8</v>
      </c>
      <c r="I6" t="s">
        <v>251</v>
      </c>
      <c r="N6" t="s">
        <v>9</v>
      </c>
      <c r="O6">
        <v>0.59249999999999992</v>
      </c>
    </row>
    <row r="7" spans="1:15" hidden="1" x14ac:dyDescent="0.3">
      <c r="A7" t="s">
        <v>8</v>
      </c>
      <c r="B7">
        <v>1</v>
      </c>
      <c r="E7" t="s">
        <v>8</v>
      </c>
      <c r="I7" t="s">
        <v>252</v>
      </c>
      <c r="N7" t="s">
        <v>9</v>
      </c>
      <c r="O7">
        <v>0.6</v>
      </c>
    </row>
    <row r="8" spans="1:15" hidden="1" x14ac:dyDescent="0.3">
      <c r="A8" t="s">
        <v>8</v>
      </c>
      <c r="B8">
        <v>1</v>
      </c>
      <c r="E8" t="s">
        <v>8</v>
      </c>
      <c r="I8" t="s">
        <v>262</v>
      </c>
      <c r="N8" t="s">
        <v>9</v>
      </c>
      <c r="O8">
        <v>0.75</v>
      </c>
    </row>
    <row r="9" spans="1:15" hidden="1" x14ac:dyDescent="0.3">
      <c r="A9" t="s">
        <v>42</v>
      </c>
      <c r="B9">
        <v>2</v>
      </c>
      <c r="E9" t="s">
        <v>42</v>
      </c>
      <c r="F9" t="s">
        <v>180</v>
      </c>
      <c r="G9" t="s">
        <v>10</v>
      </c>
      <c r="L9" t="s">
        <v>49</v>
      </c>
      <c r="M9" s="6" t="s">
        <v>286</v>
      </c>
      <c r="N9" t="s">
        <v>50</v>
      </c>
      <c r="O9" s="17">
        <v>5.3623072262100742</v>
      </c>
    </row>
    <row r="10" spans="1:15" hidden="1" x14ac:dyDescent="0.3">
      <c r="A10" t="s">
        <v>42</v>
      </c>
      <c r="B10">
        <v>2</v>
      </c>
      <c r="E10" t="s">
        <v>42</v>
      </c>
      <c r="F10" t="s">
        <v>180</v>
      </c>
      <c r="G10" t="s">
        <v>12</v>
      </c>
      <c r="L10" t="s">
        <v>49</v>
      </c>
      <c r="M10" s="6" t="s">
        <v>286</v>
      </c>
      <c r="N10" t="s">
        <v>50</v>
      </c>
      <c r="O10" s="17">
        <v>1.57267316999903</v>
      </c>
    </row>
    <row r="11" spans="1:15" hidden="1" x14ac:dyDescent="0.3">
      <c r="A11" t="s">
        <v>42</v>
      </c>
      <c r="B11">
        <v>2</v>
      </c>
      <c r="E11" t="s">
        <v>42</v>
      </c>
      <c r="F11" t="s">
        <v>180</v>
      </c>
      <c r="G11" t="s">
        <v>10</v>
      </c>
      <c r="L11" t="s">
        <v>52</v>
      </c>
      <c r="M11" s="6" t="s">
        <v>286</v>
      </c>
      <c r="N11" t="s">
        <v>50</v>
      </c>
      <c r="O11" s="17">
        <v>1.1309087250122982</v>
      </c>
    </row>
    <row r="12" spans="1:15" hidden="1" x14ac:dyDescent="0.3">
      <c r="A12" t="s">
        <v>42</v>
      </c>
      <c r="B12">
        <v>2</v>
      </c>
      <c r="E12" t="s">
        <v>42</v>
      </c>
      <c r="F12" t="s">
        <v>180</v>
      </c>
      <c r="G12" t="s">
        <v>12</v>
      </c>
      <c r="L12" t="s">
        <v>52</v>
      </c>
      <c r="M12" s="6" t="s">
        <v>286</v>
      </c>
      <c r="N12" t="s">
        <v>50</v>
      </c>
      <c r="O12" s="17">
        <v>1.1460261310805029</v>
      </c>
    </row>
    <row r="13" spans="1:15" hidden="1" x14ac:dyDescent="0.3">
      <c r="A13" t="s">
        <v>42</v>
      </c>
      <c r="B13">
        <v>2</v>
      </c>
      <c r="E13" t="s">
        <v>42</v>
      </c>
      <c r="F13" t="s">
        <v>180</v>
      </c>
      <c r="G13" t="s">
        <v>27</v>
      </c>
      <c r="L13" t="s">
        <v>53</v>
      </c>
      <c r="M13" s="6" t="s">
        <v>286</v>
      </c>
      <c r="N13" t="s">
        <v>50</v>
      </c>
      <c r="O13" s="17">
        <v>19.235585232944185</v>
      </c>
    </row>
    <row r="14" spans="1:15" hidden="1" x14ac:dyDescent="0.3">
      <c r="A14" t="s">
        <v>42</v>
      </c>
      <c r="B14">
        <v>2</v>
      </c>
      <c r="E14" t="s">
        <v>42</v>
      </c>
      <c r="F14" t="s">
        <v>180</v>
      </c>
      <c r="G14" t="s">
        <v>27</v>
      </c>
      <c r="L14" t="s">
        <v>84</v>
      </c>
      <c r="M14" s="6" t="s">
        <v>286</v>
      </c>
      <c r="N14" t="s">
        <v>50</v>
      </c>
      <c r="O14" s="17">
        <v>12.447478266734809</v>
      </c>
    </row>
    <row r="15" spans="1:15" hidden="1" x14ac:dyDescent="0.3">
      <c r="A15" t="s">
        <v>42</v>
      </c>
      <c r="B15">
        <v>2</v>
      </c>
      <c r="E15" t="s">
        <v>42</v>
      </c>
      <c r="F15" t="s">
        <v>180</v>
      </c>
      <c r="G15" t="s">
        <v>27</v>
      </c>
      <c r="L15" t="s">
        <v>85</v>
      </c>
      <c r="M15" s="6" t="s">
        <v>286</v>
      </c>
      <c r="N15" t="s">
        <v>50</v>
      </c>
      <c r="O15" s="17">
        <v>24.868570028518644</v>
      </c>
    </row>
    <row r="16" spans="1:15" hidden="1" x14ac:dyDescent="0.3">
      <c r="A16" t="s">
        <v>42</v>
      </c>
      <c r="B16">
        <v>2</v>
      </c>
      <c r="E16" t="s">
        <v>42</v>
      </c>
      <c r="F16" t="s">
        <v>180</v>
      </c>
      <c r="G16" t="s">
        <v>27</v>
      </c>
      <c r="L16" t="s">
        <v>86</v>
      </c>
      <c r="M16" s="6" t="s">
        <v>286</v>
      </c>
      <c r="N16" t="s">
        <v>50</v>
      </c>
      <c r="O16" s="17">
        <v>54.992787674546257</v>
      </c>
    </row>
    <row r="17" spans="1:15" x14ac:dyDescent="0.3">
      <c r="A17" t="s">
        <v>42</v>
      </c>
      <c r="B17">
        <v>2</v>
      </c>
      <c r="E17" t="s">
        <v>42</v>
      </c>
      <c r="F17" t="s">
        <v>179</v>
      </c>
      <c r="G17" t="s">
        <v>10</v>
      </c>
      <c r="L17" t="s">
        <v>49</v>
      </c>
      <c r="M17" s="6" t="s">
        <v>286</v>
      </c>
      <c r="N17" t="s">
        <v>36</v>
      </c>
      <c r="O17" s="17">
        <v>4.1328553316289787</v>
      </c>
    </row>
    <row r="18" spans="1:15" x14ac:dyDescent="0.3">
      <c r="A18" t="s">
        <v>42</v>
      </c>
      <c r="B18">
        <v>2</v>
      </c>
      <c r="E18" t="s">
        <v>42</v>
      </c>
      <c r="F18" t="s">
        <v>179</v>
      </c>
      <c r="G18" t="s">
        <v>12</v>
      </c>
      <c r="L18" t="s">
        <v>49</v>
      </c>
      <c r="M18" s="6" t="s">
        <v>286</v>
      </c>
      <c r="N18" t="s">
        <v>36</v>
      </c>
      <c r="O18" s="17">
        <v>4.1328553316289787</v>
      </c>
    </row>
    <row r="19" spans="1:15" x14ac:dyDescent="0.3">
      <c r="A19" t="s">
        <v>42</v>
      </c>
      <c r="B19">
        <v>2</v>
      </c>
      <c r="E19" t="s">
        <v>42</v>
      </c>
      <c r="F19" t="s">
        <v>179</v>
      </c>
      <c r="G19" t="s">
        <v>10</v>
      </c>
      <c r="L19" t="s">
        <v>52</v>
      </c>
      <c r="M19" s="6" t="s">
        <v>286</v>
      </c>
      <c r="N19" t="s">
        <v>36</v>
      </c>
      <c r="O19" s="17">
        <v>9.937972153462713</v>
      </c>
    </row>
    <row r="20" spans="1:15" x14ac:dyDescent="0.3">
      <c r="A20" t="s">
        <v>42</v>
      </c>
      <c r="B20">
        <v>2</v>
      </c>
      <c r="E20" t="s">
        <v>42</v>
      </c>
      <c r="F20" t="s">
        <v>179</v>
      </c>
      <c r="G20" t="s">
        <v>12</v>
      </c>
      <c r="L20" t="s">
        <v>52</v>
      </c>
      <c r="M20" s="6" t="s">
        <v>286</v>
      </c>
      <c r="N20" t="s">
        <v>36</v>
      </c>
      <c r="O20" s="17">
        <v>9.937972153462713</v>
      </c>
    </row>
    <row r="21" spans="1:15" x14ac:dyDescent="0.3">
      <c r="A21" t="s">
        <v>42</v>
      </c>
      <c r="B21">
        <v>2</v>
      </c>
      <c r="E21" t="s">
        <v>42</v>
      </c>
      <c r="F21" t="s">
        <v>179</v>
      </c>
      <c r="G21" t="s">
        <v>27</v>
      </c>
      <c r="L21" t="s">
        <v>53</v>
      </c>
      <c r="M21" s="6" t="s">
        <v>286</v>
      </c>
      <c r="N21" t="s">
        <v>36</v>
      </c>
      <c r="O21" s="17">
        <v>28.751266631655319</v>
      </c>
    </row>
    <row r="22" spans="1:15" x14ac:dyDescent="0.3">
      <c r="A22" t="s">
        <v>42</v>
      </c>
      <c r="B22">
        <v>2</v>
      </c>
      <c r="E22" t="s">
        <v>42</v>
      </c>
      <c r="F22" t="s">
        <v>179</v>
      </c>
      <c r="G22" t="s">
        <v>27</v>
      </c>
      <c r="L22" t="s">
        <v>260</v>
      </c>
      <c r="M22" s="6" t="s">
        <v>286</v>
      </c>
      <c r="N22" t="s">
        <v>36</v>
      </c>
      <c r="O22">
        <v>198.354755374798</v>
      </c>
    </row>
    <row r="23" spans="1:15" x14ac:dyDescent="0.3">
      <c r="A23" t="s">
        <v>42</v>
      </c>
      <c r="B23">
        <v>2</v>
      </c>
      <c r="E23" t="s">
        <v>42</v>
      </c>
      <c r="F23" t="s">
        <v>179</v>
      </c>
      <c r="G23" t="s">
        <v>27</v>
      </c>
      <c r="L23" t="s">
        <v>84</v>
      </c>
      <c r="M23" s="6" t="s">
        <v>286</v>
      </c>
      <c r="N23" t="s">
        <v>36</v>
      </c>
      <c r="O23" s="17">
        <v>5.7158402899079999</v>
      </c>
    </row>
    <row r="24" spans="1:15" x14ac:dyDescent="0.3">
      <c r="A24" t="s">
        <v>42</v>
      </c>
      <c r="B24">
        <v>2</v>
      </c>
      <c r="E24" t="s">
        <v>42</v>
      </c>
      <c r="F24" t="s">
        <v>179</v>
      </c>
      <c r="G24" t="s">
        <v>27</v>
      </c>
      <c r="L24" t="s">
        <v>85</v>
      </c>
      <c r="M24" s="6" t="s">
        <v>286</v>
      </c>
      <c r="N24" t="s">
        <v>36</v>
      </c>
      <c r="O24" s="31">
        <v>4.5815735448855488</v>
      </c>
    </row>
    <row r="25" spans="1:15" x14ac:dyDescent="0.3">
      <c r="A25" t="s">
        <v>42</v>
      </c>
      <c r="B25">
        <v>2</v>
      </c>
      <c r="E25" t="s">
        <v>42</v>
      </c>
      <c r="F25" t="s">
        <v>179</v>
      </c>
      <c r="G25" t="s">
        <v>27</v>
      </c>
      <c r="L25" t="s">
        <v>86</v>
      </c>
      <c r="M25" s="6" t="s">
        <v>286</v>
      </c>
      <c r="N25" t="s">
        <v>36</v>
      </c>
      <c r="O25" s="17">
        <v>29.528319416465337</v>
      </c>
    </row>
    <row r="26" spans="1:15" hidden="1" x14ac:dyDescent="0.3">
      <c r="A26" t="s">
        <v>42</v>
      </c>
      <c r="B26">
        <v>2</v>
      </c>
      <c r="E26" t="s">
        <v>42</v>
      </c>
      <c r="F26" t="s">
        <v>177</v>
      </c>
      <c r="G26" t="s">
        <v>27</v>
      </c>
      <c r="L26" s="6" t="s">
        <v>286</v>
      </c>
      <c r="M26" s="6" t="s">
        <v>286</v>
      </c>
      <c r="N26" t="s">
        <v>44</v>
      </c>
      <c r="O26">
        <v>-0.4</v>
      </c>
    </row>
    <row r="27" spans="1:15" hidden="1" x14ac:dyDescent="0.3">
      <c r="A27" t="s">
        <v>42</v>
      </c>
      <c r="B27">
        <v>2</v>
      </c>
      <c r="E27" t="s">
        <v>42</v>
      </c>
      <c r="F27" t="s">
        <v>177</v>
      </c>
      <c r="G27" t="s">
        <v>27</v>
      </c>
      <c r="L27" s="6" t="s">
        <v>286</v>
      </c>
      <c r="M27" s="6" t="s">
        <v>286</v>
      </c>
      <c r="N27" t="s">
        <v>43</v>
      </c>
      <c r="O27">
        <v>-0.1</v>
      </c>
    </row>
    <row r="28" spans="1:15" hidden="1" x14ac:dyDescent="0.3">
      <c r="A28" t="s">
        <v>42</v>
      </c>
      <c r="B28">
        <v>2</v>
      </c>
      <c r="E28" t="s">
        <v>42</v>
      </c>
      <c r="F28" t="s">
        <v>177</v>
      </c>
      <c r="G28" t="s">
        <v>27</v>
      </c>
      <c r="L28" s="6" t="s">
        <v>286</v>
      </c>
      <c r="M28" s="6" t="s">
        <v>286</v>
      </c>
      <c r="N28" t="s">
        <v>46</v>
      </c>
      <c r="O28">
        <v>44</v>
      </c>
    </row>
    <row r="29" spans="1:15" hidden="1" x14ac:dyDescent="0.3">
      <c r="A29" t="s">
        <v>42</v>
      </c>
      <c r="B29">
        <v>2</v>
      </c>
      <c r="E29" t="s">
        <v>42</v>
      </c>
      <c r="F29" t="s">
        <v>181</v>
      </c>
      <c r="G29" t="s">
        <v>10</v>
      </c>
      <c r="L29" t="s">
        <v>49</v>
      </c>
      <c r="M29" s="6" t="s">
        <v>286</v>
      </c>
      <c r="N29" t="s">
        <v>37</v>
      </c>
      <c r="O29">
        <v>0.47</v>
      </c>
    </row>
    <row r="30" spans="1:15" hidden="1" x14ac:dyDescent="0.3">
      <c r="A30" t="s">
        <v>42</v>
      </c>
      <c r="B30">
        <v>2</v>
      </c>
      <c r="E30" t="s">
        <v>42</v>
      </c>
      <c r="F30" t="s">
        <v>181</v>
      </c>
      <c r="G30" t="s">
        <v>12</v>
      </c>
      <c r="L30" t="s">
        <v>49</v>
      </c>
      <c r="M30" s="6" t="s">
        <v>286</v>
      </c>
      <c r="N30" t="s">
        <v>37</v>
      </c>
      <c r="O30">
        <v>0.6</v>
      </c>
    </row>
    <row r="31" spans="1:15" hidden="1" x14ac:dyDescent="0.3">
      <c r="A31" t="s">
        <v>42</v>
      </c>
      <c r="B31">
        <v>2</v>
      </c>
      <c r="E31" t="s">
        <v>42</v>
      </c>
      <c r="F31" t="s">
        <v>181</v>
      </c>
      <c r="G31" t="s">
        <v>10</v>
      </c>
      <c r="L31" t="s">
        <v>52</v>
      </c>
      <c r="M31" s="6" t="s">
        <v>286</v>
      </c>
      <c r="N31" t="s">
        <v>37</v>
      </c>
      <c r="O31">
        <v>0.47</v>
      </c>
    </row>
    <row r="32" spans="1:15" hidden="1" x14ac:dyDescent="0.3">
      <c r="A32" t="s">
        <v>42</v>
      </c>
      <c r="B32">
        <v>2</v>
      </c>
      <c r="E32" t="s">
        <v>42</v>
      </c>
      <c r="F32" t="s">
        <v>181</v>
      </c>
      <c r="G32" t="s">
        <v>12</v>
      </c>
      <c r="L32" t="s">
        <v>52</v>
      </c>
      <c r="M32" s="6" t="s">
        <v>286</v>
      </c>
      <c r="N32" t="s">
        <v>37</v>
      </c>
      <c r="O32">
        <v>0.6</v>
      </c>
    </row>
    <row r="33" spans="1:15" hidden="1" x14ac:dyDescent="0.3">
      <c r="A33" t="s">
        <v>42</v>
      </c>
      <c r="B33">
        <v>2</v>
      </c>
      <c r="E33" t="s">
        <v>42</v>
      </c>
      <c r="F33" t="s">
        <v>181</v>
      </c>
      <c r="G33" t="s">
        <v>27</v>
      </c>
      <c r="L33" t="s">
        <v>53</v>
      </c>
      <c r="M33" s="6" t="s">
        <v>286</v>
      </c>
      <c r="N33" t="s">
        <v>37</v>
      </c>
      <c r="O33">
        <v>0.8</v>
      </c>
    </row>
    <row r="34" spans="1:15" hidden="1" x14ac:dyDescent="0.3">
      <c r="A34" t="s">
        <v>42</v>
      </c>
      <c r="B34">
        <v>2</v>
      </c>
      <c r="E34" t="s">
        <v>42</v>
      </c>
      <c r="F34" t="s">
        <v>181</v>
      </c>
      <c r="G34" t="s">
        <v>27</v>
      </c>
      <c r="L34" t="s">
        <v>84</v>
      </c>
      <c r="M34" s="6" t="s">
        <v>286</v>
      </c>
      <c r="N34" t="s">
        <v>37</v>
      </c>
      <c r="O34">
        <v>0.47</v>
      </c>
    </row>
    <row r="35" spans="1:15" hidden="1" x14ac:dyDescent="0.3">
      <c r="A35" t="s">
        <v>42</v>
      </c>
      <c r="B35">
        <v>2</v>
      </c>
      <c r="E35" t="s">
        <v>42</v>
      </c>
      <c r="F35" t="s">
        <v>181</v>
      </c>
      <c r="G35" t="s">
        <v>27</v>
      </c>
      <c r="L35" t="s">
        <v>85</v>
      </c>
      <c r="M35" s="6" t="s">
        <v>286</v>
      </c>
      <c r="N35" t="s">
        <v>37</v>
      </c>
      <c r="O35">
        <v>0.47</v>
      </c>
    </row>
    <row r="36" spans="1:15" hidden="1" x14ac:dyDescent="0.3">
      <c r="A36" t="s">
        <v>42</v>
      </c>
      <c r="B36">
        <v>2</v>
      </c>
      <c r="E36" t="s">
        <v>42</v>
      </c>
      <c r="F36" t="s">
        <v>181</v>
      </c>
      <c r="G36" t="s">
        <v>27</v>
      </c>
      <c r="L36" t="s">
        <v>86</v>
      </c>
      <c r="M36" s="6" t="s">
        <v>286</v>
      </c>
      <c r="N36" t="s">
        <v>37</v>
      </c>
      <c r="O36">
        <v>0.75</v>
      </c>
    </row>
    <row r="37" spans="1:15" hidden="1" x14ac:dyDescent="0.3">
      <c r="A37" t="s">
        <v>42</v>
      </c>
      <c r="B37">
        <v>2</v>
      </c>
      <c r="E37" t="s">
        <v>42</v>
      </c>
      <c r="F37" t="s">
        <v>181</v>
      </c>
      <c r="G37" t="s">
        <v>27</v>
      </c>
      <c r="L37" t="s">
        <v>54</v>
      </c>
      <c r="M37" s="6" t="s">
        <v>286</v>
      </c>
      <c r="N37" t="s">
        <v>37</v>
      </c>
      <c r="O37">
        <v>0.75</v>
      </c>
    </row>
    <row r="38" spans="1:15" hidden="1" x14ac:dyDescent="0.3">
      <c r="A38" t="s">
        <v>42</v>
      </c>
      <c r="B38">
        <v>2</v>
      </c>
      <c r="E38" t="s">
        <v>42</v>
      </c>
      <c r="F38" t="s">
        <v>182</v>
      </c>
      <c r="G38" t="s">
        <v>10</v>
      </c>
      <c r="L38" t="s">
        <v>49</v>
      </c>
      <c r="M38" s="6" t="s">
        <v>286</v>
      </c>
      <c r="N38" t="s">
        <v>51</v>
      </c>
      <c r="O38" s="17">
        <v>37386.269730269727</v>
      </c>
    </row>
    <row r="39" spans="1:15" hidden="1" x14ac:dyDescent="0.3">
      <c r="A39" t="s">
        <v>42</v>
      </c>
      <c r="B39">
        <v>2</v>
      </c>
      <c r="E39" t="s">
        <v>42</v>
      </c>
      <c r="F39" t="s">
        <v>182</v>
      </c>
      <c r="G39" t="s">
        <v>12</v>
      </c>
      <c r="L39" t="s">
        <v>49</v>
      </c>
      <c r="M39" s="6" t="s">
        <v>286</v>
      </c>
      <c r="N39" t="s">
        <v>51</v>
      </c>
      <c r="O39" s="17">
        <v>20740.464285714286</v>
      </c>
    </row>
    <row r="40" spans="1:15" hidden="1" x14ac:dyDescent="0.3">
      <c r="A40" t="s">
        <v>42</v>
      </c>
      <c r="B40">
        <v>2</v>
      </c>
      <c r="E40" t="s">
        <v>42</v>
      </c>
      <c r="F40" t="s">
        <v>182</v>
      </c>
      <c r="G40" t="s">
        <v>10</v>
      </c>
      <c r="L40" t="s">
        <v>52</v>
      </c>
      <c r="M40" s="6" t="s">
        <v>286</v>
      </c>
      <c r="N40" t="s">
        <v>51</v>
      </c>
      <c r="O40" s="17">
        <v>32739.87924528302</v>
      </c>
    </row>
    <row r="41" spans="1:15" hidden="1" x14ac:dyDescent="0.3">
      <c r="A41" t="s">
        <v>42</v>
      </c>
      <c r="B41">
        <v>2</v>
      </c>
      <c r="E41" t="s">
        <v>42</v>
      </c>
      <c r="F41" t="s">
        <v>182</v>
      </c>
      <c r="G41" t="s">
        <v>12</v>
      </c>
      <c r="L41" t="s">
        <v>52</v>
      </c>
      <c r="M41" s="6" t="s">
        <v>286</v>
      </c>
      <c r="N41" t="s">
        <v>51</v>
      </c>
      <c r="O41" s="17">
        <v>24394.234177215189</v>
      </c>
    </row>
    <row r="42" spans="1:15" hidden="1" x14ac:dyDescent="0.3">
      <c r="A42" t="s">
        <v>42</v>
      </c>
      <c r="B42">
        <v>2</v>
      </c>
      <c r="E42" t="s">
        <v>42</v>
      </c>
      <c r="F42" t="s">
        <v>182</v>
      </c>
      <c r="G42" t="s">
        <v>27</v>
      </c>
      <c r="L42" t="s">
        <v>53</v>
      </c>
      <c r="M42" s="6" t="s">
        <v>286</v>
      </c>
      <c r="N42" t="s">
        <v>51</v>
      </c>
      <c r="O42" s="17">
        <v>25514.886075949365</v>
      </c>
    </row>
    <row r="43" spans="1:15" hidden="1" x14ac:dyDescent="0.3">
      <c r="A43" t="s">
        <v>42</v>
      </c>
      <c r="B43">
        <v>2</v>
      </c>
      <c r="E43" t="s">
        <v>42</v>
      </c>
      <c r="F43" t="s">
        <v>182</v>
      </c>
      <c r="G43" t="s">
        <v>27</v>
      </c>
      <c r="L43" t="s">
        <v>84</v>
      </c>
      <c r="M43" s="6" t="s">
        <v>286</v>
      </c>
      <c r="N43" t="s">
        <v>51</v>
      </c>
      <c r="O43" s="17">
        <v>64244.833333333336</v>
      </c>
    </row>
    <row r="44" spans="1:15" hidden="1" x14ac:dyDescent="0.3">
      <c r="A44" t="s">
        <v>42</v>
      </c>
      <c r="B44">
        <v>2</v>
      </c>
      <c r="E44" t="s">
        <v>42</v>
      </c>
      <c r="F44" t="s">
        <v>182</v>
      </c>
      <c r="G44" t="s">
        <v>27</v>
      </c>
      <c r="L44" t="s">
        <v>85</v>
      </c>
      <c r="M44" s="6" t="s">
        <v>286</v>
      </c>
      <c r="N44" t="s">
        <v>51</v>
      </c>
      <c r="O44" s="17">
        <v>72732.453181960213</v>
      </c>
    </row>
    <row r="45" spans="1:15" hidden="1" x14ac:dyDescent="0.3">
      <c r="A45" t="s">
        <v>42</v>
      </c>
      <c r="B45">
        <v>2</v>
      </c>
      <c r="E45" t="s">
        <v>42</v>
      </c>
      <c r="F45" t="s">
        <v>182</v>
      </c>
      <c r="G45" t="s">
        <v>27</v>
      </c>
      <c r="L45" t="s">
        <v>86</v>
      </c>
      <c r="M45" s="6" t="s">
        <v>286</v>
      </c>
      <c r="N45" t="s">
        <v>51</v>
      </c>
      <c r="O45" s="17">
        <v>24806.020202020201</v>
      </c>
    </row>
    <row r="46" spans="1:15" hidden="1" x14ac:dyDescent="0.3">
      <c r="A46" t="s">
        <v>42</v>
      </c>
      <c r="B46">
        <v>2</v>
      </c>
      <c r="E46" t="s">
        <v>42</v>
      </c>
      <c r="F46" t="s">
        <v>177</v>
      </c>
      <c r="G46" t="s">
        <v>27</v>
      </c>
      <c r="L46" s="6" t="s">
        <v>286</v>
      </c>
      <c r="M46" s="6" t="s">
        <v>286</v>
      </c>
      <c r="N46" t="s">
        <v>47</v>
      </c>
      <c r="O46">
        <v>0.54545454545454541</v>
      </c>
    </row>
    <row r="47" spans="1:15" hidden="1" x14ac:dyDescent="0.3">
      <c r="A47" t="s">
        <v>42</v>
      </c>
      <c r="B47">
        <v>2</v>
      </c>
      <c r="E47" t="s">
        <v>42</v>
      </c>
      <c r="F47" t="s">
        <v>177</v>
      </c>
      <c r="G47" t="s">
        <v>27</v>
      </c>
      <c r="L47" s="6" t="s">
        <v>286</v>
      </c>
      <c r="M47" s="6" t="s">
        <v>286</v>
      </c>
      <c r="N47" t="s">
        <v>45</v>
      </c>
      <c r="O47">
        <v>2</v>
      </c>
    </row>
    <row r="48" spans="1:15" x14ac:dyDescent="0.3">
      <c r="A48" t="s">
        <v>42</v>
      </c>
      <c r="B48">
        <v>2</v>
      </c>
      <c r="E48" t="s">
        <v>42</v>
      </c>
      <c r="F48" t="s">
        <v>178</v>
      </c>
      <c r="G48" t="s">
        <v>27</v>
      </c>
      <c r="L48" t="s">
        <v>49</v>
      </c>
      <c r="M48" t="s">
        <v>55</v>
      </c>
      <c r="N48" t="s">
        <v>56</v>
      </c>
      <c r="O48" s="38">
        <v>4.9280000000000008</v>
      </c>
    </row>
    <row r="49" spans="1:15" x14ac:dyDescent="0.3">
      <c r="A49" t="s">
        <v>42</v>
      </c>
      <c r="B49">
        <v>2</v>
      </c>
      <c r="E49" t="s">
        <v>42</v>
      </c>
      <c r="F49" t="s">
        <v>178</v>
      </c>
      <c r="G49" t="s">
        <v>27</v>
      </c>
      <c r="L49" t="s">
        <v>49</v>
      </c>
      <c r="M49" t="s">
        <v>58</v>
      </c>
      <c r="N49" t="s">
        <v>56</v>
      </c>
      <c r="O49">
        <v>4.4352</v>
      </c>
    </row>
    <row r="50" spans="1:15" x14ac:dyDescent="0.3">
      <c r="A50" t="s">
        <v>42</v>
      </c>
      <c r="B50">
        <v>2</v>
      </c>
      <c r="E50" t="s">
        <v>42</v>
      </c>
      <c r="F50" t="s">
        <v>178</v>
      </c>
      <c r="G50" t="s">
        <v>27</v>
      </c>
      <c r="L50" t="s">
        <v>49</v>
      </c>
      <c r="M50" t="s">
        <v>59</v>
      </c>
      <c r="N50" t="s">
        <v>56</v>
      </c>
      <c r="O50">
        <v>17</v>
      </c>
    </row>
    <row r="51" spans="1:15" x14ac:dyDescent="0.3">
      <c r="A51" t="s">
        <v>42</v>
      </c>
      <c r="B51">
        <v>2</v>
      </c>
      <c r="E51" t="s">
        <v>42</v>
      </c>
      <c r="F51" t="s">
        <v>178</v>
      </c>
      <c r="G51" t="s">
        <v>27</v>
      </c>
      <c r="L51" t="s">
        <v>52</v>
      </c>
      <c r="M51" t="s">
        <v>60</v>
      </c>
      <c r="N51" t="s">
        <v>56</v>
      </c>
      <c r="O51">
        <v>7.8398072040762292</v>
      </c>
    </row>
    <row r="52" spans="1:15" x14ac:dyDescent="0.3">
      <c r="A52" t="s">
        <v>42</v>
      </c>
      <c r="B52">
        <v>2</v>
      </c>
      <c r="E52" t="s">
        <v>42</v>
      </c>
      <c r="F52" t="s">
        <v>178</v>
      </c>
      <c r="G52" t="s">
        <v>27</v>
      </c>
      <c r="L52" t="s">
        <v>52</v>
      </c>
      <c r="M52" t="s">
        <v>58</v>
      </c>
      <c r="N52" t="s">
        <v>56</v>
      </c>
      <c r="O52">
        <v>7.0558264836686062</v>
      </c>
    </row>
    <row r="53" spans="1:15" x14ac:dyDescent="0.3">
      <c r="A53" t="s">
        <v>42</v>
      </c>
      <c r="B53">
        <v>2</v>
      </c>
      <c r="E53" t="s">
        <v>42</v>
      </c>
      <c r="F53" t="s">
        <v>178</v>
      </c>
      <c r="G53" t="s">
        <v>27</v>
      </c>
      <c r="L53" t="s">
        <v>52</v>
      </c>
      <c r="M53" t="s">
        <v>59</v>
      </c>
      <c r="N53" t="s">
        <v>56</v>
      </c>
      <c r="O53">
        <v>30</v>
      </c>
    </row>
    <row r="54" spans="1:15" x14ac:dyDescent="0.3">
      <c r="A54" t="s">
        <v>42</v>
      </c>
      <c r="B54">
        <v>2</v>
      </c>
      <c r="E54" t="s">
        <v>42</v>
      </c>
      <c r="F54" t="s">
        <v>178</v>
      </c>
      <c r="G54" t="s">
        <v>27</v>
      </c>
      <c r="L54" t="s">
        <v>53</v>
      </c>
      <c r="M54" t="s">
        <v>55</v>
      </c>
      <c r="N54" t="s">
        <v>56</v>
      </c>
      <c r="O54">
        <v>7.5</v>
      </c>
    </row>
    <row r="55" spans="1:15" x14ac:dyDescent="0.3">
      <c r="A55" t="s">
        <v>42</v>
      </c>
      <c r="B55">
        <v>2</v>
      </c>
      <c r="E55" t="s">
        <v>42</v>
      </c>
      <c r="F55" t="s">
        <v>178</v>
      </c>
      <c r="G55" t="s">
        <v>27</v>
      </c>
      <c r="L55" t="s">
        <v>53</v>
      </c>
      <c r="M55" t="s">
        <v>58</v>
      </c>
      <c r="N55" t="s">
        <v>56</v>
      </c>
      <c r="O55">
        <v>6.75</v>
      </c>
    </row>
    <row r="56" spans="1:15" x14ac:dyDescent="0.3">
      <c r="A56" t="s">
        <v>42</v>
      </c>
      <c r="B56">
        <v>2</v>
      </c>
      <c r="E56" t="s">
        <v>42</v>
      </c>
      <c r="F56" t="s">
        <v>178</v>
      </c>
      <c r="G56" t="s">
        <v>27</v>
      </c>
      <c r="L56" t="s">
        <v>53</v>
      </c>
      <c r="M56" t="s">
        <v>59</v>
      </c>
      <c r="N56" t="s">
        <v>56</v>
      </c>
      <c r="O56">
        <v>17</v>
      </c>
    </row>
    <row r="57" spans="1:15" hidden="1" x14ac:dyDescent="0.3">
      <c r="A57" t="s">
        <v>42</v>
      </c>
      <c r="B57">
        <v>2</v>
      </c>
      <c r="E57" t="s">
        <v>42</v>
      </c>
      <c r="F57" t="s">
        <v>177</v>
      </c>
      <c r="G57" t="s">
        <v>27</v>
      </c>
      <c r="L57" s="6" t="s">
        <v>286</v>
      </c>
      <c r="M57" s="6" t="s">
        <v>286</v>
      </c>
      <c r="N57" t="s">
        <v>48</v>
      </c>
      <c r="O57">
        <v>250</v>
      </c>
    </row>
    <row r="58" spans="1:15" hidden="1" x14ac:dyDescent="0.3">
      <c r="A58" t="s">
        <v>42</v>
      </c>
      <c r="B58">
        <v>2</v>
      </c>
      <c r="E58" t="s">
        <v>42</v>
      </c>
      <c r="F58" t="s">
        <v>467</v>
      </c>
      <c r="G58" t="s">
        <v>27</v>
      </c>
      <c r="L58" s="6" t="s">
        <v>286</v>
      </c>
      <c r="M58" s="6" t="s">
        <v>286</v>
      </c>
      <c r="N58" t="s">
        <v>468</v>
      </c>
      <c r="O58">
        <v>6.03</v>
      </c>
    </row>
    <row r="59" spans="1:15" hidden="1" x14ac:dyDescent="0.3">
      <c r="A59" t="s">
        <v>38</v>
      </c>
      <c r="B59">
        <v>7</v>
      </c>
      <c r="E59" t="s">
        <v>149</v>
      </c>
      <c r="I59" t="s">
        <v>257</v>
      </c>
      <c r="N59" t="s">
        <v>41</v>
      </c>
      <c r="O59">
        <v>250</v>
      </c>
    </row>
    <row r="60" spans="1:15" hidden="1" x14ac:dyDescent="0.3">
      <c r="A60" t="s">
        <v>38</v>
      </c>
      <c r="B60">
        <v>7</v>
      </c>
      <c r="E60" t="s">
        <v>149</v>
      </c>
      <c r="I60" t="s">
        <v>257</v>
      </c>
      <c r="N60" t="s">
        <v>39</v>
      </c>
      <c r="O60">
        <v>0.05</v>
      </c>
    </row>
    <row r="61" spans="1:15" hidden="1" x14ac:dyDescent="0.3">
      <c r="A61" t="s">
        <v>38</v>
      </c>
      <c r="B61">
        <v>7</v>
      </c>
      <c r="E61" t="s">
        <v>149</v>
      </c>
      <c r="I61" t="s">
        <v>257</v>
      </c>
      <c r="N61" t="s">
        <v>40</v>
      </c>
      <c r="O61">
        <v>12.7</v>
      </c>
    </row>
    <row r="62" spans="1:15" hidden="1" x14ac:dyDescent="0.3">
      <c r="A62" t="s">
        <v>32</v>
      </c>
      <c r="B62">
        <v>8</v>
      </c>
      <c r="E62" t="s">
        <v>32</v>
      </c>
      <c r="I62" t="s">
        <v>144</v>
      </c>
      <c r="N62" t="s">
        <v>36</v>
      </c>
      <c r="O62">
        <v>9.3000000000000007</v>
      </c>
    </row>
    <row r="63" spans="1:15" hidden="1" x14ac:dyDescent="0.3">
      <c r="A63" t="s">
        <v>32</v>
      </c>
      <c r="B63">
        <v>8</v>
      </c>
      <c r="E63" t="s">
        <v>32</v>
      </c>
      <c r="I63" t="s">
        <v>144</v>
      </c>
      <c r="N63" t="s">
        <v>35</v>
      </c>
      <c r="O63">
        <v>5.74</v>
      </c>
    </row>
    <row r="64" spans="1:15" hidden="1" x14ac:dyDescent="0.3">
      <c r="A64" t="s">
        <v>32</v>
      </c>
      <c r="B64">
        <v>8</v>
      </c>
      <c r="E64" t="s">
        <v>32</v>
      </c>
      <c r="I64" t="s">
        <v>144</v>
      </c>
      <c r="N64" t="s">
        <v>33</v>
      </c>
      <c r="O64">
        <v>1500</v>
      </c>
    </row>
    <row r="65" spans="1:15" hidden="1" x14ac:dyDescent="0.3">
      <c r="A65" t="s">
        <v>32</v>
      </c>
      <c r="B65">
        <v>8</v>
      </c>
      <c r="E65" t="s">
        <v>32</v>
      </c>
      <c r="I65" t="s">
        <v>144</v>
      </c>
      <c r="N65" t="s">
        <v>37</v>
      </c>
      <c r="O65">
        <v>0.27700000000000002</v>
      </c>
    </row>
    <row r="66" spans="1:15" hidden="1" x14ac:dyDescent="0.3">
      <c r="A66" t="s">
        <v>32</v>
      </c>
      <c r="B66">
        <v>8</v>
      </c>
      <c r="E66" t="s">
        <v>32</v>
      </c>
      <c r="I66" t="s">
        <v>144</v>
      </c>
      <c r="N66" t="s">
        <v>34</v>
      </c>
      <c r="O66">
        <v>0.5</v>
      </c>
    </row>
    <row r="67" spans="1:15" hidden="1" x14ac:dyDescent="0.3">
      <c r="A67" t="s">
        <v>22</v>
      </c>
      <c r="B67">
        <v>9</v>
      </c>
      <c r="E67" t="s">
        <v>158</v>
      </c>
      <c r="G67" t="s">
        <v>10</v>
      </c>
      <c r="K67" t="s">
        <v>23</v>
      </c>
      <c r="N67" t="s">
        <v>24</v>
      </c>
      <c r="O67" s="17">
        <v>25681.662527925408</v>
      </c>
    </row>
    <row r="68" spans="1:15" hidden="1" x14ac:dyDescent="0.3">
      <c r="A68" t="s">
        <v>22</v>
      </c>
      <c r="B68">
        <v>9</v>
      </c>
      <c r="E68" t="s">
        <v>158</v>
      </c>
      <c r="G68" t="s">
        <v>12</v>
      </c>
      <c r="K68" t="s">
        <v>23</v>
      </c>
      <c r="N68" t="s">
        <v>24</v>
      </c>
      <c r="O68" s="17">
        <v>10759.807771251573</v>
      </c>
    </row>
    <row r="69" spans="1:15" hidden="1" x14ac:dyDescent="0.3">
      <c r="A69" t="s">
        <v>22</v>
      </c>
      <c r="B69">
        <v>9</v>
      </c>
      <c r="E69" t="s">
        <v>158</v>
      </c>
      <c r="G69" t="s">
        <v>10</v>
      </c>
      <c r="K69" t="s">
        <v>23</v>
      </c>
      <c r="N69" t="s">
        <v>26</v>
      </c>
      <c r="O69">
        <v>43</v>
      </c>
    </row>
    <row r="70" spans="1:15" hidden="1" x14ac:dyDescent="0.3">
      <c r="A70" t="s">
        <v>22</v>
      </c>
      <c r="B70">
        <v>9</v>
      </c>
      <c r="E70" t="s">
        <v>158</v>
      </c>
      <c r="G70" t="s">
        <v>12</v>
      </c>
      <c r="K70" t="s">
        <v>23</v>
      </c>
      <c r="N70" t="s">
        <v>26</v>
      </c>
      <c r="O70">
        <v>60</v>
      </c>
    </row>
    <row r="71" spans="1:15" hidden="1" x14ac:dyDescent="0.3">
      <c r="A71" t="s">
        <v>22</v>
      </c>
      <c r="B71">
        <v>9</v>
      </c>
      <c r="E71" t="s">
        <v>158</v>
      </c>
      <c r="G71" t="s">
        <v>10</v>
      </c>
      <c r="K71" t="s">
        <v>28</v>
      </c>
      <c r="N71" t="s">
        <v>26</v>
      </c>
      <c r="O71">
        <v>71</v>
      </c>
    </row>
    <row r="72" spans="1:15" hidden="1" x14ac:dyDescent="0.3">
      <c r="A72" t="s">
        <v>22</v>
      </c>
      <c r="B72">
        <v>9</v>
      </c>
      <c r="E72" t="s">
        <v>158</v>
      </c>
      <c r="G72" t="s">
        <v>12</v>
      </c>
      <c r="K72" t="s">
        <v>28</v>
      </c>
      <c r="N72" t="s">
        <v>26</v>
      </c>
      <c r="O72">
        <v>72</v>
      </c>
    </row>
    <row r="73" spans="1:15" hidden="1" x14ac:dyDescent="0.3">
      <c r="A73" t="s">
        <v>22</v>
      </c>
      <c r="B73">
        <v>9</v>
      </c>
      <c r="E73" t="s">
        <v>158</v>
      </c>
      <c r="G73" t="s">
        <v>27</v>
      </c>
      <c r="K73" t="s">
        <v>28</v>
      </c>
      <c r="N73" t="s">
        <v>29</v>
      </c>
      <c r="O73">
        <v>0.18</v>
      </c>
    </row>
    <row r="74" spans="1:15" hidden="1" x14ac:dyDescent="0.3">
      <c r="A74" t="s">
        <v>22</v>
      </c>
      <c r="B74">
        <v>9</v>
      </c>
      <c r="E74" t="s">
        <v>158</v>
      </c>
      <c r="G74" t="s">
        <v>27</v>
      </c>
      <c r="K74" t="s">
        <v>23</v>
      </c>
      <c r="N74" t="s">
        <v>29</v>
      </c>
      <c r="O74">
        <v>0.1</v>
      </c>
    </row>
    <row r="75" spans="1:15" hidden="1" x14ac:dyDescent="0.3">
      <c r="A75" t="s">
        <v>22</v>
      </c>
      <c r="B75">
        <v>9</v>
      </c>
      <c r="E75" t="s">
        <v>158</v>
      </c>
      <c r="G75" t="s">
        <v>27</v>
      </c>
      <c r="K75" t="s">
        <v>28</v>
      </c>
      <c r="N75" t="s">
        <v>30</v>
      </c>
      <c r="O75">
        <v>1</v>
      </c>
    </row>
    <row r="76" spans="1:15" hidden="1" x14ac:dyDescent="0.3">
      <c r="A76" t="s">
        <v>22</v>
      </c>
      <c r="B76">
        <v>9</v>
      </c>
      <c r="E76" t="s">
        <v>158</v>
      </c>
      <c r="G76" t="s">
        <v>27</v>
      </c>
      <c r="K76" t="s">
        <v>23</v>
      </c>
      <c r="N76" t="s">
        <v>30</v>
      </c>
      <c r="O76">
        <v>0.75</v>
      </c>
    </row>
    <row r="77" spans="1:15" hidden="1" x14ac:dyDescent="0.3">
      <c r="A77" t="s">
        <v>22</v>
      </c>
      <c r="B77">
        <v>9</v>
      </c>
      <c r="E77" t="s">
        <v>158</v>
      </c>
      <c r="G77" t="s">
        <v>10</v>
      </c>
      <c r="K77" t="s">
        <v>27</v>
      </c>
      <c r="N77" t="s">
        <v>31</v>
      </c>
      <c r="O77">
        <v>-0.3</v>
      </c>
    </row>
    <row r="78" spans="1:15" hidden="1" x14ac:dyDescent="0.3">
      <c r="A78" t="s">
        <v>22</v>
      </c>
      <c r="B78">
        <v>9</v>
      </c>
      <c r="E78" t="s">
        <v>158</v>
      </c>
      <c r="G78" t="s">
        <v>12</v>
      </c>
      <c r="K78" t="s">
        <v>27</v>
      </c>
      <c r="N78" t="s">
        <v>31</v>
      </c>
      <c r="O78">
        <v>-0.3</v>
      </c>
    </row>
    <row r="79" spans="1:15" hidden="1" x14ac:dyDescent="0.3">
      <c r="A79" t="s">
        <v>22</v>
      </c>
      <c r="B79">
        <v>9</v>
      </c>
      <c r="E79" t="s">
        <v>158</v>
      </c>
      <c r="G79" t="s">
        <v>10</v>
      </c>
      <c r="K79" t="s">
        <v>23</v>
      </c>
      <c r="N79" t="s">
        <v>25</v>
      </c>
      <c r="O79" s="31">
        <v>5454.1490292354583</v>
      </c>
    </row>
    <row r="80" spans="1:15" hidden="1" x14ac:dyDescent="0.3">
      <c r="A80" t="s">
        <v>22</v>
      </c>
      <c r="B80">
        <v>9</v>
      </c>
      <c r="E80" t="s">
        <v>158</v>
      </c>
      <c r="G80" t="s">
        <v>12</v>
      </c>
      <c r="K80" t="s">
        <v>23</v>
      </c>
      <c r="N80" t="s">
        <v>25</v>
      </c>
      <c r="O80" s="31">
        <v>2265.3440244453095</v>
      </c>
    </row>
    <row r="81" spans="1:15" hidden="1" x14ac:dyDescent="0.3">
      <c r="A81" t="s">
        <v>22</v>
      </c>
      <c r="B81">
        <v>9</v>
      </c>
      <c r="E81" t="s">
        <v>158</v>
      </c>
      <c r="G81" t="s">
        <v>10</v>
      </c>
      <c r="K81" t="s">
        <v>28</v>
      </c>
      <c r="N81" t="s">
        <v>25</v>
      </c>
      <c r="O81" s="31">
        <v>20213.868050000001</v>
      </c>
    </row>
    <row r="82" spans="1:15" hidden="1" x14ac:dyDescent="0.3">
      <c r="A82" t="s">
        <v>22</v>
      </c>
      <c r="B82">
        <v>9</v>
      </c>
      <c r="E82" t="s">
        <v>158</v>
      </c>
      <c r="G82" t="s">
        <v>12</v>
      </c>
      <c r="K82" t="s">
        <v>28</v>
      </c>
      <c r="N82" t="s">
        <v>25</v>
      </c>
      <c r="O82" s="31">
        <v>8617.6405996773447</v>
      </c>
    </row>
    <row r="83" spans="1:15" hidden="1" x14ac:dyDescent="0.3">
      <c r="A83" t="s">
        <v>466</v>
      </c>
      <c r="B83">
        <v>10</v>
      </c>
      <c r="E83" t="s">
        <v>466</v>
      </c>
      <c r="J83" t="s">
        <v>482</v>
      </c>
      <c r="N83" t="s">
        <v>20</v>
      </c>
      <c r="O83">
        <v>10332.716678401948</v>
      </c>
    </row>
    <row r="84" spans="1:15" hidden="1" x14ac:dyDescent="0.3">
      <c r="A84" t="s">
        <v>466</v>
      </c>
      <c r="B84">
        <v>10</v>
      </c>
      <c r="E84" t="s">
        <v>466</v>
      </c>
      <c r="J84" t="s">
        <v>480</v>
      </c>
      <c r="N84" t="s">
        <v>20</v>
      </c>
      <c r="O84">
        <v>15008.384525421716</v>
      </c>
    </row>
    <row r="85" spans="1:15" hidden="1" x14ac:dyDescent="0.3">
      <c r="A85" t="s">
        <v>466</v>
      </c>
      <c r="B85">
        <v>10</v>
      </c>
      <c r="E85" t="s">
        <v>466</v>
      </c>
      <c r="J85" t="s">
        <v>481</v>
      </c>
      <c r="N85" t="s">
        <v>20</v>
      </c>
      <c r="O85">
        <v>33694.611571910202</v>
      </c>
    </row>
    <row r="86" spans="1:15" hidden="1" x14ac:dyDescent="0.3">
      <c r="A86" t="s">
        <v>466</v>
      </c>
      <c r="B86">
        <v>10</v>
      </c>
      <c r="E86" t="s">
        <v>466</v>
      </c>
      <c r="J86" t="s">
        <v>21</v>
      </c>
      <c r="N86" t="s">
        <v>20</v>
      </c>
      <c r="O86">
        <v>12000</v>
      </c>
    </row>
    <row r="87" spans="1:15" hidden="1" x14ac:dyDescent="0.3">
      <c r="A87" t="s">
        <v>18</v>
      </c>
      <c r="B87">
        <v>11</v>
      </c>
      <c r="E87" t="s">
        <v>474</v>
      </c>
      <c r="N87" t="s">
        <v>19</v>
      </c>
      <c r="O87">
        <v>0.25</v>
      </c>
    </row>
    <row r="88" spans="1:15" hidden="1" x14ac:dyDescent="0.3">
      <c r="A88" t="s">
        <v>13</v>
      </c>
      <c r="B88">
        <v>12</v>
      </c>
      <c r="E88" t="s">
        <v>70</v>
      </c>
      <c r="H88" t="s">
        <v>14</v>
      </c>
      <c r="N88" t="s">
        <v>15</v>
      </c>
      <c r="O88">
        <v>1</v>
      </c>
    </row>
    <row r="89" spans="1:15" hidden="1" x14ac:dyDescent="0.3">
      <c r="A89" t="s">
        <v>13</v>
      </c>
      <c r="B89">
        <v>12</v>
      </c>
      <c r="E89" t="s">
        <v>70</v>
      </c>
      <c r="H89" t="s">
        <v>96</v>
      </c>
      <c r="N89" t="s">
        <v>15</v>
      </c>
      <c r="O89">
        <v>5</v>
      </c>
    </row>
    <row r="90" spans="1:15" hidden="1" x14ac:dyDescent="0.3">
      <c r="A90" t="s">
        <v>13</v>
      </c>
      <c r="B90">
        <v>12</v>
      </c>
      <c r="E90" t="s">
        <v>70</v>
      </c>
      <c r="H90" t="s">
        <v>97</v>
      </c>
      <c r="N90" t="s">
        <v>15</v>
      </c>
      <c r="O90">
        <v>5</v>
      </c>
    </row>
    <row r="91" spans="1:15" hidden="1" x14ac:dyDescent="0.3">
      <c r="A91" t="s">
        <v>13</v>
      </c>
      <c r="B91">
        <v>12</v>
      </c>
      <c r="E91" t="s">
        <v>70</v>
      </c>
      <c r="H91" t="s">
        <v>16</v>
      </c>
      <c r="N91" t="s">
        <v>15</v>
      </c>
      <c r="O91">
        <v>2</v>
      </c>
    </row>
    <row r="92" spans="1:15" hidden="1" x14ac:dyDescent="0.3">
      <c r="A92" t="s">
        <v>13</v>
      </c>
      <c r="B92">
        <v>12</v>
      </c>
      <c r="E92" t="s">
        <v>70</v>
      </c>
      <c r="H92" t="s">
        <v>17</v>
      </c>
      <c r="N92" t="s">
        <v>15</v>
      </c>
      <c r="O92">
        <v>2</v>
      </c>
    </row>
    <row r="93" spans="1:15" hidden="1" x14ac:dyDescent="0.3">
      <c r="A93" t="s">
        <v>298</v>
      </c>
      <c r="B93">
        <v>16</v>
      </c>
      <c r="E93" t="s">
        <v>298</v>
      </c>
      <c r="I93" t="s">
        <v>366</v>
      </c>
      <c r="N93" t="s">
        <v>341</v>
      </c>
      <c r="O93">
        <v>10553</v>
      </c>
    </row>
    <row r="94" spans="1:15" hidden="1" x14ac:dyDescent="0.3">
      <c r="A94" t="s">
        <v>298</v>
      </c>
      <c r="B94">
        <v>16</v>
      </c>
      <c r="E94" t="s">
        <v>298</v>
      </c>
      <c r="I94" t="s">
        <v>365</v>
      </c>
      <c r="N94" t="s">
        <v>341</v>
      </c>
      <c r="O94">
        <v>7646</v>
      </c>
    </row>
    <row r="95" spans="1:15" hidden="1" x14ac:dyDescent="0.3">
      <c r="A95" t="s">
        <v>298</v>
      </c>
      <c r="B95">
        <v>16</v>
      </c>
      <c r="E95" t="s">
        <v>298</v>
      </c>
      <c r="I95" t="s">
        <v>356</v>
      </c>
      <c r="N95" t="s">
        <v>343</v>
      </c>
      <c r="O95">
        <v>-0.22</v>
      </c>
    </row>
    <row r="96" spans="1:15" hidden="1" x14ac:dyDescent="0.3">
      <c r="A96" t="s">
        <v>298</v>
      </c>
      <c r="B96">
        <v>16</v>
      </c>
      <c r="E96" t="s">
        <v>298</v>
      </c>
      <c r="I96" t="s">
        <v>357</v>
      </c>
      <c r="N96" t="s">
        <v>343</v>
      </c>
      <c r="O96">
        <v>-7.0000000000000007E-2</v>
      </c>
    </row>
    <row r="97" spans="1:15" hidden="1" x14ac:dyDescent="0.3">
      <c r="A97" t="s">
        <v>298</v>
      </c>
      <c r="B97">
        <v>16</v>
      </c>
      <c r="E97" t="s">
        <v>298</v>
      </c>
      <c r="I97" t="s">
        <v>354</v>
      </c>
      <c r="N97" t="s">
        <v>344</v>
      </c>
      <c r="O97">
        <v>19642</v>
      </c>
    </row>
    <row r="98" spans="1:15" hidden="1" x14ac:dyDescent="0.3">
      <c r="A98" t="s">
        <v>298</v>
      </c>
      <c r="B98">
        <v>16</v>
      </c>
      <c r="E98" t="s">
        <v>298</v>
      </c>
      <c r="I98" t="s">
        <v>353</v>
      </c>
      <c r="N98" t="s">
        <v>345</v>
      </c>
      <c r="O98">
        <v>2.5</v>
      </c>
    </row>
    <row r="99" spans="1:15" hidden="1" x14ac:dyDescent="0.3">
      <c r="A99" t="s">
        <v>298</v>
      </c>
      <c r="B99">
        <v>16</v>
      </c>
      <c r="E99" t="s">
        <v>298</v>
      </c>
      <c r="I99" t="s">
        <v>364</v>
      </c>
      <c r="N99" t="s">
        <v>346</v>
      </c>
      <c r="O99">
        <v>6350</v>
      </c>
    </row>
    <row r="100" spans="1:15" hidden="1" x14ac:dyDescent="0.3">
      <c r="A100" t="s">
        <v>298</v>
      </c>
      <c r="B100">
        <v>16</v>
      </c>
      <c r="E100" t="s">
        <v>298</v>
      </c>
      <c r="I100" t="s">
        <v>363</v>
      </c>
      <c r="N100" t="s">
        <v>36</v>
      </c>
      <c r="O100">
        <v>12.7</v>
      </c>
    </row>
    <row r="101" spans="1:15" hidden="1" x14ac:dyDescent="0.3">
      <c r="A101" t="s">
        <v>298</v>
      </c>
      <c r="B101">
        <v>16</v>
      </c>
      <c r="E101" t="s">
        <v>298</v>
      </c>
      <c r="I101" t="s">
        <v>362</v>
      </c>
      <c r="N101" t="s">
        <v>41</v>
      </c>
      <c r="O101">
        <v>250</v>
      </c>
    </row>
    <row r="102" spans="1:15" hidden="1" x14ac:dyDescent="0.3">
      <c r="A102" t="s">
        <v>298</v>
      </c>
      <c r="B102">
        <v>16</v>
      </c>
      <c r="E102" t="s">
        <v>298</v>
      </c>
      <c r="I102" t="s">
        <v>358</v>
      </c>
      <c r="N102" t="s">
        <v>347</v>
      </c>
      <c r="O102">
        <v>300</v>
      </c>
    </row>
    <row r="103" spans="1:15" hidden="1" x14ac:dyDescent="0.3">
      <c r="A103" t="s">
        <v>298</v>
      </c>
      <c r="B103">
        <v>16</v>
      </c>
      <c r="E103" t="s">
        <v>298</v>
      </c>
      <c r="I103" t="s">
        <v>359</v>
      </c>
      <c r="N103" t="s">
        <v>349</v>
      </c>
      <c r="O103">
        <v>145.19999999999999</v>
      </c>
    </row>
    <row r="104" spans="1:15" hidden="1" x14ac:dyDescent="0.3">
      <c r="A104" t="s">
        <v>298</v>
      </c>
      <c r="B104">
        <v>16</v>
      </c>
      <c r="E104" t="s">
        <v>298</v>
      </c>
      <c r="I104" t="s">
        <v>361</v>
      </c>
      <c r="N104" t="s">
        <v>360</v>
      </c>
      <c r="O104">
        <v>9</v>
      </c>
    </row>
    <row r="105" spans="1:15" hidden="1" x14ac:dyDescent="0.3">
      <c r="A105" t="s">
        <v>298</v>
      </c>
      <c r="B105">
        <v>16</v>
      </c>
      <c r="E105" t="s">
        <v>298</v>
      </c>
      <c r="I105" t="s">
        <v>371</v>
      </c>
      <c r="N105" t="s">
        <v>360</v>
      </c>
      <c r="O105">
        <v>18</v>
      </c>
    </row>
    <row r="106" spans="1:15" hidden="1" x14ac:dyDescent="0.3">
      <c r="A106" t="s">
        <v>298</v>
      </c>
      <c r="B106">
        <v>16</v>
      </c>
      <c r="E106" t="s">
        <v>298</v>
      </c>
      <c r="I106" t="s">
        <v>372</v>
      </c>
      <c r="N106" t="s">
        <v>360</v>
      </c>
      <c r="O106">
        <v>25</v>
      </c>
    </row>
    <row r="107" spans="1:15" hidden="1" x14ac:dyDescent="0.3">
      <c r="A107" t="s">
        <v>298</v>
      </c>
      <c r="B107">
        <v>16</v>
      </c>
      <c r="E107" t="s">
        <v>298</v>
      </c>
      <c r="I107" t="s">
        <v>373</v>
      </c>
      <c r="N107" t="s">
        <v>360</v>
      </c>
      <c r="O107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96A9-17D3-4005-8B18-CEC2221B3E44}">
  <dimension ref="A1:E19"/>
  <sheetViews>
    <sheetView zoomScale="70" zoomScaleNormal="70" workbookViewId="0">
      <selection activeCell="F1" sqref="F1:K1048576"/>
    </sheetView>
  </sheetViews>
  <sheetFormatPr defaultRowHeight="14.4" x14ac:dyDescent="0.3"/>
  <cols>
    <col min="1" max="1" width="73.21875" customWidth="1"/>
    <col min="6" max="6" width="18.21875" bestFit="1" customWidth="1"/>
    <col min="7" max="7" width="19.33203125" bestFit="1" customWidth="1"/>
    <col min="8" max="8" width="16.44140625" bestFit="1" customWidth="1"/>
    <col min="9" max="9" width="22.33203125" bestFit="1" customWidth="1"/>
    <col min="11" max="11" width="32.88671875" bestFit="1" customWidth="1"/>
  </cols>
  <sheetData>
    <row r="1" spans="1:5" ht="15" thickBot="1" x14ac:dyDescent="0.35">
      <c r="A1" s="29" t="s">
        <v>494</v>
      </c>
      <c r="B1" s="29" t="s">
        <v>495</v>
      </c>
      <c r="C1" s="29" t="s">
        <v>496</v>
      </c>
      <c r="D1" s="29" t="s">
        <v>497</v>
      </c>
      <c r="E1" s="29" t="s">
        <v>498</v>
      </c>
    </row>
    <row r="2" spans="1:5" ht="15" thickBot="1" x14ac:dyDescent="0.35">
      <c r="A2" s="23" t="s">
        <v>489</v>
      </c>
      <c r="B2" s="24">
        <v>1</v>
      </c>
      <c r="C2" s="25" t="s">
        <v>488</v>
      </c>
      <c r="D2" s="25" t="s">
        <v>488</v>
      </c>
      <c r="E2" s="26" t="s">
        <v>488</v>
      </c>
    </row>
    <row r="3" spans="1:5" ht="15" thickBot="1" x14ac:dyDescent="0.35">
      <c r="A3" s="23" t="s">
        <v>76</v>
      </c>
      <c r="B3" s="24">
        <v>2</v>
      </c>
      <c r="C3" s="25" t="s">
        <v>488</v>
      </c>
      <c r="D3" s="25" t="s">
        <v>488</v>
      </c>
      <c r="E3" s="26" t="s">
        <v>488</v>
      </c>
    </row>
    <row r="4" spans="1:5" ht="15" thickBot="1" x14ac:dyDescent="0.35">
      <c r="A4" s="23" t="s">
        <v>80</v>
      </c>
      <c r="B4" s="24">
        <v>3</v>
      </c>
      <c r="C4" s="25" t="s">
        <v>488</v>
      </c>
      <c r="D4" s="25" t="s">
        <v>488</v>
      </c>
      <c r="E4" s="26" t="s">
        <v>488</v>
      </c>
    </row>
    <row r="5" spans="1:5" ht="15" thickBot="1" x14ac:dyDescent="0.35">
      <c r="A5" s="23" t="s">
        <v>473</v>
      </c>
      <c r="B5" s="24">
        <v>4</v>
      </c>
      <c r="C5" s="25" t="s">
        <v>488</v>
      </c>
      <c r="D5" s="25" t="s">
        <v>488</v>
      </c>
      <c r="E5" s="27"/>
    </row>
    <row r="6" spans="1:5" ht="15" thickBot="1" x14ac:dyDescent="0.35">
      <c r="A6" s="23" t="s">
        <v>128</v>
      </c>
      <c r="B6" s="24">
        <v>5</v>
      </c>
      <c r="C6" s="25" t="s">
        <v>488</v>
      </c>
      <c r="D6" s="25" t="s">
        <v>488</v>
      </c>
      <c r="E6" s="26" t="s">
        <v>488</v>
      </c>
    </row>
    <row r="7" spans="1:5" ht="15" thickBot="1" x14ac:dyDescent="0.35">
      <c r="A7" s="23" t="s">
        <v>83</v>
      </c>
      <c r="B7" s="24">
        <v>6</v>
      </c>
      <c r="C7" s="25" t="s">
        <v>488</v>
      </c>
      <c r="D7" s="25" t="s">
        <v>488</v>
      </c>
      <c r="E7" s="26" t="s">
        <v>488</v>
      </c>
    </row>
    <row r="8" spans="1:5" ht="15" thickBot="1" x14ac:dyDescent="0.35">
      <c r="A8" s="23" t="s">
        <v>149</v>
      </c>
      <c r="B8" s="24">
        <v>7</v>
      </c>
      <c r="C8" s="25" t="s">
        <v>488</v>
      </c>
      <c r="D8" s="25" t="s">
        <v>488</v>
      </c>
      <c r="E8" s="26" t="s">
        <v>488</v>
      </c>
    </row>
    <row r="9" spans="1:5" ht="15" thickBot="1" x14ac:dyDescent="0.35">
      <c r="A9" s="23" t="s">
        <v>32</v>
      </c>
      <c r="B9" s="24">
        <v>8</v>
      </c>
      <c r="C9" s="25" t="s">
        <v>488</v>
      </c>
      <c r="D9" s="25" t="s">
        <v>488</v>
      </c>
      <c r="E9" s="26" t="s">
        <v>488</v>
      </c>
    </row>
    <row r="10" spans="1:5" ht="15" thickBot="1" x14ac:dyDescent="0.35">
      <c r="A10" s="23" t="s">
        <v>492</v>
      </c>
      <c r="B10" s="24">
        <v>9</v>
      </c>
      <c r="C10" s="25" t="s">
        <v>488</v>
      </c>
      <c r="D10" s="25" t="s">
        <v>488</v>
      </c>
      <c r="E10" s="26" t="s">
        <v>488</v>
      </c>
    </row>
    <row r="11" spans="1:5" ht="15" thickBot="1" x14ac:dyDescent="0.35">
      <c r="A11" s="23" t="s">
        <v>490</v>
      </c>
      <c r="B11" s="24">
        <v>10</v>
      </c>
      <c r="C11" s="25" t="s">
        <v>488</v>
      </c>
      <c r="D11" s="25" t="s">
        <v>488</v>
      </c>
      <c r="E11" s="26" t="s">
        <v>488</v>
      </c>
    </row>
    <row r="12" spans="1:5" ht="15" thickBot="1" x14ac:dyDescent="0.35">
      <c r="A12" s="23" t="s">
        <v>491</v>
      </c>
      <c r="B12" s="24">
        <v>11</v>
      </c>
      <c r="C12" s="25" t="s">
        <v>488</v>
      </c>
      <c r="D12" s="25" t="s">
        <v>488</v>
      </c>
      <c r="E12" s="26" t="s">
        <v>488</v>
      </c>
    </row>
    <row r="13" spans="1:5" ht="15" thickBot="1" x14ac:dyDescent="0.35">
      <c r="A13" s="23" t="s">
        <v>475</v>
      </c>
      <c r="B13" s="24">
        <v>12</v>
      </c>
      <c r="C13" s="25" t="s">
        <v>488</v>
      </c>
      <c r="D13" s="25" t="s">
        <v>488</v>
      </c>
      <c r="E13" s="26" t="s">
        <v>488</v>
      </c>
    </row>
    <row r="14" spans="1:5" ht="15" thickBot="1" x14ac:dyDescent="0.35">
      <c r="A14" s="23" t="s">
        <v>123</v>
      </c>
      <c r="B14" s="24">
        <v>13</v>
      </c>
      <c r="C14" s="25" t="s">
        <v>488</v>
      </c>
      <c r="D14" s="25" t="s">
        <v>488</v>
      </c>
      <c r="E14" s="26" t="s">
        <v>488</v>
      </c>
    </row>
    <row r="15" spans="1:5" ht="15" thickBot="1" x14ac:dyDescent="0.35">
      <c r="A15" s="23" t="s">
        <v>91</v>
      </c>
      <c r="B15" s="24">
        <v>14</v>
      </c>
      <c r="C15" s="25" t="s">
        <v>488</v>
      </c>
      <c r="D15" s="25" t="s">
        <v>488</v>
      </c>
      <c r="E15" s="26" t="s">
        <v>488</v>
      </c>
    </row>
    <row r="16" spans="1:5" ht="15" thickBot="1" x14ac:dyDescent="0.35">
      <c r="A16" s="23" t="s">
        <v>307</v>
      </c>
      <c r="B16" s="24">
        <v>15</v>
      </c>
      <c r="C16" s="25" t="s">
        <v>488</v>
      </c>
      <c r="D16" s="25" t="s">
        <v>488</v>
      </c>
      <c r="E16" s="26" t="s">
        <v>488</v>
      </c>
    </row>
    <row r="17" spans="1:5" ht="15" thickBot="1" x14ac:dyDescent="0.35">
      <c r="A17" s="23" t="s">
        <v>298</v>
      </c>
      <c r="B17" s="24">
        <v>16</v>
      </c>
      <c r="C17" s="28"/>
      <c r="D17" s="25" t="s">
        <v>488</v>
      </c>
      <c r="E17" s="27" t="s">
        <v>488</v>
      </c>
    </row>
    <row r="18" spans="1:5" ht="15" thickBot="1" x14ac:dyDescent="0.35">
      <c r="A18" s="23" t="s">
        <v>297</v>
      </c>
      <c r="B18" s="24">
        <v>17</v>
      </c>
      <c r="C18" s="28"/>
      <c r="D18" s="25" t="s">
        <v>488</v>
      </c>
      <c r="E18" s="27"/>
    </row>
    <row r="19" spans="1:5" ht="15" thickBot="1" x14ac:dyDescent="0.35">
      <c r="A19" s="23" t="s">
        <v>198</v>
      </c>
      <c r="B19" s="24">
        <v>18</v>
      </c>
      <c r="C19" s="28"/>
      <c r="D19" s="28"/>
      <c r="E19" s="26" t="s">
        <v>488</v>
      </c>
    </row>
  </sheetData>
  <sortState xmlns:xlrd2="http://schemas.microsoft.com/office/spreadsheetml/2017/richdata2" ref="A2:E19">
    <sortCondition ref="B2:B1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5192-BEC4-4E57-A63B-DB8EFE5491F2}">
  <sheetPr>
    <tabColor theme="4" tint="0.79998168889431442"/>
  </sheetPr>
  <dimension ref="A1:E17"/>
  <sheetViews>
    <sheetView workbookViewId="0">
      <selection activeCell="A18" sqref="A18"/>
    </sheetView>
  </sheetViews>
  <sheetFormatPr defaultRowHeight="14.4" x14ac:dyDescent="0.3"/>
  <cols>
    <col min="2" max="2" width="34" customWidth="1"/>
    <col min="3" max="3" width="21.77734375" customWidth="1"/>
    <col min="4" max="4" width="12.5546875" customWidth="1"/>
    <col min="5" max="5" width="9.109375" bestFit="1" customWidth="1"/>
  </cols>
  <sheetData>
    <row r="1" spans="1:5" x14ac:dyDescent="0.3">
      <c r="A1" t="s">
        <v>487</v>
      </c>
      <c r="B1" t="s">
        <v>331</v>
      </c>
      <c r="C1" t="s">
        <v>332</v>
      </c>
      <c r="D1" t="s">
        <v>333</v>
      </c>
      <c r="E1" t="s">
        <v>300</v>
      </c>
    </row>
    <row r="2" spans="1:5" x14ac:dyDescent="0.3">
      <c r="A2">
        <v>1</v>
      </c>
      <c r="B2" t="s">
        <v>127</v>
      </c>
      <c r="C2" t="s">
        <v>320</v>
      </c>
      <c r="D2">
        <v>0</v>
      </c>
      <c r="E2">
        <v>0</v>
      </c>
    </row>
    <row r="3" spans="1:5" x14ac:dyDescent="0.3">
      <c r="A3">
        <v>2</v>
      </c>
      <c r="B3" t="s">
        <v>76</v>
      </c>
      <c r="C3" t="s">
        <v>321</v>
      </c>
      <c r="D3">
        <v>0</v>
      </c>
      <c r="E3">
        <v>0</v>
      </c>
    </row>
    <row r="4" spans="1:5" s="4" customFormat="1" x14ac:dyDescent="0.3">
      <c r="A4" s="4">
        <v>3</v>
      </c>
      <c r="B4" s="4" t="s">
        <v>80</v>
      </c>
      <c r="C4" s="4" t="s">
        <v>476</v>
      </c>
      <c r="D4" s="4">
        <v>0</v>
      </c>
      <c r="E4" s="4">
        <v>0</v>
      </c>
    </row>
    <row r="5" spans="1:5" x14ac:dyDescent="0.3">
      <c r="A5">
        <v>4</v>
      </c>
      <c r="B5" t="s">
        <v>473</v>
      </c>
      <c r="C5" t="s">
        <v>322</v>
      </c>
      <c r="D5">
        <v>0</v>
      </c>
      <c r="E5">
        <v>0</v>
      </c>
    </row>
    <row r="6" spans="1:5" s="4" customFormat="1" x14ac:dyDescent="0.3">
      <c r="A6">
        <v>5</v>
      </c>
      <c r="B6" s="4" t="s">
        <v>125</v>
      </c>
      <c r="C6" s="4" t="s">
        <v>477</v>
      </c>
      <c r="D6" s="4">
        <v>0</v>
      </c>
      <c r="E6" s="4">
        <v>0</v>
      </c>
    </row>
    <row r="7" spans="1:5" s="4" customFormat="1" x14ac:dyDescent="0.3">
      <c r="A7" s="4">
        <v>6</v>
      </c>
      <c r="B7" s="4" t="s">
        <v>83</v>
      </c>
      <c r="C7" s="4" t="s">
        <v>478</v>
      </c>
      <c r="D7" s="4">
        <v>0</v>
      </c>
      <c r="E7" s="4">
        <v>0</v>
      </c>
    </row>
    <row r="8" spans="1:5" x14ac:dyDescent="0.3">
      <c r="A8">
        <v>7</v>
      </c>
      <c r="B8" t="s">
        <v>132</v>
      </c>
      <c r="C8" t="s">
        <v>323</v>
      </c>
      <c r="D8">
        <v>0</v>
      </c>
      <c r="E8">
        <v>0</v>
      </c>
    </row>
    <row r="9" spans="1:5" x14ac:dyDescent="0.3">
      <c r="A9">
        <v>8</v>
      </c>
      <c r="B9" t="s">
        <v>32</v>
      </c>
      <c r="C9" t="s">
        <v>324</v>
      </c>
      <c r="D9">
        <v>0</v>
      </c>
      <c r="E9">
        <v>0</v>
      </c>
    </row>
    <row r="10" spans="1:5" x14ac:dyDescent="0.3">
      <c r="A10" s="4">
        <v>9</v>
      </c>
      <c r="B10" t="s">
        <v>74</v>
      </c>
      <c r="C10" t="s">
        <v>325</v>
      </c>
      <c r="D10">
        <v>0</v>
      </c>
      <c r="E10">
        <v>0</v>
      </c>
    </row>
    <row r="11" spans="1:5" x14ac:dyDescent="0.3">
      <c r="A11">
        <v>10</v>
      </c>
      <c r="B11" t="s">
        <v>466</v>
      </c>
      <c r="C11" t="s">
        <v>368</v>
      </c>
      <c r="D11">
        <v>0</v>
      </c>
      <c r="E11">
        <v>0</v>
      </c>
    </row>
    <row r="12" spans="1:5" x14ac:dyDescent="0.3">
      <c r="A12">
        <v>11</v>
      </c>
      <c r="B12" t="s">
        <v>474</v>
      </c>
      <c r="C12" t="s">
        <v>326</v>
      </c>
      <c r="D12">
        <v>0</v>
      </c>
      <c r="E12">
        <v>0</v>
      </c>
    </row>
    <row r="13" spans="1:5" x14ac:dyDescent="0.3">
      <c r="A13" s="4">
        <v>12</v>
      </c>
      <c r="B13" t="s">
        <v>475</v>
      </c>
      <c r="C13" t="s">
        <v>327</v>
      </c>
      <c r="D13">
        <v>0</v>
      </c>
      <c r="E13">
        <v>0</v>
      </c>
    </row>
    <row r="14" spans="1:5" x14ac:dyDescent="0.3">
      <c r="A14">
        <v>13</v>
      </c>
      <c r="B14" t="s">
        <v>123</v>
      </c>
      <c r="C14" t="s">
        <v>328</v>
      </c>
      <c r="D14">
        <v>0</v>
      </c>
      <c r="E14">
        <v>0</v>
      </c>
    </row>
    <row r="15" spans="1:5" x14ac:dyDescent="0.3">
      <c r="A15">
        <v>14</v>
      </c>
      <c r="B15" t="s">
        <v>91</v>
      </c>
      <c r="C15" t="s">
        <v>329</v>
      </c>
      <c r="D15">
        <v>0</v>
      </c>
      <c r="E15">
        <v>0</v>
      </c>
    </row>
    <row r="16" spans="1:5" x14ac:dyDescent="0.3">
      <c r="A16" s="4">
        <v>15</v>
      </c>
      <c r="B16" t="s">
        <v>307</v>
      </c>
      <c r="C16" t="s">
        <v>479</v>
      </c>
      <c r="D16">
        <v>0</v>
      </c>
      <c r="E16">
        <v>0</v>
      </c>
    </row>
    <row r="17" spans="2:5" x14ac:dyDescent="0.3">
      <c r="B17" t="s">
        <v>319</v>
      </c>
      <c r="C17" t="s">
        <v>330</v>
      </c>
      <c r="D17">
        <v>0</v>
      </c>
      <c r="E1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1CF6-6719-4CAA-B81E-F67591BFA8FC}">
  <dimension ref="A1:D15"/>
  <sheetViews>
    <sheetView workbookViewId="0">
      <selection activeCell="J31" sqref="J31"/>
    </sheetView>
  </sheetViews>
  <sheetFormatPr defaultRowHeight="14.4" x14ac:dyDescent="0.3"/>
  <cols>
    <col min="1" max="1" width="61.33203125" customWidth="1"/>
    <col min="2" max="2" width="16.77734375" customWidth="1"/>
  </cols>
  <sheetData>
    <row r="1" spans="1:4" x14ac:dyDescent="0.3">
      <c r="A1" t="s">
        <v>446</v>
      </c>
      <c r="B1" t="s">
        <v>447</v>
      </c>
      <c r="C1" t="s">
        <v>448</v>
      </c>
      <c r="D1" t="s">
        <v>449</v>
      </c>
    </row>
    <row r="2" spans="1:4" x14ac:dyDescent="0.3">
      <c r="A2" t="s">
        <v>8</v>
      </c>
      <c r="B2" t="s">
        <v>450</v>
      </c>
      <c r="C2" t="b">
        <v>1</v>
      </c>
      <c r="D2" t="b">
        <v>0</v>
      </c>
    </row>
    <row r="3" spans="1:4" x14ac:dyDescent="0.3">
      <c r="A3" t="s">
        <v>317</v>
      </c>
      <c r="B3" t="s">
        <v>451</v>
      </c>
      <c r="C3" t="b">
        <v>1</v>
      </c>
      <c r="D3" t="b">
        <v>0</v>
      </c>
    </row>
    <row r="4" spans="1:4" x14ac:dyDescent="0.3">
      <c r="A4" t="s">
        <v>318</v>
      </c>
      <c r="B4" t="s">
        <v>499</v>
      </c>
      <c r="C4" t="b">
        <v>1</v>
      </c>
      <c r="D4" t="b">
        <v>0</v>
      </c>
    </row>
    <row r="5" spans="1:4" x14ac:dyDescent="0.3">
      <c r="A5" t="s">
        <v>132</v>
      </c>
      <c r="B5" t="s">
        <v>453</v>
      </c>
      <c r="C5" t="b">
        <v>1</v>
      </c>
      <c r="D5" t="b">
        <v>0</v>
      </c>
    </row>
    <row r="6" spans="1:4" x14ac:dyDescent="0.3">
      <c r="A6" t="s">
        <v>32</v>
      </c>
      <c r="B6" t="s">
        <v>452</v>
      </c>
      <c r="C6" t="b">
        <v>1</v>
      </c>
      <c r="D6" t="b">
        <v>0</v>
      </c>
    </row>
    <row r="7" spans="1:4" x14ac:dyDescent="0.3">
      <c r="A7" t="s">
        <v>74</v>
      </c>
      <c r="B7" t="s">
        <v>460</v>
      </c>
      <c r="C7" t="b">
        <v>1</v>
      </c>
      <c r="D7" t="b">
        <v>0</v>
      </c>
    </row>
    <row r="8" spans="1:4" x14ac:dyDescent="0.3">
      <c r="A8" t="s">
        <v>455</v>
      </c>
      <c r="B8" t="s">
        <v>456</v>
      </c>
      <c r="C8" t="b">
        <v>1</v>
      </c>
      <c r="D8" t="b">
        <v>0</v>
      </c>
    </row>
    <row r="9" spans="1:4" x14ac:dyDescent="0.3">
      <c r="A9" t="s">
        <v>474</v>
      </c>
      <c r="B9" t="s">
        <v>454</v>
      </c>
      <c r="C9" t="b">
        <v>1</v>
      </c>
      <c r="D9" t="b">
        <v>0</v>
      </c>
    </row>
    <row r="10" spans="1:4" x14ac:dyDescent="0.3">
      <c r="A10" t="s">
        <v>457</v>
      </c>
      <c r="B10" t="s">
        <v>458</v>
      </c>
      <c r="C10" t="b">
        <v>1</v>
      </c>
      <c r="D10" t="b">
        <v>0</v>
      </c>
    </row>
    <row r="11" spans="1:4" x14ac:dyDescent="0.3">
      <c r="A11" t="s">
        <v>204</v>
      </c>
      <c r="B11" t="s">
        <v>459</v>
      </c>
      <c r="C11" t="b">
        <v>1</v>
      </c>
      <c r="D11" t="b">
        <v>0</v>
      </c>
    </row>
    <row r="12" spans="1:4" x14ac:dyDescent="0.3">
      <c r="A12" t="s">
        <v>91</v>
      </c>
      <c r="B12" t="s">
        <v>461</v>
      </c>
      <c r="C12" t="b">
        <v>1</v>
      </c>
      <c r="D12" t="b">
        <v>0</v>
      </c>
    </row>
    <row r="13" spans="1:4" x14ac:dyDescent="0.3">
      <c r="A13" t="s">
        <v>297</v>
      </c>
      <c r="B13" t="s">
        <v>462</v>
      </c>
      <c r="C13" t="b">
        <v>1</v>
      </c>
      <c r="D13" t="b">
        <v>0</v>
      </c>
    </row>
    <row r="14" spans="1:4" x14ac:dyDescent="0.3">
      <c r="A14" t="s">
        <v>298</v>
      </c>
      <c r="B14" t="s">
        <v>463</v>
      </c>
      <c r="C14" t="b">
        <v>1</v>
      </c>
      <c r="D14" t="b">
        <v>0</v>
      </c>
    </row>
    <row r="15" spans="1:4" x14ac:dyDescent="0.3">
      <c r="A15" t="s">
        <v>307</v>
      </c>
      <c r="B15" t="s">
        <v>464</v>
      </c>
      <c r="C15" t="b">
        <v>1</v>
      </c>
      <c r="D15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8DD4-85D7-4921-A9AD-AB6A5557C5D7}">
  <sheetPr>
    <tabColor theme="6" tint="-0.249977111117893"/>
  </sheetPr>
  <dimension ref="A1:P265"/>
  <sheetViews>
    <sheetView topLeftCell="I225" zoomScaleNormal="100" workbookViewId="0">
      <selection activeCell="S255" sqref="S255"/>
    </sheetView>
  </sheetViews>
  <sheetFormatPr defaultRowHeight="14.4" x14ac:dyDescent="0.3"/>
  <cols>
    <col min="1" max="1" width="10" customWidth="1"/>
    <col min="2" max="4" width="10.21875" customWidth="1"/>
    <col min="5" max="5" width="50.5546875" bestFit="1" customWidth="1"/>
    <col min="6" max="6" width="16.44140625" customWidth="1"/>
    <col min="7" max="7" width="11.21875" customWidth="1"/>
    <col min="8" max="8" width="12.21875" customWidth="1"/>
    <col min="9" max="9" width="12.44140625" customWidth="1"/>
    <col min="10" max="10" width="17.77734375" bestFit="1" customWidth="1"/>
    <col min="11" max="11" width="17.77734375" customWidth="1"/>
    <col min="12" max="12" width="11.44140625" customWidth="1"/>
    <col min="13" max="13" width="14" customWidth="1"/>
    <col min="14" max="14" width="10.77734375" customWidth="1"/>
    <col min="15" max="15" width="17.77734375" bestFit="1" customWidth="1"/>
  </cols>
  <sheetData>
    <row r="1" spans="1:16" x14ac:dyDescent="0.3">
      <c r="A1" t="s">
        <v>0</v>
      </c>
      <c r="B1" t="s">
        <v>138</v>
      </c>
      <c r="C1" t="s">
        <v>270</v>
      </c>
      <c r="D1" t="s">
        <v>265</v>
      </c>
      <c r="E1" t="s">
        <v>126</v>
      </c>
      <c r="F1" t="s">
        <v>89</v>
      </c>
      <c r="G1" t="s">
        <v>1</v>
      </c>
      <c r="H1" t="s">
        <v>2</v>
      </c>
      <c r="I1" t="s">
        <v>3</v>
      </c>
      <c r="J1" t="s">
        <v>4</v>
      </c>
      <c r="K1" t="s">
        <v>263</v>
      </c>
      <c r="L1" t="s">
        <v>5</v>
      </c>
      <c r="M1" t="s">
        <v>6</v>
      </c>
      <c r="N1" t="s">
        <v>7</v>
      </c>
      <c r="O1" t="s">
        <v>164</v>
      </c>
      <c r="P1" t="s">
        <v>88</v>
      </c>
    </row>
    <row r="2" spans="1:16" x14ac:dyDescent="0.3">
      <c r="A2" t="s">
        <v>223</v>
      </c>
      <c r="B2">
        <v>1</v>
      </c>
      <c r="E2" t="s">
        <v>224</v>
      </c>
      <c r="F2">
        <v>2021</v>
      </c>
      <c r="J2" t="s">
        <v>222</v>
      </c>
    </row>
    <row r="3" spans="1:16" x14ac:dyDescent="0.3">
      <c r="A3" t="s">
        <v>223</v>
      </c>
      <c r="B3">
        <v>1</v>
      </c>
      <c r="E3" t="s">
        <v>224</v>
      </c>
      <c r="F3">
        <v>2022</v>
      </c>
      <c r="J3" t="s">
        <v>222</v>
      </c>
    </row>
    <row r="4" spans="1:16" x14ac:dyDescent="0.3">
      <c r="A4" t="s">
        <v>223</v>
      </c>
      <c r="B4">
        <v>1</v>
      </c>
      <c r="E4" t="s">
        <v>224</v>
      </c>
      <c r="F4">
        <v>2023</v>
      </c>
      <c r="J4" t="s">
        <v>222</v>
      </c>
    </row>
    <row r="5" spans="1:16" x14ac:dyDescent="0.3">
      <c r="A5" t="s">
        <v>223</v>
      </c>
      <c r="B5">
        <v>1</v>
      </c>
      <c r="E5" t="s">
        <v>224</v>
      </c>
      <c r="F5">
        <v>2024</v>
      </c>
      <c r="J5" t="s">
        <v>222</v>
      </c>
    </row>
    <row r="6" spans="1:16" x14ac:dyDescent="0.3">
      <c r="A6" t="s">
        <v>223</v>
      </c>
      <c r="B6">
        <v>1</v>
      </c>
      <c r="E6" t="s">
        <v>224</v>
      </c>
      <c r="F6">
        <v>2025</v>
      </c>
      <c r="J6" t="s">
        <v>222</v>
      </c>
    </row>
    <row r="7" spans="1:16" x14ac:dyDescent="0.3">
      <c r="A7" t="s">
        <v>223</v>
      </c>
      <c r="B7">
        <v>1</v>
      </c>
      <c r="E7" t="s">
        <v>224</v>
      </c>
      <c r="F7">
        <v>2026</v>
      </c>
      <c r="J7" t="s">
        <v>222</v>
      </c>
    </row>
    <row r="8" spans="1:16" x14ac:dyDescent="0.3">
      <c r="A8" t="s">
        <v>223</v>
      </c>
      <c r="B8">
        <v>1</v>
      </c>
      <c r="E8" t="s">
        <v>224</v>
      </c>
      <c r="F8">
        <v>2027</v>
      </c>
      <c r="J8" t="s">
        <v>222</v>
      </c>
    </row>
    <row r="9" spans="1:16" x14ac:dyDescent="0.3">
      <c r="A9" t="s">
        <v>223</v>
      </c>
      <c r="B9">
        <v>1</v>
      </c>
      <c r="E9" t="s">
        <v>224</v>
      </c>
      <c r="F9">
        <v>2028</v>
      </c>
      <c r="J9" t="s">
        <v>222</v>
      </c>
    </row>
    <row r="10" spans="1:16" x14ac:dyDescent="0.3">
      <c r="A10" t="s">
        <v>223</v>
      </c>
      <c r="B10">
        <v>1</v>
      </c>
      <c r="E10" t="s">
        <v>224</v>
      </c>
      <c r="F10">
        <v>2029</v>
      </c>
      <c r="J10" t="s">
        <v>222</v>
      </c>
    </row>
    <row r="11" spans="1:16" x14ac:dyDescent="0.3">
      <c r="A11" t="s">
        <v>223</v>
      </c>
      <c r="B11">
        <v>1</v>
      </c>
      <c r="E11" t="s">
        <v>224</v>
      </c>
      <c r="F11">
        <v>2030</v>
      </c>
      <c r="J11" t="s">
        <v>222</v>
      </c>
    </row>
    <row r="12" spans="1:16" x14ac:dyDescent="0.3">
      <c r="A12" t="s">
        <v>223</v>
      </c>
      <c r="B12">
        <v>1</v>
      </c>
      <c r="E12" t="s">
        <v>224</v>
      </c>
      <c r="F12">
        <v>2031</v>
      </c>
      <c r="J12" t="s">
        <v>222</v>
      </c>
    </row>
    <row r="13" spans="1:16" x14ac:dyDescent="0.3">
      <c r="A13" t="s">
        <v>223</v>
      </c>
      <c r="B13">
        <v>1</v>
      </c>
      <c r="E13" t="s">
        <v>224</v>
      </c>
      <c r="F13">
        <v>2032</v>
      </c>
      <c r="J13" t="s">
        <v>222</v>
      </c>
    </row>
    <row r="14" spans="1:16" x14ac:dyDescent="0.3">
      <c r="A14" t="s">
        <v>223</v>
      </c>
      <c r="B14">
        <v>1</v>
      </c>
      <c r="E14" t="s">
        <v>224</v>
      </c>
      <c r="F14">
        <v>2033</v>
      </c>
      <c r="J14" t="s">
        <v>222</v>
      </c>
    </row>
    <row r="15" spans="1:16" x14ac:dyDescent="0.3">
      <c r="A15" t="s">
        <v>223</v>
      </c>
      <c r="B15">
        <v>1</v>
      </c>
      <c r="E15" t="s">
        <v>224</v>
      </c>
      <c r="F15">
        <v>2034</v>
      </c>
      <c r="J15" t="s">
        <v>222</v>
      </c>
    </row>
    <row r="16" spans="1:16" x14ac:dyDescent="0.3">
      <c r="A16" t="s">
        <v>223</v>
      </c>
      <c r="B16">
        <v>1</v>
      </c>
      <c r="E16" t="s">
        <v>224</v>
      </c>
      <c r="F16">
        <v>2035</v>
      </c>
      <c r="J16" t="s">
        <v>222</v>
      </c>
    </row>
    <row r="17" spans="1:10" x14ac:dyDescent="0.3">
      <c r="A17" t="s">
        <v>223</v>
      </c>
      <c r="B17">
        <v>1</v>
      </c>
      <c r="E17" t="s">
        <v>224</v>
      </c>
      <c r="F17">
        <v>2036</v>
      </c>
      <c r="J17" t="s">
        <v>222</v>
      </c>
    </row>
    <row r="18" spans="1:10" x14ac:dyDescent="0.3">
      <c r="A18" t="s">
        <v>223</v>
      </c>
      <c r="B18">
        <v>1</v>
      </c>
      <c r="E18" t="s">
        <v>224</v>
      </c>
      <c r="F18">
        <v>2037</v>
      </c>
      <c r="J18" t="s">
        <v>222</v>
      </c>
    </row>
    <row r="19" spans="1:10" x14ac:dyDescent="0.3">
      <c r="A19" t="s">
        <v>223</v>
      </c>
      <c r="B19">
        <v>1</v>
      </c>
      <c r="E19" t="s">
        <v>224</v>
      </c>
      <c r="F19">
        <v>2038</v>
      </c>
      <c r="J19" t="s">
        <v>222</v>
      </c>
    </row>
    <row r="20" spans="1:10" x14ac:dyDescent="0.3">
      <c r="A20" t="s">
        <v>223</v>
      </c>
      <c r="B20">
        <v>1</v>
      </c>
      <c r="E20" t="s">
        <v>224</v>
      </c>
      <c r="F20">
        <v>2039</v>
      </c>
      <c r="J20" t="s">
        <v>222</v>
      </c>
    </row>
    <row r="21" spans="1:10" x14ac:dyDescent="0.3">
      <c r="A21" t="s">
        <v>223</v>
      </c>
      <c r="B21">
        <v>1</v>
      </c>
      <c r="E21" t="s">
        <v>224</v>
      </c>
      <c r="F21">
        <v>2040</v>
      </c>
      <c r="J21" t="s">
        <v>222</v>
      </c>
    </row>
    <row r="22" spans="1:10" x14ac:dyDescent="0.3">
      <c r="A22" t="s">
        <v>223</v>
      </c>
      <c r="B22">
        <v>1</v>
      </c>
      <c r="E22" t="s">
        <v>224</v>
      </c>
      <c r="F22">
        <v>2041</v>
      </c>
      <c r="J22" t="s">
        <v>222</v>
      </c>
    </row>
    <row r="23" spans="1:10" x14ac:dyDescent="0.3">
      <c r="A23" t="s">
        <v>223</v>
      </c>
      <c r="B23">
        <v>1</v>
      </c>
      <c r="E23" t="s">
        <v>224</v>
      </c>
      <c r="F23">
        <v>2042</v>
      </c>
      <c r="J23" t="s">
        <v>222</v>
      </c>
    </row>
    <row r="24" spans="1:10" x14ac:dyDescent="0.3">
      <c r="A24" t="s">
        <v>223</v>
      </c>
      <c r="B24">
        <v>1</v>
      </c>
      <c r="E24" t="s">
        <v>224</v>
      </c>
      <c r="F24">
        <v>2043</v>
      </c>
      <c r="J24" t="s">
        <v>222</v>
      </c>
    </row>
    <row r="25" spans="1:10" x14ac:dyDescent="0.3">
      <c r="A25" t="s">
        <v>223</v>
      </c>
      <c r="B25">
        <v>1</v>
      </c>
      <c r="E25" t="s">
        <v>224</v>
      </c>
      <c r="F25">
        <v>2044</v>
      </c>
      <c r="J25" t="s">
        <v>222</v>
      </c>
    </row>
    <row r="26" spans="1:10" x14ac:dyDescent="0.3">
      <c r="A26" t="s">
        <v>223</v>
      </c>
      <c r="B26">
        <v>1</v>
      </c>
      <c r="E26" t="s">
        <v>224</v>
      </c>
      <c r="F26">
        <v>2045</v>
      </c>
      <c r="J26" t="s">
        <v>222</v>
      </c>
    </row>
    <row r="27" spans="1:10" x14ac:dyDescent="0.3">
      <c r="A27" t="s">
        <v>223</v>
      </c>
      <c r="B27">
        <v>1</v>
      </c>
      <c r="E27" t="s">
        <v>224</v>
      </c>
      <c r="F27">
        <v>2046</v>
      </c>
      <c r="J27" t="s">
        <v>222</v>
      </c>
    </row>
    <row r="28" spans="1:10" x14ac:dyDescent="0.3">
      <c r="A28" t="s">
        <v>223</v>
      </c>
      <c r="B28">
        <v>1</v>
      </c>
      <c r="E28" t="s">
        <v>224</v>
      </c>
      <c r="F28">
        <v>2047</v>
      </c>
      <c r="J28" t="s">
        <v>222</v>
      </c>
    </row>
    <row r="29" spans="1:10" x14ac:dyDescent="0.3">
      <c r="A29" t="s">
        <v>223</v>
      </c>
      <c r="B29">
        <v>1</v>
      </c>
      <c r="E29" t="s">
        <v>224</v>
      </c>
      <c r="F29">
        <v>2048</v>
      </c>
      <c r="J29" t="s">
        <v>222</v>
      </c>
    </row>
    <row r="30" spans="1:10" x14ac:dyDescent="0.3">
      <c r="A30" t="s">
        <v>223</v>
      </c>
      <c r="B30">
        <v>1</v>
      </c>
      <c r="E30" t="s">
        <v>224</v>
      </c>
      <c r="F30">
        <v>2049</v>
      </c>
      <c r="J30" t="s">
        <v>222</v>
      </c>
    </row>
    <row r="31" spans="1:10" x14ac:dyDescent="0.3">
      <c r="A31" t="s">
        <v>223</v>
      </c>
      <c r="B31">
        <v>1</v>
      </c>
      <c r="E31" t="s">
        <v>224</v>
      </c>
      <c r="F31">
        <v>2050</v>
      </c>
      <c r="J31" t="s">
        <v>222</v>
      </c>
    </row>
    <row r="32" spans="1:10" x14ac:dyDescent="0.3">
      <c r="A32" t="s">
        <v>223</v>
      </c>
      <c r="B32">
        <v>1</v>
      </c>
      <c r="E32" t="s">
        <v>224</v>
      </c>
      <c r="F32">
        <v>2021</v>
      </c>
      <c r="J32" t="s">
        <v>482</v>
      </c>
    </row>
    <row r="33" spans="1:10" x14ac:dyDescent="0.3">
      <c r="A33" t="s">
        <v>223</v>
      </c>
      <c r="B33">
        <v>1</v>
      </c>
      <c r="E33" t="s">
        <v>224</v>
      </c>
      <c r="F33">
        <v>2022</v>
      </c>
      <c r="J33" t="s">
        <v>482</v>
      </c>
    </row>
    <row r="34" spans="1:10" x14ac:dyDescent="0.3">
      <c r="A34" t="s">
        <v>223</v>
      </c>
      <c r="B34">
        <v>1</v>
      </c>
      <c r="E34" t="s">
        <v>224</v>
      </c>
      <c r="F34">
        <v>2023</v>
      </c>
      <c r="J34" t="s">
        <v>482</v>
      </c>
    </row>
    <row r="35" spans="1:10" x14ac:dyDescent="0.3">
      <c r="A35" t="s">
        <v>223</v>
      </c>
      <c r="B35">
        <v>1</v>
      </c>
      <c r="E35" t="s">
        <v>224</v>
      </c>
      <c r="F35">
        <v>2024</v>
      </c>
      <c r="J35" t="s">
        <v>482</v>
      </c>
    </row>
    <row r="36" spans="1:10" x14ac:dyDescent="0.3">
      <c r="A36" t="s">
        <v>223</v>
      </c>
      <c r="B36">
        <v>1</v>
      </c>
      <c r="E36" t="s">
        <v>224</v>
      </c>
      <c r="F36">
        <v>2025</v>
      </c>
      <c r="J36" t="s">
        <v>482</v>
      </c>
    </row>
    <row r="37" spans="1:10" x14ac:dyDescent="0.3">
      <c r="A37" t="s">
        <v>223</v>
      </c>
      <c r="B37">
        <v>1</v>
      </c>
      <c r="E37" t="s">
        <v>224</v>
      </c>
      <c r="F37">
        <v>2026</v>
      </c>
      <c r="J37" t="s">
        <v>482</v>
      </c>
    </row>
    <row r="38" spans="1:10" x14ac:dyDescent="0.3">
      <c r="A38" t="s">
        <v>223</v>
      </c>
      <c r="B38">
        <v>1</v>
      </c>
      <c r="E38" t="s">
        <v>224</v>
      </c>
      <c r="F38">
        <v>2027</v>
      </c>
      <c r="J38" t="s">
        <v>482</v>
      </c>
    </row>
    <row r="39" spans="1:10" x14ac:dyDescent="0.3">
      <c r="A39" t="s">
        <v>223</v>
      </c>
      <c r="B39">
        <v>1</v>
      </c>
      <c r="E39" t="s">
        <v>224</v>
      </c>
      <c r="F39">
        <v>2028</v>
      </c>
      <c r="J39" t="s">
        <v>482</v>
      </c>
    </row>
    <row r="40" spans="1:10" x14ac:dyDescent="0.3">
      <c r="A40" t="s">
        <v>223</v>
      </c>
      <c r="B40">
        <v>1</v>
      </c>
      <c r="E40" t="s">
        <v>224</v>
      </c>
      <c r="F40">
        <v>2029</v>
      </c>
      <c r="J40" t="s">
        <v>482</v>
      </c>
    </row>
    <row r="41" spans="1:10" x14ac:dyDescent="0.3">
      <c r="A41" t="s">
        <v>223</v>
      </c>
      <c r="B41">
        <v>1</v>
      </c>
      <c r="E41" t="s">
        <v>224</v>
      </c>
      <c r="F41">
        <v>2030</v>
      </c>
      <c r="J41" t="s">
        <v>482</v>
      </c>
    </row>
    <row r="42" spans="1:10" x14ac:dyDescent="0.3">
      <c r="A42" t="s">
        <v>223</v>
      </c>
      <c r="B42">
        <v>1</v>
      </c>
      <c r="E42" t="s">
        <v>224</v>
      </c>
      <c r="F42">
        <v>2031</v>
      </c>
      <c r="J42" t="s">
        <v>482</v>
      </c>
    </row>
    <row r="43" spans="1:10" x14ac:dyDescent="0.3">
      <c r="A43" t="s">
        <v>223</v>
      </c>
      <c r="B43">
        <v>1</v>
      </c>
      <c r="E43" t="s">
        <v>224</v>
      </c>
      <c r="F43">
        <v>2032</v>
      </c>
      <c r="J43" t="s">
        <v>482</v>
      </c>
    </row>
    <row r="44" spans="1:10" x14ac:dyDescent="0.3">
      <c r="A44" t="s">
        <v>223</v>
      </c>
      <c r="B44">
        <v>1</v>
      </c>
      <c r="E44" t="s">
        <v>224</v>
      </c>
      <c r="F44">
        <v>2033</v>
      </c>
      <c r="J44" t="s">
        <v>482</v>
      </c>
    </row>
    <row r="45" spans="1:10" x14ac:dyDescent="0.3">
      <c r="A45" t="s">
        <v>223</v>
      </c>
      <c r="B45">
        <v>1</v>
      </c>
      <c r="E45" t="s">
        <v>224</v>
      </c>
      <c r="F45">
        <v>2034</v>
      </c>
      <c r="J45" t="s">
        <v>482</v>
      </c>
    </row>
    <row r="46" spans="1:10" x14ac:dyDescent="0.3">
      <c r="A46" t="s">
        <v>223</v>
      </c>
      <c r="B46">
        <v>1</v>
      </c>
      <c r="E46" t="s">
        <v>224</v>
      </c>
      <c r="F46">
        <v>2035</v>
      </c>
      <c r="J46" t="s">
        <v>482</v>
      </c>
    </row>
    <row r="47" spans="1:10" x14ac:dyDescent="0.3">
      <c r="A47" t="s">
        <v>223</v>
      </c>
      <c r="B47">
        <v>1</v>
      </c>
      <c r="E47" t="s">
        <v>224</v>
      </c>
      <c r="F47">
        <v>2036</v>
      </c>
      <c r="J47" t="s">
        <v>482</v>
      </c>
    </row>
    <row r="48" spans="1:10" x14ac:dyDescent="0.3">
      <c r="A48" t="s">
        <v>223</v>
      </c>
      <c r="B48">
        <v>1</v>
      </c>
      <c r="E48" t="s">
        <v>224</v>
      </c>
      <c r="F48">
        <v>2037</v>
      </c>
      <c r="J48" t="s">
        <v>482</v>
      </c>
    </row>
    <row r="49" spans="1:10" x14ac:dyDescent="0.3">
      <c r="A49" t="s">
        <v>223</v>
      </c>
      <c r="B49">
        <v>1</v>
      </c>
      <c r="E49" t="s">
        <v>224</v>
      </c>
      <c r="F49">
        <v>2038</v>
      </c>
      <c r="J49" t="s">
        <v>482</v>
      </c>
    </row>
    <row r="50" spans="1:10" x14ac:dyDescent="0.3">
      <c r="A50" t="s">
        <v>223</v>
      </c>
      <c r="B50">
        <v>1</v>
      </c>
      <c r="E50" t="s">
        <v>224</v>
      </c>
      <c r="F50">
        <v>2039</v>
      </c>
      <c r="J50" t="s">
        <v>482</v>
      </c>
    </row>
    <row r="51" spans="1:10" x14ac:dyDescent="0.3">
      <c r="A51" t="s">
        <v>223</v>
      </c>
      <c r="B51">
        <v>1</v>
      </c>
      <c r="E51" t="s">
        <v>224</v>
      </c>
      <c r="F51">
        <v>2040</v>
      </c>
      <c r="J51" t="s">
        <v>482</v>
      </c>
    </row>
    <row r="52" spans="1:10" x14ac:dyDescent="0.3">
      <c r="A52" t="s">
        <v>223</v>
      </c>
      <c r="B52">
        <v>1</v>
      </c>
      <c r="E52" t="s">
        <v>224</v>
      </c>
      <c r="F52">
        <v>2041</v>
      </c>
      <c r="J52" t="s">
        <v>482</v>
      </c>
    </row>
    <row r="53" spans="1:10" x14ac:dyDescent="0.3">
      <c r="A53" t="s">
        <v>223</v>
      </c>
      <c r="B53">
        <v>1</v>
      </c>
      <c r="E53" t="s">
        <v>224</v>
      </c>
      <c r="F53">
        <v>2042</v>
      </c>
      <c r="J53" t="s">
        <v>482</v>
      </c>
    </row>
    <row r="54" spans="1:10" x14ac:dyDescent="0.3">
      <c r="A54" t="s">
        <v>223</v>
      </c>
      <c r="B54">
        <v>1</v>
      </c>
      <c r="E54" t="s">
        <v>224</v>
      </c>
      <c r="F54">
        <v>2043</v>
      </c>
      <c r="J54" t="s">
        <v>482</v>
      </c>
    </row>
    <row r="55" spans="1:10" x14ac:dyDescent="0.3">
      <c r="A55" t="s">
        <v>223</v>
      </c>
      <c r="B55">
        <v>1</v>
      </c>
      <c r="E55" t="s">
        <v>224</v>
      </c>
      <c r="F55">
        <v>2044</v>
      </c>
      <c r="J55" t="s">
        <v>482</v>
      </c>
    </row>
    <row r="56" spans="1:10" x14ac:dyDescent="0.3">
      <c r="A56" t="s">
        <v>223</v>
      </c>
      <c r="B56">
        <v>1</v>
      </c>
      <c r="E56" t="s">
        <v>224</v>
      </c>
      <c r="F56">
        <v>2045</v>
      </c>
      <c r="J56" t="s">
        <v>482</v>
      </c>
    </row>
    <row r="57" spans="1:10" x14ac:dyDescent="0.3">
      <c r="A57" t="s">
        <v>223</v>
      </c>
      <c r="B57">
        <v>1</v>
      </c>
      <c r="E57" t="s">
        <v>224</v>
      </c>
      <c r="F57">
        <v>2046</v>
      </c>
      <c r="J57" t="s">
        <v>482</v>
      </c>
    </row>
    <row r="58" spans="1:10" x14ac:dyDescent="0.3">
      <c r="A58" t="s">
        <v>223</v>
      </c>
      <c r="B58">
        <v>1</v>
      </c>
      <c r="E58" t="s">
        <v>224</v>
      </c>
      <c r="F58">
        <v>2047</v>
      </c>
      <c r="J58" t="s">
        <v>482</v>
      </c>
    </row>
    <row r="59" spans="1:10" x14ac:dyDescent="0.3">
      <c r="A59" t="s">
        <v>223</v>
      </c>
      <c r="B59">
        <v>1</v>
      </c>
      <c r="E59" t="s">
        <v>224</v>
      </c>
      <c r="F59">
        <v>2048</v>
      </c>
      <c r="J59" t="s">
        <v>482</v>
      </c>
    </row>
    <row r="60" spans="1:10" x14ac:dyDescent="0.3">
      <c r="A60" t="s">
        <v>223</v>
      </c>
      <c r="B60">
        <v>1</v>
      </c>
      <c r="E60" t="s">
        <v>224</v>
      </c>
      <c r="F60">
        <v>2049</v>
      </c>
      <c r="J60" t="s">
        <v>482</v>
      </c>
    </row>
    <row r="61" spans="1:10" x14ac:dyDescent="0.3">
      <c r="A61" t="s">
        <v>223</v>
      </c>
      <c r="B61">
        <v>1</v>
      </c>
      <c r="E61" t="s">
        <v>224</v>
      </c>
      <c r="F61">
        <v>2050</v>
      </c>
      <c r="J61" t="s">
        <v>482</v>
      </c>
    </row>
    <row r="62" spans="1:10" x14ac:dyDescent="0.3">
      <c r="A62" t="s">
        <v>223</v>
      </c>
      <c r="B62">
        <v>1</v>
      </c>
      <c r="E62" t="s">
        <v>224</v>
      </c>
      <c r="F62">
        <v>2021</v>
      </c>
      <c r="J62" t="s">
        <v>480</v>
      </c>
    </row>
    <row r="63" spans="1:10" x14ac:dyDescent="0.3">
      <c r="A63" t="s">
        <v>223</v>
      </c>
      <c r="B63">
        <v>1</v>
      </c>
      <c r="E63" t="s">
        <v>224</v>
      </c>
      <c r="F63">
        <v>2022</v>
      </c>
      <c r="J63" t="s">
        <v>480</v>
      </c>
    </row>
    <row r="64" spans="1:10" x14ac:dyDescent="0.3">
      <c r="A64" t="s">
        <v>223</v>
      </c>
      <c r="B64">
        <v>1</v>
      </c>
      <c r="E64" t="s">
        <v>224</v>
      </c>
      <c r="F64">
        <v>2023</v>
      </c>
      <c r="J64" t="s">
        <v>480</v>
      </c>
    </row>
    <row r="65" spans="1:10" x14ac:dyDescent="0.3">
      <c r="A65" t="s">
        <v>223</v>
      </c>
      <c r="B65">
        <v>1</v>
      </c>
      <c r="E65" t="s">
        <v>224</v>
      </c>
      <c r="F65">
        <v>2024</v>
      </c>
      <c r="J65" t="s">
        <v>480</v>
      </c>
    </row>
    <row r="66" spans="1:10" x14ac:dyDescent="0.3">
      <c r="A66" t="s">
        <v>223</v>
      </c>
      <c r="B66">
        <v>1</v>
      </c>
      <c r="E66" t="s">
        <v>224</v>
      </c>
      <c r="F66">
        <v>2025</v>
      </c>
      <c r="J66" t="s">
        <v>480</v>
      </c>
    </row>
    <row r="67" spans="1:10" x14ac:dyDescent="0.3">
      <c r="A67" t="s">
        <v>223</v>
      </c>
      <c r="B67">
        <v>1</v>
      </c>
      <c r="E67" t="s">
        <v>224</v>
      </c>
      <c r="F67">
        <v>2026</v>
      </c>
      <c r="J67" t="s">
        <v>480</v>
      </c>
    </row>
    <row r="68" spans="1:10" x14ac:dyDescent="0.3">
      <c r="A68" t="s">
        <v>223</v>
      </c>
      <c r="B68">
        <v>1</v>
      </c>
      <c r="E68" t="s">
        <v>224</v>
      </c>
      <c r="F68">
        <v>2027</v>
      </c>
      <c r="J68" t="s">
        <v>480</v>
      </c>
    </row>
    <row r="69" spans="1:10" x14ac:dyDescent="0.3">
      <c r="A69" t="s">
        <v>223</v>
      </c>
      <c r="B69">
        <v>1</v>
      </c>
      <c r="E69" t="s">
        <v>224</v>
      </c>
      <c r="F69">
        <v>2028</v>
      </c>
      <c r="J69" t="s">
        <v>480</v>
      </c>
    </row>
    <row r="70" spans="1:10" x14ac:dyDescent="0.3">
      <c r="A70" t="s">
        <v>223</v>
      </c>
      <c r="B70">
        <v>1</v>
      </c>
      <c r="E70" t="s">
        <v>224</v>
      </c>
      <c r="F70">
        <v>2029</v>
      </c>
      <c r="J70" t="s">
        <v>480</v>
      </c>
    </row>
    <row r="71" spans="1:10" x14ac:dyDescent="0.3">
      <c r="A71" t="s">
        <v>223</v>
      </c>
      <c r="B71">
        <v>1</v>
      </c>
      <c r="E71" t="s">
        <v>224</v>
      </c>
      <c r="F71">
        <v>2030</v>
      </c>
      <c r="J71" t="s">
        <v>480</v>
      </c>
    </row>
    <row r="72" spans="1:10" x14ac:dyDescent="0.3">
      <c r="A72" t="s">
        <v>223</v>
      </c>
      <c r="B72">
        <v>1</v>
      </c>
      <c r="E72" t="s">
        <v>224</v>
      </c>
      <c r="F72">
        <v>2031</v>
      </c>
      <c r="J72" t="s">
        <v>480</v>
      </c>
    </row>
    <row r="73" spans="1:10" x14ac:dyDescent="0.3">
      <c r="A73" t="s">
        <v>223</v>
      </c>
      <c r="B73">
        <v>1</v>
      </c>
      <c r="E73" t="s">
        <v>224</v>
      </c>
      <c r="F73">
        <v>2032</v>
      </c>
      <c r="J73" t="s">
        <v>480</v>
      </c>
    </row>
    <row r="74" spans="1:10" x14ac:dyDescent="0.3">
      <c r="A74" t="s">
        <v>223</v>
      </c>
      <c r="B74">
        <v>1</v>
      </c>
      <c r="E74" t="s">
        <v>224</v>
      </c>
      <c r="F74">
        <v>2033</v>
      </c>
      <c r="J74" t="s">
        <v>480</v>
      </c>
    </row>
    <row r="75" spans="1:10" x14ac:dyDescent="0.3">
      <c r="A75" t="s">
        <v>223</v>
      </c>
      <c r="B75">
        <v>1</v>
      </c>
      <c r="E75" t="s">
        <v>224</v>
      </c>
      <c r="F75">
        <v>2034</v>
      </c>
      <c r="J75" t="s">
        <v>480</v>
      </c>
    </row>
    <row r="76" spans="1:10" x14ac:dyDescent="0.3">
      <c r="A76" t="s">
        <v>223</v>
      </c>
      <c r="B76">
        <v>1</v>
      </c>
      <c r="E76" t="s">
        <v>224</v>
      </c>
      <c r="F76">
        <v>2035</v>
      </c>
      <c r="J76" t="s">
        <v>480</v>
      </c>
    </row>
    <row r="77" spans="1:10" x14ac:dyDescent="0.3">
      <c r="A77" t="s">
        <v>223</v>
      </c>
      <c r="B77">
        <v>1</v>
      </c>
      <c r="E77" t="s">
        <v>224</v>
      </c>
      <c r="F77">
        <v>2036</v>
      </c>
      <c r="J77" t="s">
        <v>480</v>
      </c>
    </row>
    <row r="78" spans="1:10" x14ac:dyDescent="0.3">
      <c r="A78" t="s">
        <v>223</v>
      </c>
      <c r="B78">
        <v>1</v>
      </c>
      <c r="E78" t="s">
        <v>224</v>
      </c>
      <c r="F78">
        <v>2037</v>
      </c>
      <c r="J78" t="s">
        <v>480</v>
      </c>
    </row>
    <row r="79" spans="1:10" x14ac:dyDescent="0.3">
      <c r="A79" t="s">
        <v>223</v>
      </c>
      <c r="B79">
        <v>1</v>
      </c>
      <c r="E79" t="s">
        <v>224</v>
      </c>
      <c r="F79">
        <v>2038</v>
      </c>
      <c r="J79" t="s">
        <v>480</v>
      </c>
    </row>
    <row r="80" spans="1:10" x14ac:dyDescent="0.3">
      <c r="A80" t="s">
        <v>223</v>
      </c>
      <c r="B80">
        <v>1</v>
      </c>
      <c r="E80" t="s">
        <v>224</v>
      </c>
      <c r="F80">
        <v>2039</v>
      </c>
      <c r="J80" t="s">
        <v>480</v>
      </c>
    </row>
    <row r="81" spans="1:10" x14ac:dyDescent="0.3">
      <c r="A81" t="s">
        <v>223</v>
      </c>
      <c r="B81">
        <v>1</v>
      </c>
      <c r="E81" t="s">
        <v>224</v>
      </c>
      <c r="F81">
        <v>2040</v>
      </c>
      <c r="J81" t="s">
        <v>480</v>
      </c>
    </row>
    <row r="82" spans="1:10" x14ac:dyDescent="0.3">
      <c r="A82" t="s">
        <v>223</v>
      </c>
      <c r="B82">
        <v>1</v>
      </c>
      <c r="E82" t="s">
        <v>224</v>
      </c>
      <c r="F82">
        <v>2041</v>
      </c>
      <c r="J82" t="s">
        <v>480</v>
      </c>
    </row>
    <row r="83" spans="1:10" x14ac:dyDescent="0.3">
      <c r="A83" t="s">
        <v>223</v>
      </c>
      <c r="B83">
        <v>1</v>
      </c>
      <c r="E83" t="s">
        <v>224</v>
      </c>
      <c r="F83">
        <v>2042</v>
      </c>
      <c r="J83" t="s">
        <v>480</v>
      </c>
    </row>
    <row r="84" spans="1:10" x14ac:dyDescent="0.3">
      <c r="A84" t="s">
        <v>223</v>
      </c>
      <c r="B84">
        <v>1</v>
      </c>
      <c r="E84" t="s">
        <v>224</v>
      </c>
      <c r="F84">
        <v>2043</v>
      </c>
      <c r="J84" t="s">
        <v>480</v>
      </c>
    </row>
    <row r="85" spans="1:10" x14ac:dyDescent="0.3">
      <c r="A85" t="s">
        <v>223</v>
      </c>
      <c r="B85">
        <v>1</v>
      </c>
      <c r="E85" t="s">
        <v>224</v>
      </c>
      <c r="F85">
        <v>2044</v>
      </c>
      <c r="J85" t="s">
        <v>480</v>
      </c>
    </row>
    <row r="86" spans="1:10" x14ac:dyDescent="0.3">
      <c r="A86" t="s">
        <v>223</v>
      </c>
      <c r="B86">
        <v>1</v>
      </c>
      <c r="E86" t="s">
        <v>224</v>
      </c>
      <c r="F86">
        <v>2045</v>
      </c>
      <c r="J86" t="s">
        <v>480</v>
      </c>
    </row>
    <row r="87" spans="1:10" x14ac:dyDescent="0.3">
      <c r="A87" t="s">
        <v>223</v>
      </c>
      <c r="B87">
        <v>1</v>
      </c>
      <c r="E87" t="s">
        <v>224</v>
      </c>
      <c r="F87">
        <v>2046</v>
      </c>
      <c r="J87" t="s">
        <v>480</v>
      </c>
    </row>
    <row r="88" spans="1:10" x14ac:dyDescent="0.3">
      <c r="A88" t="s">
        <v>223</v>
      </c>
      <c r="B88">
        <v>1</v>
      </c>
      <c r="E88" t="s">
        <v>224</v>
      </c>
      <c r="F88">
        <v>2047</v>
      </c>
      <c r="J88" t="s">
        <v>480</v>
      </c>
    </row>
    <row r="89" spans="1:10" x14ac:dyDescent="0.3">
      <c r="A89" t="s">
        <v>223</v>
      </c>
      <c r="B89">
        <v>1</v>
      </c>
      <c r="E89" t="s">
        <v>224</v>
      </c>
      <c r="F89">
        <v>2048</v>
      </c>
      <c r="J89" t="s">
        <v>480</v>
      </c>
    </row>
    <row r="90" spans="1:10" x14ac:dyDescent="0.3">
      <c r="A90" t="s">
        <v>223</v>
      </c>
      <c r="B90">
        <v>1</v>
      </c>
      <c r="E90" t="s">
        <v>224</v>
      </c>
      <c r="F90">
        <v>2049</v>
      </c>
      <c r="J90" t="s">
        <v>480</v>
      </c>
    </row>
    <row r="91" spans="1:10" x14ac:dyDescent="0.3">
      <c r="A91" t="s">
        <v>223</v>
      </c>
      <c r="B91">
        <v>1</v>
      </c>
      <c r="E91" t="s">
        <v>224</v>
      </c>
      <c r="F91">
        <v>2050</v>
      </c>
      <c r="J91" t="s">
        <v>480</v>
      </c>
    </row>
    <row r="92" spans="1:10" x14ac:dyDescent="0.3">
      <c r="A92" t="s">
        <v>223</v>
      </c>
      <c r="B92">
        <v>1</v>
      </c>
      <c r="E92" t="s">
        <v>224</v>
      </c>
      <c r="F92">
        <v>2021</v>
      </c>
      <c r="J92" t="s">
        <v>481</v>
      </c>
    </row>
    <row r="93" spans="1:10" x14ac:dyDescent="0.3">
      <c r="A93" t="s">
        <v>223</v>
      </c>
      <c r="B93">
        <v>1</v>
      </c>
      <c r="E93" t="s">
        <v>224</v>
      </c>
      <c r="F93">
        <v>2022</v>
      </c>
      <c r="J93" t="s">
        <v>481</v>
      </c>
    </row>
    <row r="94" spans="1:10" x14ac:dyDescent="0.3">
      <c r="A94" t="s">
        <v>223</v>
      </c>
      <c r="B94">
        <v>1</v>
      </c>
      <c r="E94" t="s">
        <v>224</v>
      </c>
      <c r="F94">
        <v>2023</v>
      </c>
      <c r="J94" t="s">
        <v>481</v>
      </c>
    </row>
    <row r="95" spans="1:10" x14ac:dyDescent="0.3">
      <c r="A95" t="s">
        <v>223</v>
      </c>
      <c r="B95">
        <v>1</v>
      </c>
      <c r="E95" t="s">
        <v>224</v>
      </c>
      <c r="F95">
        <v>2024</v>
      </c>
      <c r="J95" t="s">
        <v>481</v>
      </c>
    </row>
    <row r="96" spans="1:10" x14ac:dyDescent="0.3">
      <c r="A96" t="s">
        <v>223</v>
      </c>
      <c r="B96">
        <v>1</v>
      </c>
      <c r="E96" t="s">
        <v>224</v>
      </c>
      <c r="F96">
        <v>2025</v>
      </c>
      <c r="J96" t="s">
        <v>481</v>
      </c>
    </row>
    <row r="97" spans="1:10" x14ac:dyDescent="0.3">
      <c r="A97" t="s">
        <v>223</v>
      </c>
      <c r="B97">
        <v>1</v>
      </c>
      <c r="E97" t="s">
        <v>224</v>
      </c>
      <c r="F97">
        <v>2026</v>
      </c>
      <c r="J97" t="s">
        <v>481</v>
      </c>
    </row>
    <row r="98" spans="1:10" x14ac:dyDescent="0.3">
      <c r="A98" t="s">
        <v>223</v>
      </c>
      <c r="B98">
        <v>1</v>
      </c>
      <c r="E98" t="s">
        <v>224</v>
      </c>
      <c r="F98">
        <v>2027</v>
      </c>
      <c r="J98" t="s">
        <v>481</v>
      </c>
    </row>
    <row r="99" spans="1:10" x14ac:dyDescent="0.3">
      <c r="A99" t="s">
        <v>223</v>
      </c>
      <c r="B99">
        <v>1</v>
      </c>
      <c r="E99" t="s">
        <v>224</v>
      </c>
      <c r="F99">
        <v>2028</v>
      </c>
      <c r="J99" t="s">
        <v>481</v>
      </c>
    </row>
    <row r="100" spans="1:10" x14ac:dyDescent="0.3">
      <c r="A100" t="s">
        <v>223</v>
      </c>
      <c r="B100">
        <v>1</v>
      </c>
      <c r="E100" t="s">
        <v>224</v>
      </c>
      <c r="F100">
        <v>2029</v>
      </c>
      <c r="J100" t="s">
        <v>481</v>
      </c>
    </row>
    <row r="101" spans="1:10" x14ac:dyDescent="0.3">
      <c r="A101" t="s">
        <v>223</v>
      </c>
      <c r="B101">
        <v>1</v>
      </c>
      <c r="E101" t="s">
        <v>224</v>
      </c>
      <c r="F101">
        <v>2030</v>
      </c>
      <c r="J101" t="s">
        <v>481</v>
      </c>
    </row>
    <row r="102" spans="1:10" x14ac:dyDescent="0.3">
      <c r="A102" t="s">
        <v>223</v>
      </c>
      <c r="B102">
        <v>1</v>
      </c>
      <c r="E102" t="s">
        <v>224</v>
      </c>
      <c r="F102">
        <v>2031</v>
      </c>
      <c r="J102" t="s">
        <v>481</v>
      </c>
    </row>
    <row r="103" spans="1:10" x14ac:dyDescent="0.3">
      <c r="A103" t="s">
        <v>223</v>
      </c>
      <c r="B103">
        <v>1</v>
      </c>
      <c r="E103" t="s">
        <v>224</v>
      </c>
      <c r="F103">
        <v>2032</v>
      </c>
      <c r="J103" t="s">
        <v>481</v>
      </c>
    </row>
    <row r="104" spans="1:10" x14ac:dyDescent="0.3">
      <c r="A104" t="s">
        <v>223</v>
      </c>
      <c r="B104">
        <v>1</v>
      </c>
      <c r="E104" t="s">
        <v>224</v>
      </c>
      <c r="F104">
        <v>2033</v>
      </c>
      <c r="J104" t="s">
        <v>481</v>
      </c>
    </row>
    <row r="105" spans="1:10" x14ac:dyDescent="0.3">
      <c r="A105" t="s">
        <v>223</v>
      </c>
      <c r="B105">
        <v>1</v>
      </c>
      <c r="E105" t="s">
        <v>224</v>
      </c>
      <c r="F105">
        <v>2034</v>
      </c>
      <c r="J105" t="s">
        <v>481</v>
      </c>
    </row>
    <row r="106" spans="1:10" x14ac:dyDescent="0.3">
      <c r="A106" t="s">
        <v>223</v>
      </c>
      <c r="B106">
        <v>1</v>
      </c>
      <c r="E106" t="s">
        <v>224</v>
      </c>
      <c r="F106">
        <v>2035</v>
      </c>
      <c r="J106" t="s">
        <v>481</v>
      </c>
    </row>
    <row r="107" spans="1:10" x14ac:dyDescent="0.3">
      <c r="A107" t="s">
        <v>223</v>
      </c>
      <c r="B107">
        <v>1</v>
      </c>
      <c r="E107" t="s">
        <v>224</v>
      </c>
      <c r="F107">
        <v>2036</v>
      </c>
      <c r="J107" t="s">
        <v>481</v>
      </c>
    </row>
    <row r="108" spans="1:10" x14ac:dyDescent="0.3">
      <c r="A108" t="s">
        <v>223</v>
      </c>
      <c r="B108">
        <v>1</v>
      </c>
      <c r="E108" t="s">
        <v>224</v>
      </c>
      <c r="F108">
        <v>2037</v>
      </c>
      <c r="J108" t="s">
        <v>481</v>
      </c>
    </row>
    <row r="109" spans="1:10" x14ac:dyDescent="0.3">
      <c r="A109" t="s">
        <v>223</v>
      </c>
      <c r="B109">
        <v>1</v>
      </c>
      <c r="E109" t="s">
        <v>224</v>
      </c>
      <c r="F109">
        <v>2038</v>
      </c>
      <c r="J109" t="s">
        <v>481</v>
      </c>
    </row>
    <row r="110" spans="1:10" x14ac:dyDescent="0.3">
      <c r="A110" t="s">
        <v>223</v>
      </c>
      <c r="B110">
        <v>1</v>
      </c>
      <c r="E110" t="s">
        <v>224</v>
      </c>
      <c r="F110">
        <v>2039</v>
      </c>
      <c r="J110" t="s">
        <v>481</v>
      </c>
    </row>
    <row r="111" spans="1:10" x14ac:dyDescent="0.3">
      <c r="A111" t="s">
        <v>223</v>
      </c>
      <c r="B111">
        <v>1</v>
      </c>
      <c r="E111" t="s">
        <v>224</v>
      </c>
      <c r="F111">
        <v>2040</v>
      </c>
      <c r="J111" t="s">
        <v>481</v>
      </c>
    </row>
    <row r="112" spans="1:10" x14ac:dyDescent="0.3">
      <c r="A112" t="s">
        <v>223</v>
      </c>
      <c r="B112">
        <v>1</v>
      </c>
      <c r="E112" t="s">
        <v>224</v>
      </c>
      <c r="F112">
        <v>2041</v>
      </c>
      <c r="J112" t="s">
        <v>481</v>
      </c>
    </row>
    <row r="113" spans="1:10" x14ac:dyDescent="0.3">
      <c r="A113" t="s">
        <v>223</v>
      </c>
      <c r="B113">
        <v>1</v>
      </c>
      <c r="E113" t="s">
        <v>224</v>
      </c>
      <c r="F113">
        <v>2042</v>
      </c>
      <c r="J113" t="s">
        <v>481</v>
      </c>
    </row>
    <row r="114" spans="1:10" x14ac:dyDescent="0.3">
      <c r="A114" t="s">
        <v>223</v>
      </c>
      <c r="B114">
        <v>1</v>
      </c>
      <c r="E114" t="s">
        <v>224</v>
      </c>
      <c r="F114">
        <v>2043</v>
      </c>
      <c r="J114" t="s">
        <v>481</v>
      </c>
    </row>
    <row r="115" spans="1:10" x14ac:dyDescent="0.3">
      <c r="A115" t="s">
        <v>223</v>
      </c>
      <c r="B115">
        <v>1</v>
      </c>
      <c r="E115" t="s">
        <v>224</v>
      </c>
      <c r="F115">
        <v>2044</v>
      </c>
      <c r="J115" t="s">
        <v>481</v>
      </c>
    </row>
    <row r="116" spans="1:10" x14ac:dyDescent="0.3">
      <c r="A116" t="s">
        <v>223</v>
      </c>
      <c r="B116">
        <v>1</v>
      </c>
      <c r="E116" t="s">
        <v>224</v>
      </c>
      <c r="F116">
        <v>2045</v>
      </c>
      <c r="J116" t="s">
        <v>481</v>
      </c>
    </row>
    <row r="117" spans="1:10" x14ac:dyDescent="0.3">
      <c r="A117" t="s">
        <v>223</v>
      </c>
      <c r="B117">
        <v>1</v>
      </c>
      <c r="E117" t="s">
        <v>224</v>
      </c>
      <c r="F117">
        <v>2046</v>
      </c>
      <c r="J117" t="s">
        <v>481</v>
      </c>
    </row>
    <row r="118" spans="1:10" x14ac:dyDescent="0.3">
      <c r="A118" t="s">
        <v>223</v>
      </c>
      <c r="B118">
        <v>1</v>
      </c>
      <c r="E118" t="s">
        <v>224</v>
      </c>
      <c r="F118">
        <v>2047</v>
      </c>
      <c r="J118" t="s">
        <v>481</v>
      </c>
    </row>
    <row r="119" spans="1:10" x14ac:dyDescent="0.3">
      <c r="A119" t="s">
        <v>223</v>
      </c>
      <c r="B119">
        <v>1</v>
      </c>
      <c r="E119" t="s">
        <v>224</v>
      </c>
      <c r="F119">
        <v>2048</v>
      </c>
      <c r="J119" t="s">
        <v>481</v>
      </c>
    </row>
    <row r="120" spans="1:10" x14ac:dyDescent="0.3">
      <c r="A120" t="s">
        <v>223</v>
      </c>
      <c r="B120">
        <v>1</v>
      </c>
      <c r="E120" t="s">
        <v>224</v>
      </c>
      <c r="F120">
        <v>2049</v>
      </c>
      <c r="J120" t="s">
        <v>481</v>
      </c>
    </row>
    <row r="121" spans="1:10" x14ac:dyDescent="0.3">
      <c r="A121" t="s">
        <v>223</v>
      </c>
      <c r="B121">
        <v>1</v>
      </c>
      <c r="E121" t="s">
        <v>224</v>
      </c>
      <c r="F121">
        <v>2050</v>
      </c>
      <c r="J121" t="s">
        <v>481</v>
      </c>
    </row>
    <row r="122" spans="1:10" x14ac:dyDescent="0.3">
      <c r="A122" t="s">
        <v>226</v>
      </c>
      <c r="B122">
        <v>2</v>
      </c>
      <c r="E122" t="s">
        <v>225</v>
      </c>
      <c r="F122">
        <v>2021</v>
      </c>
      <c r="J122" t="s">
        <v>222</v>
      </c>
    </row>
    <row r="123" spans="1:10" x14ac:dyDescent="0.3">
      <c r="A123" t="s">
        <v>226</v>
      </c>
      <c r="B123">
        <v>2</v>
      </c>
      <c r="E123" t="s">
        <v>225</v>
      </c>
      <c r="F123">
        <v>2022</v>
      </c>
      <c r="J123" t="s">
        <v>222</v>
      </c>
    </row>
    <row r="124" spans="1:10" x14ac:dyDescent="0.3">
      <c r="A124" t="s">
        <v>226</v>
      </c>
      <c r="B124">
        <v>2</v>
      </c>
      <c r="E124" t="s">
        <v>225</v>
      </c>
      <c r="F124">
        <v>2023</v>
      </c>
      <c r="J124" t="s">
        <v>222</v>
      </c>
    </row>
    <row r="125" spans="1:10" x14ac:dyDescent="0.3">
      <c r="A125" t="s">
        <v>226</v>
      </c>
      <c r="B125">
        <v>2</v>
      </c>
      <c r="E125" t="s">
        <v>225</v>
      </c>
      <c r="F125">
        <v>2024</v>
      </c>
      <c r="J125" t="s">
        <v>222</v>
      </c>
    </row>
    <row r="126" spans="1:10" x14ac:dyDescent="0.3">
      <c r="A126" t="s">
        <v>226</v>
      </c>
      <c r="B126">
        <v>2</v>
      </c>
      <c r="E126" t="s">
        <v>225</v>
      </c>
      <c r="F126">
        <v>2025</v>
      </c>
      <c r="J126" t="s">
        <v>222</v>
      </c>
    </row>
    <row r="127" spans="1:10" x14ac:dyDescent="0.3">
      <c r="A127" t="s">
        <v>226</v>
      </c>
      <c r="B127">
        <v>2</v>
      </c>
      <c r="E127" t="s">
        <v>225</v>
      </c>
      <c r="F127">
        <v>2026</v>
      </c>
      <c r="J127" t="s">
        <v>222</v>
      </c>
    </row>
    <row r="128" spans="1:10" x14ac:dyDescent="0.3">
      <c r="A128" t="s">
        <v>226</v>
      </c>
      <c r="B128">
        <v>2</v>
      </c>
      <c r="E128" t="s">
        <v>225</v>
      </c>
      <c r="F128">
        <v>2027</v>
      </c>
      <c r="J128" t="s">
        <v>222</v>
      </c>
    </row>
    <row r="129" spans="1:10" x14ac:dyDescent="0.3">
      <c r="A129" t="s">
        <v>226</v>
      </c>
      <c r="B129">
        <v>2</v>
      </c>
      <c r="E129" t="s">
        <v>225</v>
      </c>
      <c r="F129">
        <v>2028</v>
      </c>
      <c r="J129" t="s">
        <v>222</v>
      </c>
    </row>
    <row r="130" spans="1:10" x14ac:dyDescent="0.3">
      <c r="A130" t="s">
        <v>226</v>
      </c>
      <c r="B130">
        <v>2</v>
      </c>
      <c r="E130" t="s">
        <v>225</v>
      </c>
      <c r="F130">
        <v>2029</v>
      </c>
      <c r="J130" t="s">
        <v>222</v>
      </c>
    </row>
    <row r="131" spans="1:10" x14ac:dyDescent="0.3">
      <c r="A131" t="s">
        <v>226</v>
      </c>
      <c r="B131">
        <v>2</v>
      </c>
      <c r="E131" t="s">
        <v>225</v>
      </c>
      <c r="F131">
        <v>2030</v>
      </c>
      <c r="J131" t="s">
        <v>222</v>
      </c>
    </row>
    <row r="132" spans="1:10" x14ac:dyDescent="0.3">
      <c r="A132" t="s">
        <v>226</v>
      </c>
      <c r="B132">
        <v>2</v>
      </c>
      <c r="E132" t="s">
        <v>225</v>
      </c>
      <c r="F132">
        <v>2031</v>
      </c>
      <c r="J132" t="s">
        <v>222</v>
      </c>
    </row>
    <row r="133" spans="1:10" x14ac:dyDescent="0.3">
      <c r="A133" t="s">
        <v>226</v>
      </c>
      <c r="B133">
        <v>2</v>
      </c>
      <c r="E133" t="s">
        <v>225</v>
      </c>
      <c r="F133">
        <v>2032</v>
      </c>
      <c r="J133" t="s">
        <v>222</v>
      </c>
    </row>
    <row r="134" spans="1:10" x14ac:dyDescent="0.3">
      <c r="A134" t="s">
        <v>226</v>
      </c>
      <c r="B134">
        <v>2</v>
      </c>
      <c r="E134" t="s">
        <v>225</v>
      </c>
      <c r="F134">
        <v>2033</v>
      </c>
      <c r="J134" t="s">
        <v>222</v>
      </c>
    </row>
    <row r="135" spans="1:10" x14ac:dyDescent="0.3">
      <c r="A135" t="s">
        <v>226</v>
      </c>
      <c r="B135">
        <v>2</v>
      </c>
      <c r="E135" t="s">
        <v>225</v>
      </c>
      <c r="F135">
        <v>2034</v>
      </c>
      <c r="J135" t="s">
        <v>222</v>
      </c>
    </row>
    <row r="136" spans="1:10" x14ac:dyDescent="0.3">
      <c r="A136" t="s">
        <v>226</v>
      </c>
      <c r="B136">
        <v>2</v>
      </c>
      <c r="E136" t="s">
        <v>225</v>
      </c>
      <c r="F136">
        <v>2035</v>
      </c>
      <c r="J136" t="s">
        <v>222</v>
      </c>
    </row>
    <row r="137" spans="1:10" x14ac:dyDescent="0.3">
      <c r="A137" t="s">
        <v>226</v>
      </c>
      <c r="B137">
        <v>2</v>
      </c>
      <c r="E137" t="s">
        <v>225</v>
      </c>
      <c r="F137">
        <v>2036</v>
      </c>
      <c r="J137" t="s">
        <v>222</v>
      </c>
    </row>
    <row r="138" spans="1:10" x14ac:dyDescent="0.3">
      <c r="A138" t="s">
        <v>226</v>
      </c>
      <c r="B138">
        <v>2</v>
      </c>
      <c r="E138" t="s">
        <v>225</v>
      </c>
      <c r="F138">
        <v>2037</v>
      </c>
      <c r="J138" t="s">
        <v>222</v>
      </c>
    </row>
    <row r="139" spans="1:10" x14ac:dyDescent="0.3">
      <c r="A139" t="s">
        <v>226</v>
      </c>
      <c r="B139">
        <v>2</v>
      </c>
      <c r="E139" t="s">
        <v>225</v>
      </c>
      <c r="F139">
        <v>2038</v>
      </c>
      <c r="J139" t="s">
        <v>222</v>
      </c>
    </row>
    <row r="140" spans="1:10" x14ac:dyDescent="0.3">
      <c r="A140" t="s">
        <v>226</v>
      </c>
      <c r="B140">
        <v>2</v>
      </c>
      <c r="E140" t="s">
        <v>225</v>
      </c>
      <c r="F140">
        <v>2039</v>
      </c>
      <c r="J140" t="s">
        <v>222</v>
      </c>
    </row>
    <row r="141" spans="1:10" x14ac:dyDescent="0.3">
      <c r="A141" t="s">
        <v>226</v>
      </c>
      <c r="B141">
        <v>2</v>
      </c>
      <c r="E141" t="s">
        <v>225</v>
      </c>
      <c r="F141">
        <v>2040</v>
      </c>
      <c r="J141" t="s">
        <v>222</v>
      </c>
    </row>
    <row r="142" spans="1:10" x14ac:dyDescent="0.3">
      <c r="A142" t="s">
        <v>226</v>
      </c>
      <c r="B142">
        <v>2</v>
      </c>
      <c r="E142" t="s">
        <v>225</v>
      </c>
      <c r="F142">
        <v>2041</v>
      </c>
      <c r="J142" t="s">
        <v>222</v>
      </c>
    </row>
    <row r="143" spans="1:10" x14ac:dyDescent="0.3">
      <c r="A143" t="s">
        <v>226</v>
      </c>
      <c r="B143">
        <v>2</v>
      </c>
      <c r="E143" t="s">
        <v>225</v>
      </c>
      <c r="F143">
        <v>2042</v>
      </c>
      <c r="J143" t="s">
        <v>222</v>
      </c>
    </row>
    <row r="144" spans="1:10" x14ac:dyDescent="0.3">
      <c r="A144" t="s">
        <v>226</v>
      </c>
      <c r="B144">
        <v>2</v>
      </c>
      <c r="E144" t="s">
        <v>225</v>
      </c>
      <c r="F144">
        <v>2043</v>
      </c>
      <c r="J144" t="s">
        <v>222</v>
      </c>
    </row>
    <row r="145" spans="1:10" x14ac:dyDescent="0.3">
      <c r="A145" t="s">
        <v>226</v>
      </c>
      <c r="B145">
        <v>2</v>
      </c>
      <c r="E145" t="s">
        <v>225</v>
      </c>
      <c r="F145">
        <v>2044</v>
      </c>
      <c r="J145" t="s">
        <v>222</v>
      </c>
    </row>
    <row r="146" spans="1:10" x14ac:dyDescent="0.3">
      <c r="A146" t="s">
        <v>226</v>
      </c>
      <c r="B146">
        <v>2</v>
      </c>
      <c r="E146" t="s">
        <v>225</v>
      </c>
      <c r="F146">
        <v>2045</v>
      </c>
      <c r="J146" t="s">
        <v>222</v>
      </c>
    </row>
    <row r="147" spans="1:10" x14ac:dyDescent="0.3">
      <c r="A147" t="s">
        <v>226</v>
      </c>
      <c r="B147">
        <v>2</v>
      </c>
      <c r="E147" t="s">
        <v>225</v>
      </c>
      <c r="F147">
        <v>2046</v>
      </c>
      <c r="J147" t="s">
        <v>222</v>
      </c>
    </row>
    <row r="148" spans="1:10" x14ac:dyDescent="0.3">
      <c r="A148" t="s">
        <v>226</v>
      </c>
      <c r="B148">
        <v>2</v>
      </c>
      <c r="E148" t="s">
        <v>225</v>
      </c>
      <c r="F148">
        <v>2047</v>
      </c>
      <c r="J148" t="s">
        <v>222</v>
      </c>
    </row>
    <row r="149" spans="1:10" x14ac:dyDescent="0.3">
      <c r="A149" t="s">
        <v>226</v>
      </c>
      <c r="B149">
        <v>2</v>
      </c>
      <c r="E149" t="s">
        <v>225</v>
      </c>
      <c r="F149">
        <v>2048</v>
      </c>
      <c r="J149" t="s">
        <v>222</v>
      </c>
    </row>
    <row r="150" spans="1:10" x14ac:dyDescent="0.3">
      <c r="A150" t="s">
        <v>226</v>
      </c>
      <c r="B150">
        <v>2</v>
      </c>
      <c r="E150" t="s">
        <v>225</v>
      </c>
      <c r="F150">
        <v>2049</v>
      </c>
      <c r="J150" t="s">
        <v>222</v>
      </c>
    </row>
    <row r="151" spans="1:10" x14ac:dyDescent="0.3">
      <c r="A151" t="s">
        <v>226</v>
      </c>
      <c r="B151">
        <v>2</v>
      </c>
      <c r="E151" t="s">
        <v>225</v>
      </c>
      <c r="F151">
        <v>2050</v>
      </c>
      <c r="J151" t="s">
        <v>222</v>
      </c>
    </row>
    <row r="152" spans="1:10" x14ac:dyDescent="0.3">
      <c r="A152" t="s">
        <v>226</v>
      </c>
      <c r="B152">
        <v>2</v>
      </c>
      <c r="E152" t="s">
        <v>225</v>
      </c>
      <c r="F152">
        <v>2021</v>
      </c>
      <c r="J152" t="s">
        <v>482</v>
      </c>
    </row>
    <row r="153" spans="1:10" x14ac:dyDescent="0.3">
      <c r="A153" t="s">
        <v>226</v>
      </c>
      <c r="B153">
        <v>2</v>
      </c>
      <c r="E153" t="s">
        <v>225</v>
      </c>
      <c r="F153">
        <v>2022</v>
      </c>
      <c r="J153" t="s">
        <v>482</v>
      </c>
    </row>
    <row r="154" spans="1:10" x14ac:dyDescent="0.3">
      <c r="A154" t="s">
        <v>226</v>
      </c>
      <c r="B154">
        <v>2</v>
      </c>
      <c r="E154" t="s">
        <v>225</v>
      </c>
      <c r="F154">
        <v>2023</v>
      </c>
      <c r="J154" t="s">
        <v>482</v>
      </c>
    </row>
    <row r="155" spans="1:10" x14ac:dyDescent="0.3">
      <c r="A155" t="s">
        <v>226</v>
      </c>
      <c r="B155">
        <v>2</v>
      </c>
      <c r="E155" t="s">
        <v>225</v>
      </c>
      <c r="F155">
        <v>2024</v>
      </c>
      <c r="J155" t="s">
        <v>482</v>
      </c>
    </row>
    <row r="156" spans="1:10" x14ac:dyDescent="0.3">
      <c r="A156" t="s">
        <v>226</v>
      </c>
      <c r="B156">
        <v>2</v>
      </c>
      <c r="E156" t="s">
        <v>225</v>
      </c>
      <c r="F156">
        <v>2025</v>
      </c>
      <c r="J156" t="s">
        <v>482</v>
      </c>
    </row>
    <row r="157" spans="1:10" x14ac:dyDescent="0.3">
      <c r="A157" t="s">
        <v>226</v>
      </c>
      <c r="B157">
        <v>2</v>
      </c>
      <c r="E157" t="s">
        <v>225</v>
      </c>
      <c r="F157">
        <v>2026</v>
      </c>
      <c r="J157" t="s">
        <v>482</v>
      </c>
    </row>
    <row r="158" spans="1:10" x14ac:dyDescent="0.3">
      <c r="A158" t="s">
        <v>226</v>
      </c>
      <c r="B158">
        <v>2</v>
      </c>
      <c r="E158" t="s">
        <v>225</v>
      </c>
      <c r="F158">
        <v>2027</v>
      </c>
      <c r="J158" t="s">
        <v>482</v>
      </c>
    </row>
    <row r="159" spans="1:10" x14ac:dyDescent="0.3">
      <c r="A159" t="s">
        <v>226</v>
      </c>
      <c r="B159">
        <v>2</v>
      </c>
      <c r="E159" t="s">
        <v>225</v>
      </c>
      <c r="F159">
        <v>2028</v>
      </c>
      <c r="J159" t="s">
        <v>482</v>
      </c>
    </row>
    <row r="160" spans="1:10" x14ac:dyDescent="0.3">
      <c r="A160" t="s">
        <v>226</v>
      </c>
      <c r="B160">
        <v>2</v>
      </c>
      <c r="E160" t="s">
        <v>225</v>
      </c>
      <c r="F160">
        <v>2029</v>
      </c>
      <c r="J160" t="s">
        <v>482</v>
      </c>
    </row>
    <row r="161" spans="1:10" x14ac:dyDescent="0.3">
      <c r="A161" t="s">
        <v>226</v>
      </c>
      <c r="B161">
        <v>2</v>
      </c>
      <c r="E161" t="s">
        <v>225</v>
      </c>
      <c r="F161">
        <v>2030</v>
      </c>
      <c r="J161" t="s">
        <v>482</v>
      </c>
    </row>
    <row r="162" spans="1:10" x14ac:dyDescent="0.3">
      <c r="A162" t="s">
        <v>226</v>
      </c>
      <c r="B162">
        <v>2</v>
      </c>
      <c r="E162" t="s">
        <v>225</v>
      </c>
      <c r="F162">
        <v>2031</v>
      </c>
      <c r="J162" t="s">
        <v>482</v>
      </c>
    </row>
    <row r="163" spans="1:10" x14ac:dyDescent="0.3">
      <c r="A163" t="s">
        <v>226</v>
      </c>
      <c r="B163">
        <v>2</v>
      </c>
      <c r="E163" t="s">
        <v>225</v>
      </c>
      <c r="F163">
        <v>2032</v>
      </c>
      <c r="J163" t="s">
        <v>482</v>
      </c>
    </row>
    <row r="164" spans="1:10" x14ac:dyDescent="0.3">
      <c r="A164" t="s">
        <v>226</v>
      </c>
      <c r="B164">
        <v>2</v>
      </c>
      <c r="E164" t="s">
        <v>225</v>
      </c>
      <c r="F164">
        <v>2033</v>
      </c>
      <c r="J164" t="s">
        <v>482</v>
      </c>
    </row>
    <row r="165" spans="1:10" x14ac:dyDescent="0.3">
      <c r="A165" t="s">
        <v>226</v>
      </c>
      <c r="B165">
        <v>2</v>
      </c>
      <c r="E165" t="s">
        <v>225</v>
      </c>
      <c r="F165">
        <v>2034</v>
      </c>
      <c r="J165" t="s">
        <v>482</v>
      </c>
    </row>
    <row r="166" spans="1:10" x14ac:dyDescent="0.3">
      <c r="A166" t="s">
        <v>226</v>
      </c>
      <c r="B166">
        <v>2</v>
      </c>
      <c r="E166" t="s">
        <v>225</v>
      </c>
      <c r="F166">
        <v>2035</v>
      </c>
      <c r="J166" t="s">
        <v>482</v>
      </c>
    </row>
    <row r="167" spans="1:10" x14ac:dyDescent="0.3">
      <c r="A167" t="s">
        <v>226</v>
      </c>
      <c r="B167">
        <v>2</v>
      </c>
      <c r="E167" t="s">
        <v>225</v>
      </c>
      <c r="F167">
        <v>2036</v>
      </c>
      <c r="J167" t="s">
        <v>482</v>
      </c>
    </row>
    <row r="168" spans="1:10" x14ac:dyDescent="0.3">
      <c r="A168" t="s">
        <v>226</v>
      </c>
      <c r="B168">
        <v>2</v>
      </c>
      <c r="E168" t="s">
        <v>225</v>
      </c>
      <c r="F168">
        <v>2037</v>
      </c>
      <c r="J168" t="s">
        <v>482</v>
      </c>
    </row>
    <row r="169" spans="1:10" x14ac:dyDescent="0.3">
      <c r="A169" t="s">
        <v>226</v>
      </c>
      <c r="B169">
        <v>2</v>
      </c>
      <c r="E169" t="s">
        <v>225</v>
      </c>
      <c r="F169">
        <v>2038</v>
      </c>
      <c r="J169" t="s">
        <v>482</v>
      </c>
    </row>
    <row r="170" spans="1:10" x14ac:dyDescent="0.3">
      <c r="A170" t="s">
        <v>226</v>
      </c>
      <c r="B170">
        <v>2</v>
      </c>
      <c r="E170" t="s">
        <v>225</v>
      </c>
      <c r="F170">
        <v>2039</v>
      </c>
      <c r="J170" t="s">
        <v>482</v>
      </c>
    </row>
    <row r="171" spans="1:10" x14ac:dyDescent="0.3">
      <c r="A171" t="s">
        <v>226</v>
      </c>
      <c r="B171">
        <v>2</v>
      </c>
      <c r="E171" t="s">
        <v>225</v>
      </c>
      <c r="F171">
        <v>2040</v>
      </c>
      <c r="J171" t="s">
        <v>482</v>
      </c>
    </row>
    <row r="172" spans="1:10" x14ac:dyDescent="0.3">
      <c r="A172" t="s">
        <v>226</v>
      </c>
      <c r="B172">
        <v>2</v>
      </c>
      <c r="E172" t="s">
        <v>225</v>
      </c>
      <c r="F172">
        <v>2041</v>
      </c>
      <c r="J172" t="s">
        <v>482</v>
      </c>
    </row>
    <row r="173" spans="1:10" x14ac:dyDescent="0.3">
      <c r="A173" t="s">
        <v>226</v>
      </c>
      <c r="B173">
        <v>2</v>
      </c>
      <c r="E173" t="s">
        <v>225</v>
      </c>
      <c r="F173">
        <v>2042</v>
      </c>
      <c r="J173" t="s">
        <v>482</v>
      </c>
    </row>
    <row r="174" spans="1:10" x14ac:dyDescent="0.3">
      <c r="A174" t="s">
        <v>226</v>
      </c>
      <c r="B174">
        <v>2</v>
      </c>
      <c r="E174" t="s">
        <v>225</v>
      </c>
      <c r="F174">
        <v>2043</v>
      </c>
      <c r="J174" t="s">
        <v>482</v>
      </c>
    </row>
    <row r="175" spans="1:10" x14ac:dyDescent="0.3">
      <c r="A175" t="s">
        <v>226</v>
      </c>
      <c r="B175">
        <v>2</v>
      </c>
      <c r="E175" t="s">
        <v>225</v>
      </c>
      <c r="F175">
        <v>2044</v>
      </c>
      <c r="J175" t="s">
        <v>482</v>
      </c>
    </row>
    <row r="176" spans="1:10" x14ac:dyDescent="0.3">
      <c r="A176" t="s">
        <v>226</v>
      </c>
      <c r="B176">
        <v>2</v>
      </c>
      <c r="E176" t="s">
        <v>225</v>
      </c>
      <c r="F176">
        <v>2045</v>
      </c>
      <c r="J176" t="s">
        <v>482</v>
      </c>
    </row>
    <row r="177" spans="1:10" x14ac:dyDescent="0.3">
      <c r="A177" t="s">
        <v>226</v>
      </c>
      <c r="B177">
        <v>2</v>
      </c>
      <c r="E177" t="s">
        <v>225</v>
      </c>
      <c r="F177">
        <v>2046</v>
      </c>
      <c r="J177" t="s">
        <v>482</v>
      </c>
    </row>
    <row r="178" spans="1:10" x14ac:dyDescent="0.3">
      <c r="A178" t="s">
        <v>226</v>
      </c>
      <c r="B178">
        <v>2</v>
      </c>
      <c r="E178" t="s">
        <v>225</v>
      </c>
      <c r="F178">
        <v>2047</v>
      </c>
      <c r="J178" t="s">
        <v>482</v>
      </c>
    </row>
    <row r="179" spans="1:10" x14ac:dyDescent="0.3">
      <c r="A179" t="s">
        <v>226</v>
      </c>
      <c r="B179">
        <v>2</v>
      </c>
      <c r="E179" t="s">
        <v>225</v>
      </c>
      <c r="F179">
        <v>2048</v>
      </c>
      <c r="J179" t="s">
        <v>482</v>
      </c>
    </row>
    <row r="180" spans="1:10" x14ac:dyDescent="0.3">
      <c r="A180" t="s">
        <v>226</v>
      </c>
      <c r="B180">
        <v>2</v>
      </c>
      <c r="E180" t="s">
        <v>225</v>
      </c>
      <c r="F180">
        <v>2049</v>
      </c>
      <c r="J180" t="s">
        <v>482</v>
      </c>
    </row>
    <row r="181" spans="1:10" x14ac:dyDescent="0.3">
      <c r="A181" t="s">
        <v>226</v>
      </c>
      <c r="B181">
        <v>2</v>
      </c>
      <c r="E181" t="s">
        <v>225</v>
      </c>
      <c r="F181">
        <v>2050</v>
      </c>
      <c r="J181" t="s">
        <v>482</v>
      </c>
    </row>
    <row r="182" spans="1:10" x14ac:dyDescent="0.3">
      <c r="A182" t="s">
        <v>226</v>
      </c>
      <c r="B182">
        <v>2</v>
      </c>
      <c r="E182" t="s">
        <v>225</v>
      </c>
      <c r="F182">
        <v>2021</v>
      </c>
      <c r="J182" t="s">
        <v>480</v>
      </c>
    </row>
    <row r="183" spans="1:10" x14ac:dyDescent="0.3">
      <c r="A183" t="s">
        <v>226</v>
      </c>
      <c r="B183">
        <v>2</v>
      </c>
      <c r="E183" t="s">
        <v>225</v>
      </c>
      <c r="F183">
        <v>2022</v>
      </c>
      <c r="J183" t="s">
        <v>480</v>
      </c>
    </row>
    <row r="184" spans="1:10" x14ac:dyDescent="0.3">
      <c r="A184" t="s">
        <v>226</v>
      </c>
      <c r="B184">
        <v>2</v>
      </c>
      <c r="E184" t="s">
        <v>225</v>
      </c>
      <c r="F184">
        <v>2023</v>
      </c>
      <c r="J184" t="s">
        <v>480</v>
      </c>
    </row>
    <row r="185" spans="1:10" x14ac:dyDescent="0.3">
      <c r="A185" t="s">
        <v>226</v>
      </c>
      <c r="B185">
        <v>2</v>
      </c>
      <c r="E185" t="s">
        <v>225</v>
      </c>
      <c r="F185">
        <v>2024</v>
      </c>
      <c r="J185" t="s">
        <v>480</v>
      </c>
    </row>
    <row r="186" spans="1:10" x14ac:dyDescent="0.3">
      <c r="A186" t="s">
        <v>226</v>
      </c>
      <c r="B186">
        <v>2</v>
      </c>
      <c r="E186" t="s">
        <v>225</v>
      </c>
      <c r="F186">
        <v>2025</v>
      </c>
      <c r="J186" t="s">
        <v>480</v>
      </c>
    </row>
    <row r="187" spans="1:10" x14ac:dyDescent="0.3">
      <c r="A187" t="s">
        <v>226</v>
      </c>
      <c r="B187">
        <v>2</v>
      </c>
      <c r="E187" t="s">
        <v>225</v>
      </c>
      <c r="F187">
        <v>2026</v>
      </c>
      <c r="J187" t="s">
        <v>480</v>
      </c>
    </row>
    <row r="188" spans="1:10" x14ac:dyDescent="0.3">
      <c r="A188" t="s">
        <v>226</v>
      </c>
      <c r="B188">
        <v>2</v>
      </c>
      <c r="E188" t="s">
        <v>225</v>
      </c>
      <c r="F188">
        <v>2027</v>
      </c>
      <c r="J188" t="s">
        <v>480</v>
      </c>
    </row>
    <row r="189" spans="1:10" x14ac:dyDescent="0.3">
      <c r="A189" t="s">
        <v>226</v>
      </c>
      <c r="B189">
        <v>2</v>
      </c>
      <c r="E189" t="s">
        <v>225</v>
      </c>
      <c r="F189">
        <v>2028</v>
      </c>
      <c r="J189" t="s">
        <v>480</v>
      </c>
    </row>
    <row r="190" spans="1:10" x14ac:dyDescent="0.3">
      <c r="A190" t="s">
        <v>226</v>
      </c>
      <c r="B190">
        <v>2</v>
      </c>
      <c r="E190" t="s">
        <v>225</v>
      </c>
      <c r="F190">
        <v>2029</v>
      </c>
      <c r="J190" t="s">
        <v>480</v>
      </c>
    </row>
    <row r="191" spans="1:10" x14ac:dyDescent="0.3">
      <c r="A191" t="s">
        <v>226</v>
      </c>
      <c r="B191">
        <v>2</v>
      </c>
      <c r="E191" t="s">
        <v>225</v>
      </c>
      <c r="F191">
        <v>2030</v>
      </c>
      <c r="J191" t="s">
        <v>480</v>
      </c>
    </row>
    <row r="192" spans="1:10" x14ac:dyDescent="0.3">
      <c r="A192" t="s">
        <v>226</v>
      </c>
      <c r="B192">
        <v>2</v>
      </c>
      <c r="E192" t="s">
        <v>225</v>
      </c>
      <c r="F192">
        <v>2031</v>
      </c>
      <c r="J192" t="s">
        <v>480</v>
      </c>
    </row>
    <row r="193" spans="1:10" x14ac:dyDescent="0.3">
      <c r="A193" t="s">
        <v>226</v>
      </c>
      <c r="B193">
        <v>2</v>
      </c>
      <c r="E193" t="s">
        <v>225</v>
      </c>
      <c r="F193">
        <v>2032</v>
      </c>
      <c r="J193" t="s">
        <v>480</v>
      </c>
    </row>
    <row r="194" spans="1:10" x14ac:dyDescent="0.3">
      <c r="A194" t="s">
        <v>226</v>
      </c>
      <c r="B194">
        <v>2</v>
      </c>
      <c r="E194" t="s">
        <v>225</v>
      </c>
      <c r="F194">
        <v>2033</v>
      </c>
      <c r="J194" t="s">
        <v>480</v>
      </c>
    </row>
    <row r="195" spans="1:10" x14ac:dyDescent="0.3">
      <c r="A195" t="s">
        <v>226</v>
      </c>
      <c r="B195">
        <v>2</v>
      </c>
      <c r="E195" t="s">
        <v>225</v>
      </c>
      <c r="F195">
        <v>2034</v>
      </c>
      <c r="J195" t="s">
        <v>480</v>
      </c>
    </row>
    <row r="196" spans="1:10" x14ac:dyDescent="0.3">
      <c r="A196" t="s">
        <v>226</v>
      </c>
      <c r="B196">
        <v>2</v>
      </c>
      <c r="E196" t="s">
        <v>225</v>
      </c>
      <c r="F196">
        <v>2035</v>
      </c>
      <c r="J196" t="s">
        <v>480</v>
      </c>
    </row>
    <row r="197" spans="1:10" x14ac:dyDescent="0.3">
      <c r="A197" t="s">
        <v>226</v>
      </c>
      <c r="B197">
        <v>2</v>
      </c>
      <c r="E197" t="s">
        <v>225</v>
      </c>
      <c r="F197">
        <v>2036</v>
      </c>
      <c r="J197" t="s">
        <v>480</v>
      </c>
    </row>
    <row r="198" spans="1:10" x14ac:dyDescent="0.3">
      <c r="A198" t="s">
        <v>226</v>
      </c>
      <c r="B198">
        <v>2</v>
      </c>
      <c r="E198" t="s">
        <v>225</v>
      </c>
      <c r="F198">
        <v>2037</v>
      </c>
      <c r="J198" t="s">
        <v>480</v>
      </c>
    </row>
    <row r="199" spans="1:10" x14ac:dyDescent="0.3">
      <c r="A199" t="s">
        <v>226</v>
      </c>
      <c r="B199">
        <v>2</v>
      </c>
      <c r="E199" t="s">
        <v>225</v>
      </c>
      <c r="F199">
        <v>2038</v>
      </c>
      <c r="J199" t="s">
        <v>480</v>
      </c>
    </row>
    <row r="200" spans="1:10" x14ac:dyDescent="0.3">
      <c r="A200" t="s">
        <v>226</v>
      </c>
      <c r="B200">
        <v>2</v>
      </c>
      <c r="E200" t="s">
        <v>225</v>
      </c>
      <c r="F200">
        <v>2039</v>
      </c>
      <c r="J200" t="s">
        <v>480</v>
      </c>
    </row>
    <row r="201" spans="1:10" x14ac:dyDescent="0.3">
      <c r="A201" t="s">
        <v>226</v>
      </c>
      <c r="B201">
        <v>2</v>
      </c>
      <c r="E201" t="s">
        <v>225</v>
      </c>
      <c r="F201">
        <v>2040</v>
      </c>
      <c r="J201" t="s">
        <v>480</v>
      </c>
    </row>
    <row r="202" spans="1:10" x14ac:dyDescent="0.3">
      <c r="A202" t="s">
        <v>226</v>
      </c>
      <c r="B202">
        <v>2</v>
      </c>
      <c r="E202" t="s">
        <v>225</v>
      </c>
      <c r="F202">
        <v>2041</v>
      </c>
      <c r="J202" t="s">
        <v>480</v>
      </c>
    </row>
    <row r="203" spans="1:10" x14ac:dyDescent="0.3">
      <c r="A203" t="s">
        <v>226</v>
      </c>
      <c r="B203">
        <v>2</v>
      </c>
      <c r="E203" t="s">
        <v>225</v>
      </c>
      <c r="F203">
        <v>2042</v>
      </c>
      <c r="J203" t="s">
        <v>480</v>
      </c>
    </row>
    <row r="204" spans="1:10" x14ac:dyDescent="0.3">
      <c r="A204" t="s">
        <v>226</v>
      </c>
      <c r="B204">
        <v>2</v>
      </c>
      <c r="E204" t="s">
        <v>225</v>
      </c>
      <c r="F204">
        <v>2043</v>
      </c>
      <c r="J204" t="s">
        <v>480</v>
      </c>
    </row>
    <row r="205" spans="1:10" x14ac:dyDescent="0.3">
      <c r="A205" t="s">
        <v>226</v>
      </c>
      <c r="B205">
        <v>2</v>
      </c>
      <c r="E205" t="s">
        <v>225</v>
      </c>
      <c r="F205">
        <v>2044</v>
      </c>
      <c r="J205" t="s">
        <v>480</v>
      </c>
    </row>
    <row r="206" spans="1:10" x14ac:dyDescent="0.3">
      <c r="A206" t="s">
        <v>226</v>
      </c>
      <c r="B206">
        <v>2</v>
      </c>
      <c r="E206" t="s">
        <v>225</v>
      </c>
      <c r="F206">
        <v>2045</v>
      </c>
      <c r="J206" t="s">
        <v>480</v>
      </c>
    </row>
    <row r="207" spans="1:10" x14ac:dyDescent="0.3">
      <c r="A207" t="s">
        <v>226</v>
      </c>
      <c r="B207">
        <v>2</v>
      </c>
      <c r="E207" t="s">
        <v>225</v>
      </c>
      <c r="F207">
        <v>2046</v>
      </c>
      <c r="J207" t="s">
        <v>480</v>
      </c>
    </row>
    <row r="208" spans="1:10" x14ac:dyDescent="0.3">
      <c r="A208" t="s">
        <v>226</v>
      </c>
      <c r="B208">
        <v>2</v>
      </c>
      <c r="E208" t="s">
        <v>225</v>
      </c>
      <c r="F208">
        <v>2047</v>
      </c>
      <c r="J208" t="s">
        <v>480</v>
      </c>
    </row>
    <row r="209" spans="1:10" x14ac:dyDescent="0.3">
      <c r="A209" t="s">
        <v>226</v>
      </c>
      <c r="B209">
        <v>2</v>
      </c>
      <c r="E209" t="s">
        <v>225</v>
      </c>
      <c r="F209">
        <v>2048</v>
      </c>
      <c r="J209" t="s">
        <v>480</v>
      </c>
    </row>
    <row r="210" spans="1:10" x14ac:dyDescent="0.3">
      <c r="A210" t="s">
        <v>226</v>
      </c>
      <c r="B210">
        <v>2</v>
      </c>
      <c r="E210" t="s">
        <v>225</v>
      </c>
      <c r="F210">
        <v>2049</v>
      </c>
      <c r="J210" t="s">
        <v>480</v>
      </c>
    </row>
    <row r="211" spans="1:10" x14ac:dyDescent="0.3">
      <c r="A211" t="s">
        <v>226</v>
      </c>
      <c r="B211">
        <v>2</v>
      </c>
      <c r="E211" t="s">
        <v>225</v>
      </c>
      <c r="F211">
        <v>2050</v>
      </c>
      <c r="J211" t="s">
        <v>480</v>
      </c>
    </row>
    <row r="212" spans="1:10" x14ac:dyDescent="0.3">
      <c r="A212" t="s">
        <v>226</v>
      </c>
      <c r="B212">
        <v>2</v>
      </c>
      <c r="E212" t="s">
        <v>225</v>
      </c>
      <c r="F212">
        <v>2021</v>
      </c>
      <c r="J212" t="s">
        <v>481</v>
      </c>
    </row>
    <row r="213" spans="1:10" x14ac:dyDescent="0.3">
      <c r="A213" t="s">
        <v>226</v>
      </c>
      <c r="B213">
        <v>2</v>
      </c>
      <c r="E213" t="s">
        <v>225</v>
      </c>
      <c r="F213">
        <v>2022</v>
      </c>
      <c r="J213" t="s">
        <v>481</v>
      </c>
    </row>
    <row r="214" spans="1:10" x14ac:dyDescent="0.3">
      <c r="A214" t="s">
        <v>226</v>
      </c>
      <c r="B214">
        <v>2</v>
      </c>
      <c r="E214" t="s">
        <v>225</v>
      </c>
      <c r="F214">
        <v>2023</v>
      </c>
      <c r="J214" t="s">
        <v>481</v>
      </c>
    </row>
    <row r="215" spans="1:10" x14ac:dyDescent="0.3">
      <c r="A215" t="s">
        <v>226</v>
      </c>
      <c r="B215">
        <v>2</v>
      </c>
      <c r="E215" t="s">
        <v>225</v>
      </c>
      <c r="F215">
        <v>2024</v>
      </c>
      <c r="J215" t="s">
        <v>481</v>
      </c>
    </row>
    <row r="216" spans="1:10" x14ac:dyDescent="0.3">
      <c r="A216" t="s">
        <v>226</v>
      </c>
      <c r="B216">
        <v>2</v>
      </c>
      <c r="E216" t="s">
        <v>225</v>
      </c>
      <c r="F216">
        <v>2025</v>
      </c>
      <c r="J216" t="s">
        <v>481</v>
      </c>
    </row>
    <row r="217" spans="1:10" x14ac:dyDescent="0.3">
      <c r="A217" t="s">
        <v>226</v>
      </c>
      <c r="B217">
        <v>2</v>
      </c>
      <c r="E217" t="s">
        <v>225</v>
      </c>
      <c r="F217">
        <v>2026</v>
      </c>
      <c r="J217" t="s">
        <v>481</v>
      </c>
    </row>
    <row r="218" spans="1:10" x14ac:dyDescent="0.3">
      <c r="A218" t="s">
        <v>226</v>
      </c>
      <c r="B218">
        <v>2</v>
      </c>
      <c r="E218" t="s">
        <v>225</v>
      </c>
      <c r="F218">
        <v>2027</v>
      </c>
      <c r="J218" t="s">
        <v>481</v>
      </c>
    </row>
    <row r="219" spans="1:10" x14ac:dyDescent="0.3">
      <c r="A219" t="s">
        <v>226</v>
      </c>
      <c r="B219">
        <v>2</v>
      </c>
      <c r="E219" t="s">
        <v>225</v>
      </c>
      <c r="F219">
        <v>2028</v>
      </c>
      <c r="J219" t="s">
        <v>481</v>
      </c>
    </row>
    <row r="220" spans="1:10" x14ac:dyDescent="0.3">
      <c r="A220" t="s">
        <v>226</v>
      </c>
      <c r="B220">
        <v>2</v>
      </c>
      <c r="E220" t="s">
        <v>225</v>
      </c>
      <c r="F220">
        <v>2029</v>
      </c>
      <c r="J220" t="s">
        <v>481</v>
      </c>
    </row>
    <row r="221" spans="1:10" x14ac:dyDescent="0.3">
      <c r="A221" t="s">
        <v>226</v>
      </c>
      <c r="B221">
        <v>2</v>
      </c>
      <c r="E221" t="s">
        <v>225</v>
      </c>
      <c r="F221">
        <v>2030</v>
      </c>
      <c r="J221" t="s">
        <v>481</v>
      </c>
    </row>
    <row r="222" spans="1:10" x14ac:dyDescent="0.3">
      <c r="A222" t="s">
        <v>226</v>
      </c>
      <c r="B222">
        <v>2</v>
      </c>
      <c r="E222" t="s">
        <v>225</v>
      </c>
      <c r="F222">
        <v>2031</v>
      </c>
      <c r="J222" t="s">
        <v>481</v>
      </c>
    </row>
    <row r="223" spans="1:10" x14ac:dyDescent="0.3">
      <c r="A223" t="s">
        <v>226</v>
      </c>
      <c r="B223">
        <v>2</v>
      </c>
      <c r="E223" t="s">
        <v>225</v>
      </c>
      <c r="F223">
        <v>2032</v>
      </c>
      <c r="J223" t="s">
        <v>481</v>
      </c>
    </row>
    <row r="224" spans="1:10" x14ac:dyDescent="0.3">
      <c r="A224" t="s">
        <v>226</v>
      </c>
      <c r="B224">
        <v>2</v>
      </c>
      <c r="E224" t="s">
        <v>225</v>
      </c>
      <c r="F224">
        <v>2033</v>
      </c>
      <c r="J224" t="s">
        <v>481</v>
      </c>
    </row>
    <row r="225" spans="1:10" x14ac:dyDescent="0.3">
      <c r="A225" t="s">
        <v>226</v>
      </c>
      <c r="B225">
        <v>2</v>
      </c>
      <c r="E225" t="s">
        <v>225</v>
      </c>
      <c r="F225">
        <v>2034</v>
      </c>
      <c r="J225" t="s">
        <v>481</v>
      </c>
    </row>
    <row r="226" spans="1:10" x14ac:dyDescent="0.3">
      <c r="A226" t="s">
        <v>226</v>
      </c>
      <c r="B226">
        <v>2</v>
      </c>
      <c r="E226" t="s">
        <v>225</v>
      </c>
      <c r="F226">
        <v>2035</v>
      </c>
      <c r="J226" t="s">
        <v>481</v>
      </c>
    </row>
    <row r="227" spans="1:10" x14ac:dyDescent="0.3">
      <c r="A227" t="s">
        <v>226</v>
      </c>
      <c r="B227">
        <v>2</v>
      </c>
      <c r="E227" t="s">
        <v>225</v>
      </c>
      <c r="F227">
        <v>2036</v>
      </c>
      <c r="J227" t="s">
        <v>481</v>
      </c>
    </row>
    <row r="228" spans="1:10" x14ac:dyDescent="0.3">
      <c r="A228" t="s">
        <v>226</v>
      </c>
      <c r="B228">
        <v>2</v>
      </c>
      <c r="E228" t="s">
        <v>225</v>
      </c>
      <c r="F228">
        <v>2037</v>
      </c>
      <c r="J228" t="s">
        <v>481</v>
      </c>
    </row>
    <row r="229" spans="1:10" x14ac:dyDescent="0.3">
      <c r="A229" t="s">
        <v>226</v>
      </c>
      <c r="B229">
        <v>2</v>
      </c>
      <c r="E229" t="s">
        <v>225</v>
      </c>
      <c r="F229">
        <v>2038</v>
      </c>
      <c r="J229" t="s">
        <v>481</v>
      </c>
    </row>
    <row r="230" spans="1:10" x14ac:dyDescent="0.3">
      <c r="A230" t="s">
        <v>226</v>
      </c>
      <c r="B230">
        <v>2</v>
      </c>
      <c r="E230" t="s">
        <v>225</v>
      </c>
      <c r="F230">
        <v>2039</v>
      </c>
      <c r="J230" t="s">
        <v>481</v>
      </c>
    </row>
    <row r="231" spans="1:10" x14ac:dyDescent="0.3">
      <c r="A231" t="s">
        <v>226</v>
      </c>
      <c r="B231">
        <v>2</v>
      </c>
      <c r="E231" t="s">
        <v>225</v>
      </c>
      <c r="F231">
        <v>2040</v>
      </c>
      <c r="J231" t="s">
        <v>481</v>
      </c>
    </row>
    <row r="232" spans="1:10" x14ac:dyDescent="0.3">
      <c r="A232" t="s">
        <v>226</v>
      </c>
      <c r="B232">
        <v>2</v>
      </c>
      <c r="E232" t="s">
        <v>225</v>
      </c>
      <c r="F232">
        <v>2041</v>
      </c>
      <c r="J232" t="s">
        <v>481</v>
      </c>
    </row>
    <row r="233" spans="1:10" x14ac:dyDescent="0.3">
      <c r="A233" t="s">
        <v>226</v>
      </c>
      <c r="B233">
        <v>2</v>
      </c>
      <c r="E233" t="s">
        <v>225</v>
      </c>
      <c r="F233">
        <v>2042</v>
      </c>
      <c r="J233" t="s">
        <v>481</v>
      </c>
    </row>
    <row r="234" spans="1:10" x14ac:dyDescent="0.3">
      <c r="A234" t="s">
        <v>226</v>
      </c>
      <c r="B234">
        <v>2</v>
      </c>
      <c r="E234" t="s">
        <v>225</v>
      </c>
      <c r="F234">
        <v>2043</v>
      </c>
      <c r="J234" t="s">
        <v>481</v>
      </c>
    </row>
    <row r="235" spans="1:10" x14ac:dyDescent="0.3">
      <c r="A235" t="s">
        <v>226</v>
      </c>
      <c r="B235">
        <v>2</v>
      </c>
      <c r="E235" t="s">
        <v>225</v>
      </c>
      <c r="F235">
        <v>2044</v>
      </c>
      <c r="J235" t="s">
        <v>481</v>
      </c>
    </row>
    <row r="236" spans="1:10" x14ac:dyDescent="0.3">
      <c r="A236" t="s">
        <v>226</v>
      </c>
      <c r="B236">
        <v>2</v>
      </c>
      <c r="E236" t="s">
        <v>225</v>
      </c>
      <c r="F236">
        <v>2045</v>
      </c>
      <c r="J236" t="s">
        <v>481</v>
      </c>
    </row>
    <row r="237" spans="1:10" x14ac:dyDescent="0.3">
      <c r="A237" t="s">
        <v>226</v>
      </c>
      <c r="B237">
        <v>2</v>
      </c>
      <c r="E237" t="s">
        <v>225</v>
      </c>
      <c r="F237">
        <v>2046</v>
      </c>
      <c r="J237" t="s">
        <v>481</v>
      </c>
    </row>
    <row r="238" spans="1:10" x14ac:dyDescent="0.3">
      <c r="A238" t="s">
        <v>226</v>
      </c>
      <c r="B238">
        <v>2</v>
      </c>
      <c r="E238" t="s">
        <v>225</v>
      </c>
      <c r="F238">
        <v>2047</v>
      </c>
      <c r="J238" t="s">
        <v>481</v>
      </c>
    </row>
    <row r="239" spans="1:10" x14ac:dyDescent="0.3">
      <c r="A239" t="s">
        <v>226</v>
      </c>
      <c r="B239">
        <v>2</v>
      </c>
      <c r="E239" t="s">
        <v>225</v>
      </c>
      <c r="F239">
        <v>2048</v>
      </c>
      <c r="J239" t="s">
        <v>481</v>
      </c>
    </row>
    <row r="240" spans="1:10" x14ac:dyDescent="0.3">
      <c r="A240" t="s">
        <v>226</v>
      </c>
      <c r="B240">
        <v>2</v>
      </c>
      <c r="E240" t="s">
        <v>225</v>
      </c>
      <c r="F240">
        <v>2049</v>
      </c>
      <c r="J240" t="s">
        <v>481</v>
      </c>
    </row>
    <row r="241" spans="1:16" x14ac:dyDescent="0.3">
      <c r="A241" t="s">
        <v>226</v>
      </c>
      <c r="B241">
        <v>2</v>
      </c>
      <c r="E241" t="s">
        <v>225</v>
      </c>
      <c r="F241">
        <v>2050</v>
      </c>
      <c r="J241" t="s">
        <v>481</v>
      </c>
    </row>
    <row r="242" spans="1:16" x14ac:dyDescent="0.3">
      <c r="A242" t="s">
        <v>42</v>
      </c>
      <c r="B242">
        <v>3</v>
      </c>
      <c r="E242" t="s">
        <v>183</v>
      </c>
      <c r="M242" t="s">
        <v>49</v>
      </c>
      <c r="N242" t="s">
        <v>55</v>
      </c>
      <c r="O242" t="s">
        <v>57</v>
      </c>
      <c r="P242">
        <v>1</v>
      </c>
    </row>
    <row r="243" spans="1:16" x14ac:dyDescent="0.3">
      <c r="A243" t="s">
        <v>42</v>
      </c>
      <c r="B243">
        <v>3</v>
      </c>
      <c r="E243" t="s">
        <v>183</v>
      </c>
      <c r="M243" t="s">
        <v>49</v>
      </c>
      <c r="N243" t="s">
        <v>58</v>
      </c>
      <c r="O243" t="s">
        <v>57</v>
      </c>
      <c r="P243">
        <v>0</v>
      </c>
    </row>
    <row r="244" spans="1:16" x14ac:dyDescent="0.3">
      <c r="A244" t="s">
        <v>42</v>
      </c>
      <c r="B244">
        <v>3</v>
      </c>
      <c r="E244" t="s">
        <v>183</v>
      </c>
      <c r="M244" t="s">
        <v>49</v>
      </c>
      <c r="N244" t="s">
        <v>59</v>
      </c>
      <c r="O244" t="s">
        <v>57</v>
      </c>
      <c r="P244">
        <v>0</v>
      </c>
    </row>
    <row r="245" spans="1:16" x14ac:dyDescent="0.3">
      <c r="A245" t="s">
        <v>42</v>
      </c>
      <c r="B245">
        <v>3</v>
      </c>
      <c r="E245" t="s">
        <v>183</v>
      </c>
      <c r="M245" t="s">
        <v>52</v>
      </c>
      <c r="N245" t="s">
        <v>60</v>
      </c>
      <c r="O245" t="s">
        <v>57</v>
      </c>
      <c r="P245">
        <v>1</v>
      </c>
    </row>
    <row r="246" spans="1:16" x14ac:dyDescent="0.3">
      <c r="A246" t="s">
        <v>42</v>
      </c>
      <c r="B246">
        <v>3</v>
      </c>
      <c r="E246" t="s">
        <v>183</v>
      </c>
      <c r="M246" t="s">
        <v>52</v>
      </c>
      <c r="N246" t="s">
        <v>58</v>
      </c>
      <c r="O246" t="s">
        <v>57</v>
      </c>
      <c r="P246">
        <v>0</v>
      </c>
    </row>
    <row r="247" spans="1:16" x14ac:dyDescent="0.3">
      <c r="A247" t="s">
        <v>42</v>
      </c>
      <c r="B247">
        <v>3</v>
      </c>
      <c r="E247" t="s">
        <v>183</v>
      </c>
      <c r="M247" t="s">
        <v>52</v>
      </c>
      <c r="N247" t="s">
        <v>59</v>
      </c>
      <c r="O247" t="s">
        <v>57</v>
      </c>
      <c r="P247">
        <v>0</v>
      </c>
    </row>
    <row r="248" spans="1:16" x14ac:dyDescent="0.3">
      <c r="A248" t="s">
        <v>42</v>
      </c>
      <c r="B248">
        <v>3</v>
      </c>
      <c r="E248" t="s">
        <v>183</v>
      </c>
      <c r="M248" t="s">
        <v>53</v>
      </c>
      <c r="N248" t="s">
        <v>55</v>
      </c>
      <c r="O248" t="s">
        <v>57</v>
      </c>
      <c r="P248">
        <v>1</v>
      </c>
    </row>
    <row r="249" spans="1:16" x14ac:dyDescent="0.3">
      <c r="A249" t="s">
        <v>42</v>
      </c>
      <c r="B249">
        <v>3</v>
      </c>
      <c r="E249" t="s">
        <v>183</v>
      </c>
      <c r="M249" t="s">
        <v>53</v>
      </c>
      <c r="N249" t="s">
        <v>58</v>
      </c>
      <c r="O249" t="s">
        <v>57</v>
      </c>
      <c r="P249">
        <v>0</v>
      </c>
    </row>
    <row r="250" spans="1:16" x14ac:dyDescent="0.3">
      <c r="A250" t="s">
        <v>42</v>
      </c>
      <c r="B250">
        <v>3</v>
      </c>
      <c r="E250" t="s">
        <v>183</v>
      </c>
      <c r="M250" t="s">
        <v>53</v>
      </c>
      <c r="N250" t="s">
        <v>59</v>
      </c>
      <c r="O250" t="s">
        <v>57</v>
      </c>
      <c r="P250">
        <v>0</v>
      </c>
    </row>
    <row r="251" spans="1:16" x14ac:dyDescent="0.3">
      <c r="A251" t="s">
        <v>110</v>
      </c>
      <c r="B251">
        <v>8</v>
      </c>
      <c r="E251" t="s">
        <v>293</v>
      </c>
      <c r="K251" t="s">
        <v>110</v>
      </c>
      <c r="O251" t="s">
        <v>36</v>
      </c>
      <c r="P251">
        <v>198.354755374798</v>
      </c>
    </row>
    <row r="252" spans="1:16" x14ac:dyDescent="0.3">
      <c r="A252" t="s">
        <v>110</v>
      </c>
      <c r="B252">
        <v>4</v>
      </c>
      <c r="E252" t="s">
        <v>292</v>
      </c>
      <c r="K252" t="s">
        <v>110</v>
      </c>
      <c r="O252" t="s">
        <v>208</v>
      </c>
      <c r="P252" t="s">
        <v>55</v>
      </c>
    </row>
    <row r="253" spans="1:16" x14ac:dyDescent="0.3">
      <c r="A253" t="s">
        <v>86</v>
      </c>
      <c r="B253">
        <v>4</v>
      </c>
      <c r="E253" t="s">
        <v>292</v>
      </c>
      <c r="K253" t="s">
        <v>86</v>
      </c>
      <c r="O253" t="s">
        <v>208</v>
      </c>
      <c r="P253" t="s">
        <v>55</v>
      </c>
    </row>
    <row r="254" spans="1:16" x14ac:dyDescent="0.3">
      <c r="A254" t="s">
        <v>85</v>
      </c>
      <c r="B254">
        <v>4</v>
      </c>
      <c r="E254" t="s">
        <v>292</v>
      </c>
      <c r="K254" t="s">
        <v>85</v>
      </c>
      <c r="O254" t="s">
        <v>208</v>
      </c>
      <c r="P254" t="s">
        <v>59</v>
      </c>
    </row>
    <row r="255" spans="1:16" x14ac:dyDescent="0.3">
      <c r="A255" t="s">
        <v>207</v>
      </c>
      <c r="B255">
        <v>4</v>
      </c>
      <c r="E255" t="s">
        <v>292</v>
      </c>
      <c r="K255" t="s">
        <v>207</v>
      </c>
      <c r="O255" t="s">
        <v>208</v>
      </c>
      <c r="P255" t="s">
        <v>59</v>
      </c>
    </row>
    <row r="256" spans="1:16" x14ac:dyDescent="0.3">
      <c r="A256" t="s">
        <v>211</v>
      </c>
      <c r="B256">
        <v>5</v>
      </c>
      <c r="E256" t="s">
        <v>111</v>
      </c>
      <c r="O256" t="s">
        <v>112</v>
      </c>
      <c r="P256" s="32">
        <v>6.8639406622490497E-3</v>
      </c>
    </row>
    <row r="257" spans="1:16" x14ac:dyDescent="0.3">
      <c r="A257" t="s">
        <v>211</v>
      </c>
      <c r="B257">
        <v>5</v>
      </c>
      <c r="E257" t="s">
        <v>111</v>
      </c>
      <c r="O257" t="s">
        <v>113</v>
      </c>
      <c r="P257">
        <v>297.57986556812102</v>
      </c>
    </row>
    <row r="258" spans="1:16" x14ac:dyDescent="0.3">
      <c r="A258" t="s">
        <v>211</v>
      </c>
      <c r="B258">
        <v>5</v>
      </c>
      <c r="E258" t="s">
        <v>111</v>
      </c>
      <c r="O258" t="s">
        <v>287</v>
      </c>
      <c r="P258">
        <v>-72103.0042918455</v>
      </c>
    </row>
    <row r="259" spans="1:16" x14ac:dyDescent="0.3">
      <c r="A259" t="s">
        <v>211</v>
      </c>
      <c r="B259">
        <v>5</v>
      </c>
      <c r="E259" t="s">
        <v>111</v>
      </c>
      <c r="O259" t="s">
        <v>288</v>
      </c>
      <c r="P259">
        <v>1021459.2274678112</v>
      </c>
    </row>
    <row r="260" spans="1:16" x14ac:dyDescent="0.3">
      <c r="A260" t="s">
        <v>214</v>
      </c>
      <c r="B260">
        <v>6</v>
      </c>
      <c r="E260" t="s">
        <v>217</v>
      </c>
      <c r="O260" t="s">
        <v>215</v>
      </c>
      <c r="P260">
        <v>0</v>
      </c>
    </row>
    <row r="261" spans="1:16" x14ac:dyDescent="0.3">
      <c r="A261" t="s">
        <v>214</v>
      </c>
      <c r="B261">
        <v>6</v>
      </c>
      <c r="E261" t="s">
        <v>217</v>
      </c>
      <c r="O261" t="s">
        <v>216</v>
      </c>
      <c r="P261">
        <v>0</v>
      </c>
    </row>
    <row r="262" spans="1:16" x14ac:dyDescent="0.3">
      <c r="A262" t="s">
        <v>108</v>
      </c>
      <c r="B262">
        <v>7</v>
      </c>
      <c r="E262" t="s">
        <v>218</v>
      </c>
      <c r="J262" t="s">
        <v>222</v>
      </c>
      <c r="O262" t="s">
        <v>219</v>
      </c>
      <c r="P262">
        <v>0.54</v>
      </c>
    </row>
    <row r="263" spans="1:16" x14ac:dyDescent="0.3">
      <c r="A263" t="s">
        <v>108</v>
      </c>
      <c r="B263">
        <v>7</v>
      </c>
      <c r="E263" t="s">
        <v>218</v>
      </c>
      <c r="J263" t="s">
        <v>482</v>
      </c>
      <c r="O263" t="s">
        <v>219</v>
      </c>
      <c r="P263">
        <v>0.54</v>
      </c>
    </row>
    <row r="264" spans="1:16" x14ac:dyDescent="0.3">
      <c r="A264" t="s">
        <v>108</v>
      </c>
      <c r="B264">
        <v>7</v>
      </c>
      <c r="E264" t="s">
        <v>218</v>
      </c>
      <c r="J264" t="s">
        <v>480</v>
      </c>
      <c r="O264" t="s">
        <v>219</v>
      </c>
      <c r="P264">
        <v>0.1</v>
      </c>
    </row>
    <row r="265" spans="1:16" x14ac:dyDescent="0.3">
      <c r="A265" t="s">
        <v>108</v>
      </c>
      <c r="B265">
        <v>7</v>
      </c>
      <c r="E265" t="s">
        <v>218</v>
      </c>
      <c r="J265" t="s">
        <v>481</v>
      </c>
      <c r="O265" t="s">
        <v>219</v>
      </c>
      <c r="P265">
        <v>0.1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740EC-20D4-41D4-B5C2-C428C05D167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9D1557-78C6-4D36-9B22-56F8FF3DE2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6087F3A-6136-4AA1-9D39-CEF9B5F5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1839245-7312-4215-81EF-38C749B189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References</vt:lpstr>
      <vt:lpstr>Tables</vt:lpstr>
      <vt:lpstr>Baseline</vt:lpstr>
      <vt:lpstr>Budget</vt:lpstr>
      <vt:lpstr>Projects</vt:lpstr>
      <vt:lpstr>Costs</vt:lpstr>
      <vt:lpstr>Assumptions</vt:lpstr>
      <vt:lpstr>UI_Tables</vt:lpstr>
      <vt:lpstr>Funding_Summary</vt:lpstr>
      <vt:lpstr>Scenarios</vt:lpstr>
      <vt:lpstr>Advanced</vt:lpstr>
    </vt:vector>
  </TitlesOfParts>
  <Company>Cambridge Systematics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Vendemiatti</dc:creator>
  <cp:lastModifiedBy>Adrienne Heller</cp:lastModifiedBy>
  <dcterms:created xsi:type="dcterms:W3CDTF">2023-12-13T19:36:03Z</dcterms:created>
  <dcterms:modified xsi:type="dcterms:W3CDTF">2025-10-01T19:06:06Z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