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" documentId="13_ncr:1_{3A1ED29F-8E13-4DAF-8D36-21724D5FD855}" xr6:coauthVersionLast="47" xr6:coauthVersionMax="47" xr10:uidLastSave="{F200D16D-EA06-4A9F-A119-77F744FA76E2}"/>
  <bookViews>
    <workbookView xWindow="0" yWindow="0" windowWidth="9600" windowHeight="10200" tabRatio="643" firstSheet="1" activeTab="2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Budget!$A$1:$N$83</definedName>
    <definedName name="ExternalData_8" localSheetId="3" hidden="1">Projects!$A$1:$O$238</definedName>
    <definedName name="ExternalData_9" localSheetId="6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<sst xmlns="http://schemas.openxmlformats.org/spreadsheetml/2006/main" count="4533" uniqueCount="393">
  <si>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</si>
  <si>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</si>
  <si>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</si>
  <si>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</si>
  <si>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</si>
  <si>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</si>
  <si>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</si>
  <si>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</si>
  <si>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</si>
  <si>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</si>
  <si>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</si>
  <si>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</si>
  <si>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</si>
  <si>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</si>
  <si>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</si>
  <si>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</si>
  <si>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</si>
  <si>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</si>
  <si>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</si>
  <si>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</si>
  <si>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</si>
  <si>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</si>
  <si>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</si>
  <si>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</si>
  <si>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</si>
  <si>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</si>
  <si>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</si>
  <si>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</si>
  <si>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</si>
  <si>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</si>
  <si>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</si>
  <si>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</si>
  <si>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</si>
  <si>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</si>
  <si>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</si>
  <si>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</si>
  <si>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</si>
  <si>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</si>
  <si>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</si>
  <si>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</si>
  <si>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</si>
  <si>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</si>
  <si>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</si>
  <si>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</si>
  <si>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</si>
  <si>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</si>
  <si>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</si>
  <si>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</si>
  <si>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</si>
  <si>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</si>
  <si>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</si>
  <si>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</si>
  <si>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</si>
  <si>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</si>
  <si>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</si>
  <si>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</si>
  <si>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</si>
  <si>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</si>
  <si>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</si>
  <si>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</si>
  <si>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</si>
  <si>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</si>
  <si>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</si>
  <si>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</si>
  <si>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</si>
  <si>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</si>
  <si>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</si>
  <si>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</si>
  <si>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</si>
  <si>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</si>
  <si>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</si>
  <si>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</si>
  <si>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</si>
  <si>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</si>
  <si>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</si>
  <si>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</si>
  <si>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</si>
  <si>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</si>
  <si>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</si>
  <si>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</si>
  <si>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</si>
  <si>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</si>
  <si>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</si>
  <si>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</si>
  <si>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</si>
  <si>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</si>
  <si>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</si>
  <si>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</si>
  <si>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</si>
  <si>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</si>
  <si>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</si>
  <si>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</si>
  <si>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</si>
  <si>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</si>
  <si>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</si>
  <si>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</si>
  <si>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</si>
  <si>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</si>
  <si>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</si>
  <si>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</si>
  <si>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</si>
  <si>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</si>
  <si>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</si>
  <si>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</si>
  <si>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</si>
  <si>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</si>
  <si>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</si>
  <si>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</si>
  <si>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</si>
  <si>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</si>
  <si>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</si>
  <si>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</si>
  <si>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</si>
  <si>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</si>
  <si>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</si>
  <si>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</si>
  <si>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</si>
  <si>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</si>
  <si>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</si>
  <si>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</si>
  <si>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</si>
  <si>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</si>
  <si>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</si>
  <si>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</si>
  <si>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</si>
  <si>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</si>
  <si>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</si>
  <si>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</si>
  <si>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</si>
  <si>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</si>
  <si>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</si>
  <si>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</si>
  <si>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</si>
  <si>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</si>
  <si>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</si>
  <si>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</si>
  <si>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</si>
  <si>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</si>
  <si>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</si>
  <si>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</si>
  <si>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</si>
  <si>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</si>
  <si>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</si>
  <si>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</si>
  <si>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</si>
  <si>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</si>
  <si>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</si>
  <si>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</si>
  <si>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</si>
  <si>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</si>
  <si>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</si>
  <si>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</si>
  <si>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</si>
  <si>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</si>
  <si>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</si>
  <si>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</si>
  <si>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</si>
  <si>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</si>
  <si>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</si>
  <si>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</si>
  <si>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</si>
  <si>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</si>
  <si>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</si>
  <si>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</si>
  <si>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</si>
  <si>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</si>
  <si>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</si>
  <si>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</si>
  <si>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</si>
  <si>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</si>
  <si>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</si>
  <si>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</si>
  <si>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</si>
  <si>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</si>
  <si>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</si>
  <si>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</si>
  <si>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</si>
  <si>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</si>
  <si>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</si>
  <si>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</si>
  <si>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</si>
  <si>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</si>
  <si>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</si>
  <si>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</si>
  <si>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</si>
  <si>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</si>
  <si>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</si>
  <si>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</si>
  <si>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</si>
  <si>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</si>
  <si>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</si>
  <si>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</si>
  <si>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</si>
  <si>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</si>
  <si>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</si>
  <si>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</si>
  <si>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</si>
  <si>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</si>
  <si>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</si>
  <si>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</si>
  <si>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</si>
  <si>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</si>
  <si>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</si>
  <si>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</si>
  <si>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</si>
  <si>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</si>
  <si>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</si>
  <si>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</si>
  <si>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</si>
  <si>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</si>
  <si>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</si>
  <si>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</si>
  <si>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</si>
  <si>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</si>
  <si>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</si>
  <si>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</si>
  <si>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</si>
  <si>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</si>
  <si>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</si>
  <si>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</si>
  <si>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</si>
  <si>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</si>
  <si>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</si>
  <si>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</si>
  <si>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</si>
  <si>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</si>
  <si>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</si>
  <si>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</si>
  <si>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</si>
  <si>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</si>
  <si>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</si>
  <si>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</si>
  <si>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</si>
  <si>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</si>
  <si>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</si>
  <si>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</si>
  <si>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</si>
  <si>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</si>
  <si>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</si>
  <si>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</si>
  <si>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</si>
  <si>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</si>
  <si>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</si>
  <si>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</si>
  <si>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</si>
  <si>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</si>
  <si>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</si>
  <si>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</si>
  <si>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</si>
  <si>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</si>
  <si>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</si>
  <si>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</si>
  <si>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</si>
  <si>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</si>
  <si>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</si>
  <si>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</si>
  <si>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</si>
  <si>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</si>
  <si>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</si>
  <si>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</si>
  <si>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</si>
  <si>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</si>
  <si>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</si>
  <si>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</si>
  <si>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</si>
  <si>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</si>
  <si>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</si>
  <si>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</si>
  <si>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</si>
  <si>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</si>
  <si>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</si>
  <si>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</si>
  <si>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</si>
  <si>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</si>
  <si>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</si>
  <si>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</si>
  <si>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</si>
  <si>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</si>
  <si>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</si>
  <si>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</si>
  <si>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</si>
  <si>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</si>
  <si>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</si>
  <si>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</si>
  <si>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</si>
  <si>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</si>
  <si>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</si>
  <si>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</si>
  <si>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</si>
  <si>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</si>
  <si>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</si>
  <si>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</si>
  <si>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</si>
  <si>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</si>
  <si>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</si>
  <si>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</si>
  <si>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</si>
  <si>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</si>
  <si>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</si>
  <si>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</si>
  <si>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</si>
  <si>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</si>
  <si>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</si>
  <si>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</si>
  <si>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</si>
  <si>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</si>
  <si>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</si>
  <si>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</si>
  <si>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</si>
  <si>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</si>
  <si>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</si>
  <si>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</si>
  <si>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</si>
  <si>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</si>
  <si>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</si>
  <si>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</si>
  <si>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</si>
  <si>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</si>
  <si>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</si>
  <si>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</si>
  <si>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</si>
  <si>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</si>
  <si>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</si>
  <si>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</si>
  <si>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</si>
  <si>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</si>
  <si>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</si>
  <si>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</si>
  <si>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</si>
  <si>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</si>
  <si>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</si>
  <si>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</si>
  <si>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</si>
  <si>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</si>
  <si>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</si>
  <si>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</si>
  <si>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</si>
  <si>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</si>
  <si>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</si>
  <si>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</si>
  <si>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</si>
  <si>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</si>
  <si>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</si>
  <si>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</si>
  <si>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</si>
  <si>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</si>
  <si>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</si>
  <si>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</si>
  <si>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</si>
  <si>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</si>
  <si>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</si>
  <si>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</si>
  <si>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</si>
  <si>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</si>
  <si>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</si>
  <si>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</si>
  <si>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</si>
  <si>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</si>
  <si>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</si>
  <si>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</si>
  <si>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</si>
  <si>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</si>
  <si>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</si>
  <si>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</si>
  <si>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</si>
  <si>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</si>
  <si>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</si>
  <si>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</si>
  <si>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</si>
  <si>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</si>
  <si>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</si>
  <si>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</si>
  <si>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</si>
  <si>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</si>
  <si>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</si>
  <si>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</si>
  <si>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</si>
  <si>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</si>
  <si>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Urban Density</t>
  </si>
  <si>
    <t>units_per_ac</t>
  </si>
  <si>
    <t>TOD Density - higher</t>
  </si>
  <si>
    <t>TOD Density - lower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</si>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</sst>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4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4"/>
    <tableColumn id="8" xr3:uid="{927D12FA-E6E4-40ED-AB5A-2B742A6ED84E}" name="horizon_year_2" dataDxfId="43"/>
    <tableColumn id="3" xr3:uid="{9BEACC32-3B49-40DA-9E88-0B4D191589E2}" name="horizon_year_3" dataDxfId="42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0"/>
    <tableColumn id="4" xr3:uid="{B620AAD0-B9A4-4177-8F0E-7C5D0A04C72C}" uniqueName="4" name="facility_type" queryTableFieldId="4" dataDxfId="39"/>
    <tableColumn id="5" xr3:uid="{65B39EA0-1134-49BF-BFF6-CDF5BACD108C}" uniqueName="5" name="charge_port_detail" queryTableFieldId="5" dataDxfId="38"/>
    <tableColumn id="6" xr3:uid="{D91B8D64-EE26-4F7F-B4D8-8621ACF6CD4E}" uniqueName="6" name="veh_type" queryTableFieldId="6" dataDxfId="37"/>
    <tableColumn id="7" xr3:uid="{EF16A9DF-60D7-403C-ABBD-748A320C6274}" uniqueName="7" name="fuel_type" queryTableFieldId="7" dataDxfId="36"/>
    <tableColumn id="8" xr3:uid="{00A1DE04-2630-431D-8192-A33FECA0793E}" uniqueName="8" name="road_class" queryTableFieldId="8" dataDxfId="35"/>
    <tableColumn id="9" xr3:uid="{96FECE33-0AB7-44CD-A867-E27AFFB4C993}" uniqueName="9" name="transit_mode" queryTableFieldId="9" dataDxfId="34"/>
    <tableColumn id="12" xr3:uid="{5915C8E6-C2D3-4BC6-9487-CA12FEAF8596}" uniqueName="12" name="custom_project" queryTableFieldId="16" dataDxfId="33"/>
    <tableColumn id="13" xr3:uid="{875C28AE-AB79-4510-9D5F-E845B3C0D359}" uniqueName="13" name="land_use" queryTableFieldId="19" dataDxfId="32"/>
    <tableColumn id="10" xr3:uid="{733DE83A-6E8B-4EA6-9AF5-EFE496246852}" uniqueName="10" name="unit" queryTableFieldId="10" dataDxfId="3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30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9"/>
    <tableColumn id="4" xr3:uid="{D3BC72C8-E616-41D1-8BDE-C01981E98C50}" uniqueName="4" name="facility_type" queryTableFieldId="4" dataDxfId="28"/>
    <tableColumn id="5" xr3:uid="{DE9B0B81-D03F-40C8-A7E0-2C4566D75915}" uniqueName="5" name="charge_port_detail" queryTableFieldId="5" dataDxfId="27"/>
    <tableColumn id="6" xr3:uid="{E3A69435-F1EF-4BE0-BBA9-51615447AF4D}" uniqueName="6" name="veh_type" queryTableFieldId="6" dataDxfId="26"/>
    <tableColumn id="7" xr3:uid="{7F2818A7-32C5-4448-9EED-3FA1FD5DD888}" uniqueName="7" name="fuel_type" queryTableFieldId="7" dataDxfId="25"/>
    <tableColumn id="8" xr3:uid="{C6B1FBC7-890F-46C4-93DC-44D9BD6628F8}" uniqueName="8" name="road_class" queryTableFieldId="8" dataDxfId="24"/>
    <tableColumn id="9" xr3:uid="{AC4BB92A-649A-46C1-A1B5-A4163A1F715F}" uniqueName="9" name="transit_mode" queryTableFieldId="9" dataDxfId="23"/>
    <tableColumn id="12" xr3:uid="{571966F0-B22F-4654-A1AF-23869D2014EE}" uniqueName="12" name="custom_project" queryTableFieldId="16" dataDxfId="22"/>
    <tableColumn id="13" xr3:uid="{09535CCD-227E-47EA-AFF9-4103517DE5AE}" uniqueName="13" name="land_use" queryTableFieldId="19" dataDxfId="21"/>
    <tableColumn id="10" xr3:uid="{18C4BBE5-FD66-4AF6-ABF4-4F2DF2EE344E}" uniqueName="10" name="unit" queryTableFieldId="10" dataDxfId="20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tableColumns count="14">
    <tableColumn id="1" xr3:uid="{3DD42230-3709-454B-BD0B-FA6259CCBFFB}" uniqueName="1" name="category" queryTableFieldId="1" dataDxfId="19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93" workbookViewId="0">
      <selection activeCell="B48" sqref="B48"/>
    </sheetView>
  </sheetViews>
  <sheetFormatPr defaultRowHeight="14.5" x14ac:dyDescent="0.35"/>
  <cols>
    <col min="1" max="1" width="33.7265625" bestFit="1" customWidth="1"/>
    <col min="2" max="2" width="49.179687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93</v>
      </c>
      <c r="B1" t="s">
        <v>258</v>
      </c>
    </row>
    <row r="2" spans="1:2" x14ac:dyDescent="0.35">
      <c r="A2" t="s">
        <v>198</v>
      </c>
      <c r="B2" t="s">
        <v>287</v>
      </c>
    </row>
    <row r="3" spans="1:2" x14ac:dyDescent="0.35">
      <c r="A3" t="s">
        <v>47</v>
      </c>
      <c r="B3" t="s">
        <v>305</v>
      </c>
    </row>
    <row r="4" spans="1:2" x14ac:dyDescent="0.35">
      <c r="A4" t="s">
        <v>1</v>
      </c>
      <c r="B4" t="s">
        <v>249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265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266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273</v>
      </c>
    </row>
    <row r="14" spans="1:2" x14ac:dyDescent="0.35">
      <c r="A14" t="s">
        <v>0</v>
      </c>
      <c r="B14" t="s">
        <v>246</v>
      </c>
    </row>
    <row r="15" spans="1:2" x14ac:dyDescent="0.35">
      <c r="A15" t="s">
        <v>254</v>
      </c>
      <c r="B15" t="s">
        <v>255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288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291</v>
      </c>
    </row>
    <row r="21" spans="1:2" x14ac:dyDescent="0.35">
      <c r="A21" t="s">
        <v>221</v>
      </c>
      <c r="B21" t="s">
        <v>354</v>
      </c>
    </row>
    <row r="22" spans="1:2" x14ac:dyDescent="0.35">
      <c r="A22" t="s">
        <v>325</v>
      </c>
      <c r="B22" t="s">
        <v>326</v>
      </c>
    </row>
    <row r="23" spans="1:2" x14ac:dyDescent="0.35">
      <c r="A23" t="s">
        <v>206</v>
      </c>
      <c r="B23" t="s">
        <v>293</v>
      </c>
    </row>
    <row r="24" spans="1:2" x14ac:dyDescent="0.35">
      <c r="A24" t="s">
        <v>208</v>
      </c>
      <c r="B24" t="s">
        <v>295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294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259</v>
      </c>
      <c r="B29" t="s">
        <v>260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252</v>
      </c>
      <c r="B32" t="s">
        <v>253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250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299</v>
      </c>
      <c r="B37" t="s">
        <v>302</v>
      </c>
    </row>
    <row r="38" spans="1:2" x14ac:dyDescent="0.35">
      <c r="A38" t="s">
        <v>298</v>
      </c>
      <c r="B38" t="s">
        <v>301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274</v>
      </c>
      <c r="B41" t="s">
        <v>275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353</v>
      </c>
    </row>
    <row r="49" spans="1:2" x14ac:dyDescent="0.35">
      <c r="A49" t="s">
        <v>99</v>
      </c>
      <c r="B49" t="s">
        <v>292</v>
      </c>
    </row>
    <row r="50" spans="1:2" x14ac:dyDescent="0.35">
      <c r="A50" t="s">
        <v>112</v>
      </c>
      <c r="B50" t="s">
        <v>283</v>
      </c>
    </row>
    <row r="51" spans="1:2" x14ac:dyDescent="0.35">
      <c r="A51" t="s">
        <v>113</v>
      </c>
      <c r="B51" t="s">
        <v>284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290</v>
      </c>
    </row>
    <row r="54" spans="1:2" x14ac:dyDescent="0.35">
      <c r="A54" t="s">
        <v>101</v>
      </c>
      <c r="B54" t="s">
        <v>289</v>
      </c>
    </row>
    <row r="55" spans="1:2" x14ac:dyDescent="0.35">
      <c r="A55" t="s">
        <v>106</v>
      </c>
      <c r="B55" t="s">
        <v>286</v>
      </c>
    </row>
    <row r="56" spans="1:2" x14ac:dyDescent="0.35">
      <c r="A56" t="s">
        <v>110</v>
      </c>
      <c r="B56" t="s">
        <v>282</v>
      </c>
    </row>
    <row r="57" spans="1:2" x14ac:dyDescent="0.35">
      <c r="A57" t="s">
        <v>111</v>
      </c>
      <c r="B57" t="s">
        <v>285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264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257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296</v>
      </c>
    </row>
    <row r="70" spans="1:2" x14ac:dyDescent="0.35">
      <c r="A70" t="s">
        <v>6</v>
      </c>
      <c r="B70" t="s">
        <v>251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247</v>
      </c>
    </row>
    <row r="74" spans="1:2" x14ac:dyDescent="0.35">
      <c r="A74" t="s">
        <v>222</v>
      </c>
      <c r="B74" t="s">
        <v>355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248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306</v>
      </c>
      <c r="B79" t="s">
        <v>307</v>
      </c>
    </row>
    <row r="80" spans="1:2" x14ac:dyDescent="0.35">
      <c r="A80" t="s">
        <v>4</v>
      </c>
      <c r="B80" t="s">
        <v>256</v>
      </c>
    </row>
    <row r="81" spans="1:2" x14ac:dyDescent="0.35">
      <c r="A81" t="s">
        <v>36</v>
      </c>
      <c r="B81" t="s">
        <v>351</v>
      </c>
    </row>
    <row r="82" spans="1:2" x14ac:dyDescent="0.35">
      <c r="A82" t="s">
        <v>37</v>
      </c>
      <c r="B82" t="s">
        <v>352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348</v>
      </c>
      <c r="B84" t="s">
        <v>329</v>
      </c>
    </row>
    <row r="85" spans="1:2" x14ac:dyDescent="0.35">
      <c r="A85" t="s">
        <v>350</v>
      </c>
      <c r="B85" t="s">
        <v>330</v>
      </c>
    </row>
    <row r="86" spans="1:2" x14ac:dyDescent="0.35">
      <c r="A86" t="s">
        <v>54</v>
      </c>
      <c r="B86" t="s">
        <v>305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312</v>
      </c>
      <c r="B88" t="s">
        <v>309</v>
      </c>
    </row>
    <row r="89" spans="1:2" x14ac:dyDescent="0.35">
      <c r="A89" t="s">
        <v>320</v>
      </c>
      <c r="B89" t="s">
        <v>321</v>
      </c>
    </row>
    <row r="90" spans="1:2" x14ac:dyDescent="0.35">
      <c r="A90" t="s">
        <v>311</v>
      </c>
      <c r="B90" t="s">
        <v>328</v>
      </c>
    </row>
    <row r="91" spans="1:2" x14ac:dyDescent="0.35">
      <c r="A91" t="s">
        <v>310</v>
      </c>
      <c r="B91" t="s">
        <v>327</v>
      </c>
    </row>
    <row r="92" spans="1:2" x14ac:dyDescent="0.35">
      <c r="A92" t="s">
        <v>319</v>
      </c>
      <c r="B92" t="s">
        <v>322</v>
      </c>
    </row>
    <row r="93" spans="1:2" x14ac:dyDescent="0.35">
      <c r="A93" t="s">
        <v>356</v>
      </c>
      <c r="B93" t="s">
        <v>357</v>
      </c>
    </row>
    <row r="94" spans="1:2" x14ac:dyDescent="0.35">
      <c r="A94" t="s">
        <v>358</v>
      </c>
      <c r="B94" t="s">
        <v>359</v>
      </c>
    </row>
    <row r="95" spans="1:2" x14ac:dyDescent="0.35">
      <c r="A95" t="s">
        <v>358</v>
      </c>
      <c r="B95" t="s">
        <v>359</v>
      </c>
    </row>
    <row r="96" spans="1:2" x14ac:dyDescent="0.35">
      <c r="A96" t="s">
        <v>360</v>
      </c>
      <c r="B96" t="s">
        <v>373</v>
      </c>
    </row>
    <row r="97" spans="1:2" x14ac:dyDescent="0.35">
      <c r="A97" t="s">
        <v>360</v>
      </c>
      <c r="B97" t="s">
        <v>373</v>
      </c>
    </row>
    <row r="98" spans="1:2" x14ac:dyDescent="0.35">
      <c r="A98" t="s">
        <v>361</v>
      </c>
      <c r="B98" t="s">
        <v>372</v>
      </c>
    </row>
    <row r="99" spans="1:2" x14ac:dyDescent="0.35">
      <c r="A99" t="s">
        <v>362</v>
      </c>
      <c r="B99" t="s">
        <v>371</v>
      </c>
    </row>
    <row r="100" spans="1:2" x14ac:dyDescent="0.35">
      <c r="A100" t="s">
        <v>363</v>
      </c>
      <c r="B100" t="s">
        <v>370</v>
      </c>
    </row>
    <row r="101" spans="1:2" x14ac:dyDescent="0.35">
      <c r="A101" t="s">
        <v>364</v>
      </c>
      <c r="B101" t="s">
        <v>365</v>
      </c>
    </row>
    <row r="102" spans="1:2" x14ac:dyDescent="0.35">
      <c r="A102" t="s">
        <v>366</v>
      </c>
      <c r="B102" t="s">
        <v>368</v>
      </c>
    </row>
    <row r="103" spans="1:2" x14ac:dyDescent="0.35">
      <c r="A103" t="s">
        <v>367</v>
      </c>
      <c r="B103" t="s">
        <v>369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25" workbookViewId="0">
      <selection activeCell="D21" sqref="D21"/>
    </sheetView>
  </sheetViews>
  <sheetFormatPr defaultRowHeight="14.5" x14ac:dyDescent="0.35"/>
  <cols>
    <col min="1" max="1" width="12.7265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268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abSelected="1" topLeftCell="I1" workbookViewId="0">
      <selection activeCell="C2" sqref="C2:K2"/>
    </sheetView>
  </sheetViews>
  <sheetFormatPr defaultColWidth="10.7265625" defaultRowHeight="14.5" x14ac:dyDescent="0.35"/>
  <cols>
    <col min="1" max="1" width="10.1796875" customWidth="1"/>
    <col min="2" max="2" width="11.7265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0.26953125" customWidth="1"/>
  </cols>
  <sheetData>
    <row r="1" spans="1:11" x14ac:dyDescent="0.3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opLeftCell="A19" zoomScale="80" zoomScaleNormal="80" workbookViewId="0">
      <selection activeCell="A243" sqref="A243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3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5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5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5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5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5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35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35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35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35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5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5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35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35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35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35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5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35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35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3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3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3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3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5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35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35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5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35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35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5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35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35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5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35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35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5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35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35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5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35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35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3.7265625" bestFit="1" customWidth="1"/>
    <col min="5" max="5" width="13" bestFit="1" customWidth="1"/>
    <col min="6" max="6" width="30.54296875" customWidth="1"/>
    <col min="7" max="7" width="21.7265625" customWidth="1"/>
    <col min="8" max="8" width="11" customWidth="1"/>
    <col min="9" max="9" width="11.7265625" customWidth="1"/>
    <col min="10" max="11" width="17.54296875" customWidth="1"/>
    <col min="12" max="12" width="36" bestFit="1" customWidth="1"/>
    <col min="13" max="13" width="19.453125" bestFit="1" customWidth="1"/>
    <col min="14" max="14" width="47.54296875" customWidth="1"/>
  </cols>
  <sheetData>
    <row r="1" spans="1:14" ht="13.9" customHeight="1" x14ac:dyDescent="0.35">
      <c r="A1" s="1" t="s">
        <v>0</v>
      </c>
      <c r="B1" s="1" t="s">
        <v>144</v>
      </c>
      <c r="C1" s="1" t="s">
        <v>132</v>
      </c>
      <c r="D1" s="1" t="s">
        <v>1</v>
      </c>
      <c r="E1" s="1" t="s">
        <v>252</v>
      </c>
      <c r="F1" s="1" t="s">
        <v>254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300</v>
      </c>
      <c r="L1" s="1" t="s">
        <v>312</v>
      </c>
      <c r="M1" s="5" t="s">
        <v>170</v>
      </c>
      <c r="N1" t="s">
        <v>94</v>
      </c>
    </row>
    <row r="2" spans="1:14" x14ac:dyDescent="0.35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5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5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5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5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5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5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5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5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5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5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5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5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5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5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5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5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5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5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5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5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5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5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5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5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5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5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5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5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5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5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5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5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5">
      <c r="A35" t="s">
        <v>131</v>
      </c>
      <c r="B35" s="8">
        <v>5</v>
      </c>
      <c r="C35" t="s">
        <v>134</v>
      </c>
      <c r="M35" t="s">
        <v>79</v>
      </c>
      <c r="N35">
        <v>0</v>
      </c>
    </row>
    <row r="36" spans="1:14" x14ac:dyDescent="0.35">
      <c r="A36" t="s">
        <v>82</v>
      </c>
      <c r="B36">
        <v>4</v>
      </c>
      <c r="C36" t="s">
        <v>323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5">
      <c r="A37" t="s">
        <v>82</v>
      </c>
      <c r="B37">
        <v>4</v>
      </c>
      <c r="C37" t="s">
        <v>323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5">
      <c r="A38" t="s">
        <v>86</v>
      </c>
      <c r="B38">
        <v>4</v>
      </c>
      <c r="C38" t="s">
        <v>323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5">
      <c r="A39" t="s">
        <v>86</v>
      </c>
      <c r="B39">
        <v>4</v>
      </c>
      <c r="C39" t="s">
        <v>323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5">
      <c r="A40" t="s">
        <v>82</v>
      </c>
      <c r="B40">
        <v>4</v>
      </c>
      <c r="C40" t="s">
        <v>323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5">
      <c r="A41" t="s">
        <v>82</v>
      </c>
      <c r="B41">
        <v>4</v>
      </c>
      <c r="C41" t="s">
        <v>323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5">
      <c r="A42" t="s">
        <v>86</v>
      </c>
      <c r="B42">
        <v>4</v>
      </c>
      <c r="C42" t="s">
        <v>323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5">
      <c r="A43" t="s">
        <v>86</v>
      </c>
      <c r="B43">
        <v>4</v>
      </c>
      <c r="C43" t="s">
        <v>323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5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5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5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5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5">
      <c r="A48" t="s">
        <v>138</v>
      </c>
      <c r="B48" s="8">
        <v>7</v>
      </c>
      <c r="C48" t="s">
        <v>138</v>
      </c>
      <c r="M48" t="s">
        <v>151</v>
      </c>
      <c r="N48">
        <v>0</v>
      </c>
    </row>
    <row r="49" spans="1:14" x14ac:dyDescent="0.35">
      <c r="A49" t="s">
        <v>38</v>
      </c>
      <c r="B49" s="8">
        <v>8</v>
      </c>
      <c r="C49" t="s">
        <v>38</v>
      </c>
      <c r="M49" t="s">
        <v>139</v>
      </c>
      <c r="N49">
        <v>0</v>
      </c>
    </row>
    <row r="50" spans="1:14" x14ac:dyDescent="0.35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5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5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5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5">
      <c r="A54" t="s">
        <v>22</v>
      </c>
      <c r="B54">
        <v>10</v>
      </c>
      <c r="C54" t="s">
        <v>22</v>
      </c>
      <c r="G54" t="s">
        <v>229</v>
      </c>
      <c r="H54" t="s">
        <v>66</v>
      </c>
      <c r="M54" t="s">
        <v>78</v>
      </c>
      <c r="N54">
        <v>0</v>
      </c>
    </row>
    <row r="55" spans="1:14" x14ac:dyDescent="0.35">
      <c r="A55" t="s">
        <v>22</v>
      </c>
      <c r="B55">
        <v>10</v>
      </c>
      <c r="C55" t="s">
        <v>22</v>
      </c>
      <c r="G55" t="s">
        <v>230</v>
      </c>
      <c r="H55" t="s">
        <v>66</v>
      </c>
      <c r="M55" t="s">
        <v>78</v>
      </c>
      <c r="N55">
        <v>0</v>
      </c>
    </row>
    <row r="56" spans="1:14" x14ac:dyDescent="0.35">
      <c r="A56" t="s">
        <v>22</v>
      </c>
      <c r="B56">
        <v>10</v>
      </c>
      <c r="C56" t="s">
        <v>22</v>
      </c>
      <c r="G56" t="s">
        <v>230</v>
      </c>
      <c r="H56" t="s">
        <v>61</v>
      </c>
      <c r="M56" t="s">
        <v>78</v>
      </c>
      <c r="N56">
        <v>0</v>
      </c>
    </row>
    <row r="57" spans="1:14" x14ac:dyDescent="0.35">
      <c r="A57" t="s">
        <v>22</v>
      </c>
      <c r="B57">
        <v>10</v>
      </c>
      <c r="C57" t="s">
        <v>22</v>
      </c>
      <c r="G57" t="s">
        <v>231</v>
      </c>
      <c r="H57" t="s">
        <v>61</v>
      </c>
      <c r="M57" t="s">
        <v>78</v>
      </c>
      <c r="N57">
        <v>0</v>
      </c>
    </row>
    <row r="58" spans="1:14" x14ac:dyDescent="0.35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5">
      <c r="A59" t="s">
        <v>20</v>
      </c>
      <c r="B59" s="8">
        <v>11</v>
      </c>
      <c r="C59" t="s">
        <v>20</v>
      </c>
      <c r="M59" t="s">
        <v>196</v>
      </c>
      <c r="N59">
        <v>0</v>
      </c>
    </row>
    <row r="60" spans="1:14" x14ac:dyDescent="0.35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5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5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5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5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5">
      <c r="A65" s="4" t="s">
        <v>76</v>
      </c>
      <c r="B65" s="4">
        <v>12</v>
      </c>
      <c r="C65" s="4" t="s">
        <v>76</v>
      </c>
      <c r="F65" s="4" t="s">
        <v>324</v>
      </c>
      <c r="M65" s="4" t="s">
        <v>325</v>
      </c>
      <c r="N65" s="4">
        <v>0</v>
      </c>
    </row>
    <row r="66" spans="1:14" x14ac:dyDescent="0.35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5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5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5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5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5">
      <c r="A71" t="s">
        <v>308</v>
      </c>
      <c r="B71">
        <v>16</v>
      </c>
      <c r="C71" t="s">
        <v>308</v>
      </c>
      <c r="D71" t="s">
        <v>10</v>
      </c>
      <c r="J71" t="s">
        <v>55</v>
      </c>
      <c r="M71" t="s">
        <v>320</v>
      </c>
      <c r="N71">
        <v>0</v>
      </c>
    </row>
    <row r="72" spans="1:14" x14ac:dyDescent="0.35">
      <c r="A72" t="s">
        <v>308</v>
      </c>
      <c r="B72">
        <v>16</v>
      </c>
      <c r="C72" t="s">
        <v>308</v>
      </c>
      <c r="D72" t="s">
        <v>12</v>
      </c>
      <c r="J72" t="s">
        <v>55</v>
      </c>
      <c r="M72" t="s">
        <v>320</v>
      </c>
      <c r="N72">
        <v>0</v>
      </c>
    </row>
    <row r="73" spans="1:14" x14ac:dyDescent="0.35">
      <c r="A73" t="s">
        <v>308</v>
      </c>
      <c r="B73">
        <v>16</v>
      </c>
      <c r="C73" t="s">
        <v>308</v>
      </c>
      <c r="D73" t="s">
        <v>10</v>
      </c>
      <c r="J73" t="s">
        <v>58</v>
      </c>
      <c r="M73" t="s">
        <v>320</v>
      </c>
      <c r="N73">
        <v>0</v>
      </c>
    </row>
    <row r="74" spans="1:14" x14ac:dyDescent="0.35">
      <c r="A74" t="s">
        <v>308</v>
      </c>
      <c r="B74">
        <v>16</v>
      </c>
      <c r="C74" t="s">
        <v>308</v>
      </c>
      <c r="D74" t="s">
        <v>12</v>
      </c>
      <c r="J74" t="s">
        <v>58</v>
      </c>
      <c r="M74" t="s">
        <v>320</v>
      </c>
      <c r="N74">
        <v>0</v>
      </c>
    </row>
    <row r="75" spans="1:14" x14ac:dyDescent="0.35">
      <c r="A75" t="s">
        <v>308</v>
      </c>
      <c r="B75">
        <v>16</v>
      </c>
      <c r="C75" t="s">
        <v>308</v>
      </c>
      <c r="D75" t="s">
        <v>33</v>
      </c>
      <c r="J75" t="s">
        <v>213</v>
      </c>
      <c r="M75" t="s">
        <v>320</v>
      </c>
      <c r="N75">
        <v>0</v>
      </c>
    </row>
    <row r="76" spans="1:14" x14ac:dyDescent="0.35">
      <c r="A76" t="s">
        <v>308</v>
      </c>
      <c r="B76">
        <v>16</v>
      </c>
      <c r="C76" t="s">
        <v>308</v>
      </c>
      <c r="D76" t="s">
        <v>33</v>
      </c>
      <c r="J76" t="s">
        <v>91</v>
      </c>
      <c r="M76" t="s">
        <v>320</v>
      </c>
      <c r="N76">
        <v>0</v>
      </c>
    </row>
    <row r="77" spans="1:14" x14ac:dyDescent="0.35">
      <c r="A77" t="s">
        <v>308</v>
      </c>
      <c r="B77">
        <v>16</v>
      </c>
      <c r="C77" t="s">
        <v>308</v>
      </c>
      <c r="D77" t="s">
        <v>33</v>
      </c>
      <c r="J77" t="s">
        <v>92</v>
      </c>
      <c r="M77" t="s">
        <v>320</v>
      </c>
      <c r="N77">
        <v>0</v>
      </c>
    </row>
    <row r="78" spans="1:14" x14ac:dyDescent="0.35">
      <c r="A78" t="s">
        <v>309</v>
      </c>
      <c r="B78">
        <v>15</v>
      </c>
      <c r="C78" t="s">
        <v>309</v>
      </c>
      <c r="L78" t="s">
        <v>313</v>
      </c>
      <c r="M78" t="s">
        <v>311</v>
      </c>
      <c r="N78">
        <v>0</v>
      </c>
    </row>
    <row r="79" spans="1:14" x14ac:dyDescent="0.35">
      <c r="A79" t="s">
        <v>309</v>
      </c>
      <c r="B79">
        <v>15</v>
      </c>
      <c r="C79" t="s">
        <v>309</v>
      </c>
      <c r="L79" t="s">
        <v>314</v>
      </c>
      <c r="M79" t="s">
        <v>310</v>
      </c>
      <c r="N79">
        <v>0</v>
      </c>
    </row>
    <row r="80" spans="1:14" x14ac:dyDescent="0.35">
      <c r="A80" t="s">
        <v>309</v>
      </c>
      <c r="B80">
        <v>15</v>
      </c>
      <c r="C80" t="s">
        <v>309</v>
      </c>
      <c r="L80" t="s">
        <v>315</v>
      </c>
      <c r="M80" t="s">
        <v>310</v>
      </c>
      <c r="N80">
        <v>0</v>
      </c>
    </row>
    <row r="81" spans="1:14" x14ac:dyDescent="0.35">
      <c r="A81" t="s">
        <v>309</v>
      </c>
      <c r="B81">
        <v>15</v>
      </c>
      <c r="C81" t="s">
        <v>309</v>
      </c>
      <c r="L81" t="s">
        <v>316</v>
      </c>
      <c r="M81" t="s">
        <v>310</v>
      </c>
      <c r="N81">
        <v>0</v>
      </c>
    </row>
    <row r="82" spans="1:14" x14ac:dyDescent="0.35">
      <c r="A82" t="s">
        <v>309</v>
      </c>
      <c r="B82">
        <v>15</v>
      </c>
      <c r="C82" t="s">
        <v>309</v>
      </c>
      <c r="L82" t="s">
        <v>317</v>
      </c>
      <c r="M82" t="s">
        <v>310</v>
      </c>
      <c r="N82">
        <v>0</v>
      </c>
    </row>
    <row r="83" spans="1:14" x14ac:dyDescent="0.35">
      <c r="A83" t="s">
        <v>318</v>
      </c>
      <c r="B83" s="8">
        <v>17</v>
      </c>
      <c r="C83" t="s">
        <v>318</v>
      </c>
      <c r="M83" t="s">
        <v>319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5" x14ac:dyDescent="0.35"/>
  <cols>
    <col min="1" max="1" width="34" customWidth="1"/>
    <col min="2" max="2" width="21.7265625" customWidth="1"/>
    <col min="3" max="3" width="12.54296875" customWidth="1"/>
    <col min="4" max="4" width="9.08984375" bestFit="1" customWidth="1"/>
  </cols>
  <sheetData>
    <row r="1" spans="1:4" x14ac:dyDescent="0.35">
      <c r="A1" t="s">
        <v>348</v>
      </c>
      <c r="B1" t="s">
        <v>349</v>
      </c>
      <c r="C1" t="s">
        <v>350</v>
      </c>
      <c r="D1" t="s">
        <v>311</v>
      </c>
    </row>
    <row r="2" spans="1:4" x14ac:dyDescent="0.35">
      <c r="A2" t="s">
        <v>8</v>
      </c>
      <c r="B2" t="s">
        <v>334</v>
      </c>
      <c r="C2">
        <v>0</v>
      </c>
      <c r="D2">
        <v>0</v>
      </c>
    </row>
    <row r="3" spans="1:4" x14ac:dyDescent="0.35">
      <c r="A3" t="s">
        <v>331</v>
      </c>
      <c r="B3" t="s">
        <v>335</v>
      </c>
      <c r="C3">
        <v>0</v>
      </c>
      <c r="D3">
        <v>10</v>
      </c>
    </row>
    <row r="4" spans="1:4" x14ac:dyDescent="0.35">
      <c r="A4" t="s">
        <v>332</v>
      </c>
      <c r="B4" t="s">
        <v>336</v>
      </c>
      <c r="C4">
        <v>0</v>
      </c>
      <c r="D4">
        <v>0</v>
      </c>
    </row>
    <row r="5" spans="1:4" x14ac:dyDescent="0.35">
      <c r="A5" t="s">
        <v>138</v>
      </c>
      <c r="B5" t="s">
        <v>337</v>
      </c>
      <c r="C5">
        <v>0</v>
      </c>
      <c r="D5">
        <v>0</v>
      </c>
    </row>
    <row r="6" spans="1:4" x14ac:dyDescent="0.35">
      <c r="A6" t="s">
        <v>38</v>
      </c>
      <c r="B6" t="s">
        <v>338</v>
      </c>
      <c r="C6">
        <v>0</v>
      </c>
      <c r="D6">
        <v>0</v>
      </c>
    </row>
    <row r="7" spans="1:4" x14ac:dyDescent="0.35">
      <c r="A7" t="s">
        <v>80</v>
      </c>
      <c r="B7" t="s">
        <v>339</v>
      </c>
      <c r="C7">
        <v>0.5</v>
      </c>
      <c r="D7">
        <v>0</v>
      </c>
    </row>
    <row r="8" spans="1:4" x14ac:dyDescent="0.35">
      <c r="A8" t="s">
        <v>389</v>
      </c>
      <c r="B8" t="s">
        <v>391</v>
      </c>
      <c r="C8">
        <v>0</v>
      </c>
      <c r="D8">
        <v>3</v>
      </c>
    </row>
    <row r="9" spans="1:4" x14ac:dyDescent="0.35">
      <c r="A9" t="s">
        <v>20</v>
      </c>
      <c r="B9" t="s">
        <v>340</v>
      </c>
      <c r="C9">
        <v>0</v>
      </c>
      <c r="D9">
        <v>0</v>
      </c>
    </row>
    <row r="10" spans="1:4" x14ac:dyDescent="0.35">
      <c r="A10" t="s">
        <v>390</v>
      </c>
      <c r="B10" t="s">
        <v>341</v>
      </c>
      <c r="C10">
        <v>0</v>
      </c>
      <c r="D10">
        <v>20</v>
      </c>
    </row>
    <row r="11" spans="1:4" x14ac:dyDescent="0.35">
      <c r="A11" t="s">
        <v>392</v>
      </c>
      <c r="B11" t="s">
        <v>342</v>
      </c>
      <c r="C11">
        <v>0</v>
      </c>
      <c r="D11">
        <v>15</v>
      </c>
    </row>
    <row r="12" spans="1:4" x14ac:dyDescent="0.35">
      <c r="A12" t="s">
        <v>309</v>
      </c>
      <c r="B12" t="s">
        <v>343</v>
      </c>
      <c r="C12">
        <v>0.1</v>
      </c>
      <c r="D12">
        <v>0</v>
      </c>
    </row>
    <row r="13" spans="1:4" x14ac:dyDescent="0.35">
      <c r="A13" t="s">
        <v>308</v>
      </c>
      <c r="B13" t="s">
        <v>344</v>
      </c>
      <c r="C13">
        <v>0</v>
      </c>
      <c r="D13">
        <v>0</v>
      </c>
    </row>
    <row r="14" spans="1:4" x14ac:dyDescent="0.35">
      <c r="A14" t="s">
        <v>97</v>
      </c>
      <c r="B14" t="s">
        <v>345</v>
      </c>
      <c r="C14">
        <v>0.25</v>
      </c>
      <c r="D14">
        <v>0</v>
      </c>
    </row>
    <row r="15" spans="1:4" x14ac:dyDescent="0.35">
      <c r="A15" t="s">
        <v>318</v>
      </c>
      <c r="B15" t="s">
        <v>346</v>
      </c>
      <c r="C15">
        <v>0</v>
      </c>
      <c r="D15">
        <v>1</v>
      </c>
    </row>
    <row r="16" spans="1:4" x14ac:dyDescent="0.35">
      <c r="A16" t="s">
        <v>333</v>
      </c>
      <c r="B16" t="s">
        <v>347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F1" zoomScale="55" zoomScaleNormal="55" workbookViewId="0">
      <selection activeCell="S21" sqref="S21"/>
    </sheetView>
  </sheetViews>
  <sheetFormatPr defaultRowHeight="14.5" x14ac:dyDescent="0.35"/>
  <cols>
    <col min="1" max="1" width="12.1796875" customWidth="1"/>
    <col min="2" max="2" width="39.7265625" customWidth="1"/>
    <col min="3" max="3" width="20.1796875" bestFit="1" customWidth="1"/>
    <col min="4" max="5" width="39.7265625" customWidth="1"/>
    <col min="6" max="6" width="11.7265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265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>
        <v>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>
        <v>1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>
        <v>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>
        <v>1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>
        <v>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>
        <v>1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>
        <v>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>
        <v>1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>
        <v>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>
        <v>1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>
        <v>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>
        <v>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>
        <v>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>
        <v>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>
        <v>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>
        <v>1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>
        <v>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>
        <v>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>
        <v>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>
        <v>1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>
        <v>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>
        <v>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>
        <v>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>
        <v>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>
        <v>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>
        <v>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>
        <v>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>
        <v>1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>
        <v>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>
        <v>1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>
        <v>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>
        <v>1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>
        <v>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>
        <v>1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>
        <v>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>
        <v>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>
        <v>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>
        <v>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>
        <v>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>
        <v>1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>
        <v>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>
        <v>2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>
        <v>2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>
        <v>2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>
        <v>2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>
        <v>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>
        <v>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>
        <v>2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>
        <v>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>
        <v>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>
        <v>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>
        <v>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>
        <v>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>
        <v>2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>
        <v>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>
        <v>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>
        <v>2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>
        <v>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>
        <v>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>
        <v>0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>
        <v>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>
        <v>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>
        <v>3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>
        <v>3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>
        <v>3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>
        <v>3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>
        <v>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>
        <v>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>
        <v>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>
        <v>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>
        <v>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>
        <v>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>
        <v>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>
        <v>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>
        <v>3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>
        <v>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>
        <v>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>
        <v>8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>
        <v>9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>
        <v>9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>
        <v>9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>
        <v>9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>
        <v>9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>
        <v>11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>
        <v>13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>
        <v>15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>
        <v>15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>
        <v>15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>
        <v>15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5">
      <c r="A143" t="s">
        <v>318</v>
      </c>
      <c r="B143">
        <v>15</v>
      </c>
      <c r="C143">
        <v>16</v>
      </c>
      <c r="D143" t="s">
        <v>318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zoomScale="70" zoomScaleNormal="70" workbookViewId="0">
      <selection activeCell="I93" sqref="I93"/>
    </sheetView>
  </sheetViews>
  <sheetFormatPr defaultRowHeight="14.5" x14ac:dyDescent="0.35"/>
  <cols>
    <col min="1" max="1" width="39.54296875" bestFit="1" customWidth="1"/>
    <col min="2" max="2" width="17.7265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265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5">
      <c r="A92" t="s">
        <v>309</v>
      </c>
      <c r="B92">
        <v>9</v>
      </c>
      <c r="E92" t="s">
        <v>309</v>
      </c>
      <c r="I92" t="s">
        <v>388</v>
      </c>
      <c r="N92" t="s">
        <v>356</v>
      </c>
      <c r="O92">
        <v>25000</v>
      </c>
    </row>
    <row r="93" spans="1:15" x14ac:dyDescent="0.35">
      <c r="A93" t="s">
        <v>309</v>
      </c>
      <c r="B93">
        <v>9</v>
      </c>
      <c r="E93" t="s">
        <v>309</v>
      </c>
      <c r="I93" t="s">
        <v>387</v>
      </c>
      <c r="N93" t="s">
        <v>358</v>
      </c>
      <c r="O93">
        <v>10553</v>
      </c>
    </row>
    <row r="94" spans="1:15" x14ac:dyDescent="0.35">
      <c r="A94" t="s">
        <v>309</v>
      </c>
      <c r="B94">
        <v>9</v>
      </c>
      <c r="E94" t="s">
        <v>309</v>
      </c>
      <c r="I94" t="s">
        <v>386</v>
      </c>
      <c r="N94" t="s">
        <v>358</v>
      </c>
      <c r="O94">
        <v>7646</v>
      </c>
    </row>
    <row r="95" spans="1:15" x14ac:dyDescent="0.35">
      <c r="A95" t="s">
        <v>309</v>
      </c>
      <c r="B95">
        <v>9</v>
      </c>
      <c r="E95" t="s">
        <v>309</v>
      </c>
      <c r="I95" t="s">
        <v>374</v>
      </c>
      <c r="N95" t="s">
        <v>360</v>
      </c>
      <c r="O95">
        <v>-0.22</v>
      </c>
    </row>
    <row r="96" spans="1:15" x14ac:dyDescent="0.35">
      <c r="A96" t="s">
        <v>309</v>
      </c>
      <c r="B96">
        <v>9</v>
      </c>
      <c r="E96" t="s">
        <v>309</v>
      </c>
      <c r="I96" t="s">
        <v>375</v>
      </c>
      <c r="N96" t="s">
        <v>360</v>
      </c>
      <c r="O96">
        <v>-7.0000000000000007E-2</v>
      </c>
    </row>
    <row r="97" spans="1:15" x14ac:dyDescent="0.35">
      <c r="A97" t="s">
        <v>309</v>
      </c>
      <c r="B97">
        <v>9</v>
      </c>
      <c r="E97" t="s">
        <v>309</v>
      </c>
      <c r="I97" t="s">
        <v>372</v>
      </c>
      <c r="N97" t="s">
        <v>361</v>
      </c>
      <c r="O97">
        <v>19642</v>
      </c>
    </row>
    <row r="98" spans="1:15" x14ac:dyDescent="0.35">
      <c r="A98" t="s">
        <v>309</v>
      </c>
      <c r="B98">
        <v>9</v>
      </c>
      <c r="E98" t="s">
        <v>309</v>
      </c>
      <c r="I98" t="s">
        <v>371</v>
      </c>
      <c r="N98" t="s">
        <v>362</v>
      </c>
      <c r="O98">
        <v>2.5</v>
      </c>
    </row>
    <row r="99" spans="1:15" x14ac:dyDescent="0.35">
      <c r="A99" t="s">
        <v>309</v>
      </c>
      <c r="B99">
        <v>9</v>
      </c>
      <c r="E99" t="s">
        <v>309</v>
      </c>
      <c r="I99" t="s">
        <v>385</v>
      </c>
      <c r="N99" t="s">
        <v>363</v>
      </c>
      <c r="O99">
        <v>6350</v>
      </c>
    </row>
    <row r="100" spans="1:15" x14ac:dyDescent="0.35">
      <c r="A100" t="s">
        <v>309</v>
      </c>
      <c r="B100">
        <v>9</v>
      </c>
      <c r="E100" t="s">
        <v>309</v>
      </c>
      <c r="I100" t="s">
        <v>384</v>
      </c>
      <c r="N100" t="s">
        <v>42</v>
      </c>
      <c r="O100">
        <v>12.7</v>
      </c>
    </row>
    <row r="101" spans="1:15" x14ac:dyDescent="0.35">
      <c r="A101" t="s">
        <v>309</v>
      </c>
      <c r="B101">
        <v>9</v>
      </c>
      <c r="E101" t="s">
        <v>309</v>
      </c>
      <c r="I101" t="s">
        <v>383</v>
      </c>
      <c r="N101" t="s">
        <v>47</v>
      </c>
      <c r="O101">
        <v>250</v>
      </c>
    </row>
    <row r="102" spans="1:15" x14ac:dyDescent="0.35">
      <c r="A102" t="s">
        <v>309</v>
      </c>
      <c r="B102">
        <v>9</v>
      </c>
      <c r="E102" t="s">
        <v>309</v>
      </c>
      <c r="I102" t="s">
        <v>376</v>
      </c>
      <c r="N102" t="s">
        <v>364</v>
      </c>
      <c r="O102">
        <v>300</v>
      </c>
    </row>
    <row r="103" spans="1:15" x14ac:dyDescent="0.35">
      <c r="A103" t="s">
        <v>309</v>
      </c>
      <c r="B103">
        <v>9</v>
      </c>
      <c r="E103" t="s">
        <v>309</v>
      </c>
      <c r="I103" t="s">
        <v>377</v>
      </c>
      <c r="N103" t="s">
        <v>366</v>
      </c>
      <c r="O103">
        <v>145.19999999999999</v>
      </c>
    </row>
    <row r="104" spans="1:15" x14ac:dyDescent="0.35">
      <c r="A104" t="s">
        <v>309</v>
      </c>
      <c r="B104">
        <v>9</v>
      </c>
      <c r="E104" t="s">
        <v>309</v>
      </c>
      <c r="I104" t="s">
        <v>382</v>
      </c>
      <c r="N104" t="s">
        <v>367</v>
      </c>
      <c r="O104">
        <v>9</v>
      </c>
    </row>
    <row r="105" spans="1:15" x14ac:dyDescent="0.35">
      <c r="A105" t="s">
        <v>309</v>
      </c>
      <c r="B105">
        <v>9</v>
      </c>
      <c r="E105" t="s">
        <v>309</v>
      </c>
      <c r="I105" t="s">
        <v>378</v>
      </c>
      <c r="N105" t="s">
        <v>379</v>
      </c>
      <c r="O105">
        <v>18</v>
      </c>
    </row>
    <row r="106" spans="1:15" x14ac:dyDescent="0.35">
      <c r="A106" t="s">
        <v>309</v>
      </c>
      <c r="B106">
        <v>9</v>
      </c>
      <c r="E106" t="s">
        <v>309</v>
      </c>
      <c r="I106" t="s">
        <v>380</v>
      </c>
      <c r="N106" t="s">
        <v>379</v>
      </c>
      <c r="O106">
        <v>25</v>
      </c>
    </row>
    <row r="107" spans="1:15" x14ac:dyDescent="0.35">
      <c r="A107" t="s">
        <v>309</v>
      </c>
      <c r="B107">
        <v>9</v>
      </c>
      <c r="E107" t="s">
        <v>309</v>
      </c>
      <c r="I107" t="s">
        <v>381</v>
      </c>
      <c r="N107" t="s">
        <v>379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" zoomScaleNormal="100" workbookViewId="0">
      <selection activeCell="O271" sqref="O271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7265625" bestFit="1" customWidth="1"/>
    <col min="11" max="11" width="17.7265625" customWidth="1"/>
    <col min="12" max="12" width="11.453125" customWidth="1"/>
    <col min="13" max="13" width="14" customWidth="1"/>
    <col min="14" max="14" width="10.7265625" customWidth="1"/>
    <col min="15" max="15" width="17.7265625" bestFit="1" customWidth="1"/>
  </cols>
  <sheetData>
    <row r="1" spans="1:16" x14ac:dyDescent="0.3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2025-06-16T17:43:18Z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