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sys-my.sharepoint.com/personal/slarue_camsys_com/Documents/Documents/idot_github_puller/TEACART/data/"/>
    </mc:Choice>
  </mc:AlternateContent>
  <xr:revisionPtr revIDLastSave="1" documentId="8_{569D8C69-56BD-477E-B809-E2EEC4E162AD}" xr6:coauthVersionLast="47" xr6:coauthVersionMax="47" xr10:uidLastSave="{F112D18A-B4AE-43B2-8A63-FF523D98AA3C}"/>
  <bookViews>
    <workbookView minimized="1" xWindow="11550" yWindow="-15060" windowWidth="12150" windowHeight="21165" tabRatio="821" activeTab="1" xr2:uid="{426A841F-B111-4A0D-9E3D-FA64A226CE83}"/>
  </bookViews>
  <sheets>
    <sheet name="State_Populations" sheetId="1" r:id="rId1"/>
    <sheet name="Fuel_Econs" sheetId="2" r:id="rId2"/>
    <sheet name="Stock_Type_Tech_BASE" sheetId="18" r:id="rId3"/>
    <sheet name="AEO_VMT_Base" sheetId="3" r:id="rId4"/>
    <sheet name="HPMS" sheetId="4" r:id="rId5"/>
    <sheet name="NHS_VMT" sheetId="19" r:id="rId6"/>
    <sheet name="Electricity_EmRate" sheetId="20" r:id="rId7"/>
    <sheet name="VMT_State_Allocation" sheetId="9" r:id="rId8"/>
    <sheet name="State_Prices" sheetId="10" r:id="rId9"/>
    <sheet name="Bike_Ped" sheetId="5" r:id="rId10"/>
    <sheet name="Transit_Costs" sheetId="16" r:id="rId11"/>
    <sheet name="NTD_Service" sheetId="12" r:id="rId12"/>
    <sheet name="Fuel_Factors" sheetId="14" r:id="rId13"/>
    <sheet name="Fuel_Factors_Revision" sheetId="22" r:id="rId14"/>
    <sheet name="Warming_Potential" sheetId="17" r:id="rId15"/>
  </sheets>
  <externalReferences>
    <externalReference r:id="rId16"/>
    <externalReference r:id="rId17"/>
    <externalReference r:id="rId18"/>
  </externalReferences>
  <definedNames>
    <definedName name="_xlnm._FilterDatabase" localSheetId="3" hidden="1">AEO_VMT_Base!$A$1:$C$1</definedName>
    <definedName name="_xlnm._FilterDatabase" localSheetId="7" hidden="1">VMT_State_Allocation!$A$1:$C$1531</definedName>
    <definedName name="PHEV_Elec">'[1]Baseline Parameters'!#REF!</definedName>
    <definedName name="up_cng">'[1]Baseline Parameters'!$C$66</definedName>
    <definedName name="up_dies">'[1]Baseline Parameters'!$C$65</definedName>
    <definedName name="up_gas">'[1]Baseline Parameters'!$C$64</definedName>
    <definedName name="up_lpg">'[1]Baseline Parameters'!$C$67</definedName>
    <definedName name="ViewMode">'[2]Project Inputs'!$B$299:$B$300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9" l="1"/>
  <c r="H2" i="19" s="1"/>
  <c r="P57" i="19"/>
  <c r="O57" i="19"/>
  <c r="N57" i="19"/>
  <c r="M57" i="19"/>
  <c r="L57" i="19"/>
  <c r="K57" i="19"/>
  <c r="J57" i="19"/>
  <c r="I57" i="19"/>
  <c r="P56" i="19"/>
  <c r="O56" i="19"/>
  <c r="N56" i="19"/>
  <c r="M56" i="19"/>
  <c r="L56" i="19"/>
  <c r="K56" i="19"/>
  <c r="J56" i="19"/>
  <c r="I56" i="19"/>
  <c r="P55" i="19"/>
  <c r="O55" i="19"/>
  <c r="N55" i="19"/>
  <c r="M55" i="19"/>
  <c r="L55" i="19"/>
  <c r="K55" i="19"/>
  <c r="J55" i="19"/>
  <c r="I55" i="19"/>
  <c r="P54" i="19"/>
  <c r="O54" i="19"/>
  <c r="N54" i="19"/>
  <c r="M54" i="19"/>
  <c r="L54" i="19"/>
  <c r="K54" i="19"/>
  <c r="J54" i="19"/>
  <c r="I54" i="19"/>
  <c r="P53" i="19"/>
  <c r="O53" i="19"/>
  <c r="N53" i="19"/>
  <c r="M53" i="19"/>
  <c r="L53" i="19"/>
  <c r="K53" i="19"/>
  <c r="J53" i="19"/>
  <c r="I53" i="19"/>
  <c r="P52" i="19"/>
  <c r="O52" i="19"/>
  <c r="N52" i="19"/>
  <c r="M52" i="19"/>
  <c r="L52" i="19"/>
  <c r="K52" i="19"/>
  <c r="J52" i="19"/>
  <c r="I52" i="19"/>
  <c r="P51" i="19"/>
  <c r="O51" i="19"/>
  <c r="N51" i="19"/>
  <c r="M51" i="19"/>
  <c r="L51" i="19"/>
  <c r="K51" i="19"/>
  <c r="J51" i="19"/>
  <c r="I51" i="19"/>
  <c r="P50" i="19"/>
  <c r="O50" i="19"/>
  <c r="N50" i="19"/>
  <c r="M50" i="19"/>
  <c r="L50" i="19"/>
  <c r="K50" i="19"/>
  <c r="J50" i="19"/>
  <c r="I50" i="19"/>
  <c r="P49" i="19"/>
  <c r="O49" i="19"/>
  <c r="N49" i="19"/>
  <c r="M49" i="19"/>
  <c r="L49" i="19"/>
  <c r="K49" i="19"/>
  <c r="J49" i="19"/>
  <c r="I49" i="19"/>
  <c r="P48" i="19"/>
  <c r="O48" i="19"/>
  <c r="N48" i="19"/>
  <c r="M48" i="19"/>
  <c r="L48" i="19"/>
  <c r="K48" i="19"/>
  <c r="J48" i="19"/>
  <c r="I48" i="19"/>
  <c r="P47" i="19"/>
  <c r="O47" i="19"/>
  <c r="N47" i="19"/>
  <c r="M47" i="19"/>
  <c r="L47" i="19"/>
  <c r="K47" i="19"/>
  <c r="J47" i="19"/>
  <c r="I47" i="19"/>
  <c r="P46" i="19"/>
  <c r="O46" i="19"/>
  <c r="N46" i="19"/>
  <c r="M46" i="19"/>
  <c r="L46" i="19"/>
  <c r="K46" i="19"/>
  <c r="J46" i="19"/>
  <c r="I46" i="19"/>
  <c r="P45" i="19"/>
  <c r="O45" i="19"/>
  <c r="N45" i="19"/>
  <c r="M45" i="19"/>
  <c r="L45" i="19"/>
  <c r="K45" i="19"/>
  <c r="J45" i="19"/>
  <c r="I45" i="19"/>
  <c r="P44" i="19"/>
  <c r="O44" i="19"/>
  <c r="N44" i="19"/>
  <c r="M44" i="19"/>
  <c r="L44" i="19"/>
  <c r="K44" i="19"/>
  <c r="J44" i="19"/>
  <c r="I44" i="19"/>
  <c r="P43" i="19"/>
  <c r="O43" i="19"/>
  <c r="N43" i="19"/>
  <c r="M43" i="19"/>
  <c r="L43" i="19"/>
  <c r="K43" i="19"/>
  <c r="J43" i="19"/>
  <c r="I43" i="19"/>
  <c r="P42" i="19"/>
  <c r="O42" i="19"/>
  <c r="N42" i="19"/>
  <c r="M42" i="19"/>
  <c r="L42" i="19"/>
  <c r="K42" i="19"/>
  <c r="J42" i="19"/>
  <c r="I42" i="19"/>
  <c r="P41" i="19"/>
  <c r="O41" i="19"/>
  <c r="N41" i="19"/>
  <c r="M41" i="19"/>
  <c r="L41" i="19"/>
  <c r="K41" i="19"/>
  <c r="J41" i="19"/>
  <c r="I41" i="19"/>
  <c r="P40" i="19"/>
  <c r="O40" i="19"/>
  <c r="N40" i="19"/>
  <c r="M40" i="19"/>
  <c r="L40" i="19"/>
  <c r="K40" i="19"/>
  <c r="J40" i="19"/>
  <c r="I40" i="19"/>
  <c r="P39" i="19"/>
  <c r="O39" i="19"/>
  <c r="N39" i="19"/>
  <c r="M39" i="19"/>
  <c r="L39" i="19"/>
  <c r="K39" i="19"/>
  <c r="J39" i="19"/>
  <c r="I39" i="19"/>
  <c r="P38" i="19"/>
  <c r="O38" i="19"/>
  <c r="N38" i="19"/>
  <c r="M38" i="19"/>
  <c r="L38" i="19"/>
  <c r="K38" i="19"/>
  <c r="J38" i="19"/>
  <c r="I38" i="19"/>
  <c r="P37" i="19"/>
  <c r="O37" i="19"/>
  <c r="N37" i="19"/>
  <c r="M37" i="19"/>
  <c r="L37" i="19"/>
  <c r="K37" i="19"/>
  <c r="J37" i="19"/>
  <c r="I37" i="19"/>
  <c r="P36" i="19"/>
  <c r="O36" i="19"/>
  <c r="N36" i="19"/>
  <c r="M36" i="19"/>
  <c r="L36" i="19"/>
  <c r="K36" i="19"/>
  <c r="J36" i="19"/>
  <c r="I36" i="19"/>
  <c r="P35" i="19"/>
  <c r="O35" i="19"/>
  <c r="N35" i="19"/>
  <c r="M35" i="19"/>
  <c r="L35" i="19"/>
  <c r="K35" i="19"/>
  <c r="J35" i="19"/>
  <c r="I35" i="19"/>
  <c r="P34" i="19"/>
  <c r="O34" i="19"/>
  <c r="N34" i="19"/>
  <c r="M34" i="19"/>
  <c r="L34" i="19"/>
  <c r="K34" i="19"/>
  <c r="J34" i="19"/>
  <c r="I34" i="19"/>
  <c r="P33" i="19"/>
  <c r="O33" i="19"/>
  <c r="N33" i="19"/>
  <c r="M33" i="19"/>
  <c r="L33" i="19"/>
  <c r="K33" i="19"/>
  <c r="J33" i="19"/>
  <c r="I33" i="19"/>
  <c r="P32" i="19"/>
  <c r="O32" i="19"/>
  <c r="N32" i="19"/>
  <c r="M32" i="19"/>
  <c r="L32" i="19"/>
  <c r="K32" i="19"/>
  <c r="J32" i="19"/>
  <c r="I32" i="19"/>
  <c r="P31" i="19"/>
  <c r="O31" i="19"/>
  <c r="N31" i="19"/>
  <c r="M31" i="19"/>
  <c r="L31" i="19"/>
  <c r="K31" i="19"/>
  <c r="J31" i="19"/>
  <c r="I31" i="19"/>
  <c r="P30" i="19"/>
  <c r="O30" i="19"/>
  <c r="N30" i="19"/>
  <c r="M30" i="19"/>
  <c r="L30" i="19"/>
  <c r="K30" i="19"/>
  <c r="J30" i="19"/>
  <c r="I30" i="19"/>
  <c r="P29" i="19"/>
  <c r="O29" i="19"/>
  <c r="N29" i="19"/>
  <c r="M29" i="19"/>
  <c r="L29" i="19"/>
  <c r="K29" i="19"/>
  <c r="J29" i="19"/>
  <c r="I29" i="19"/>
  <c r="P28" i="19"/>
  <c r="O28" i="19"/>
  <c r="N28" i="19"/>
  <c r="M28" i="19"/>
  <c r="L28" i="19"/>
  <c r="K28" i="19"/>
  <c r="J28" i="19"/>
  <c r="I28" i="19"/>
  <c r="P27" i="19"/>
  <c r="O27" i="19"/>
  <c r="N27" i="19"/>
  <c r="M27" i="19"/>
  <c r="L27" i="19"/>
  <c r="K27" i="19"/>
  <c r="J27" i="19"/>
  <c r="I27" i="19"/>
  <c r="P26" i="19"/>
  <c r="O26" i="19"/>
  <c r="N26" i="19"/>
  <c r="M26" i="19"/>
  <c r="L26" i="19"/>
  <c r="K26" i="19"/>
  <c r="J26" i="19"/>
  <c r="I26" i="19"/>
  <c r="P25" i="19"/>
  <c r="O25" i="19"/>
  <c r="N25" i="19"/>
  <c r="M25" i="19"/>
  <c r="L25" i="19"/>
  <c r="K25" i="19"/>
  <c r="J25" i="19"/>
  <c r="I25" i="19"/>
  <c r="P24" i="19"/>
  <c r="O24" i="19"/>
  <c r="N24" i="19"/>
  <c r="M24" i="19"/>
  <c r="L24" i="19"/>
  <c r="K24" i="19"/>
  <c r="J24" i="19"/>
  <c r="I24" i="19"/>
  <c r="P23" i="19"/>
  <c r="O23" i="19"/>
  <c r="N23" i="19"/>
  <c r="M23" i="19"/>
  <c r="L23" i="19"/>
  <c r="K23" i="19"/>
  <c r="J23" i="19"/>
  <c r="I23" i="19"/>
  <c r="P22" i="19"/>
  <c r="O22" i="19"/>
  <c r="N22" i="19"/>
  <c r="M22" i="19"/>
  <c r="L22" i="19"/>
  <c r="K22" i="19"/>
  <c r="J22" i="19"/>
  <c r="I22" i="19"/>
  <c r="P21" i="19"/>
  <c r="O21" i="19"/>
  <c r="N21" i="19"/>
  <c r="M21" i="19"/>
  <c r="L21" i="19"/>
  <c r="K21" i="19"/>
  <c r="J21" i="19"/>
  <c r="I21" i="19"/>
  <c r="P20" i="19"/>
  <c r="O20" i="19"/>
  <c r="N20" i="19"/>
  <c r="M20" i="19"/>
  <c r="L20" i="19"/>
  <c r="K20" i="19"/>
  <c r="J20" i="19"/>
  <c r="I20" i="19"/>
  <c r="P19" i="19"/>
  <c r="O19" i="19"/>
  <c r="N19" i="19"/>
  <c r="M19" i="19"/>
  <c r="L19" i="19"/>
  <c r="K19" i="19"/>
  <c r="J19" i="19"/>
  <c r="I19" i="19"/>
  <c r="P18" i="19"/>
  <c r="O18" i="19"/>
  <c r="N18" i="19"/>
  <c r="M18" i="19"/>
  <c r="L18" i="19"/>
  <c r="K18" i="19"/>
  <c r="J18" i="19"/>
  <c r="I18" i="19"/>
  <c r="P17" i="19"/>
  <c r="O17" i="19"/>
  <c r="N17" i="19"/>
  <c r="M17" i="19"/>
  <c r="L17" i="19"/>
  <c r="K17" i="19"/>
  <c r="J17" i="19"/>
  <c r="I17" i="19"/>
  <c r="P16" i="19"/>
  <c r="O16" i="19"/>
  <c r="N16" i="19"/>
  <c r="M16" i="19"/>
  <c r="L16" i="19"/>
  <c r="K16" i="19"/>
  <c r="J16" i="19"/>
  <c r="I16" i="19"/>
  <c r="P15" i="19"/>
  <c r="O15" i="19"/>
  <c r="N15" i="19"/>
  <c r="M15" i="19"/>
  <c r="L15" i="19"/>
  <c r="K15" i="19"/>
  <c r="J15" i="19"/>
  <c r="I15" i="19"/>
  <c r="P14" i="19"/>
  <c r="O14" i="19"/>
  <c r="N14" i="19"/>
  <c r="M14" i="19"/>
  <c r="L14" i="19"/>
  <c r="K14" i="19"/>
  <c r="J14" i="19"/>
  <c r="I14" i="19"/>
  <c r="P13" i="19"/>
  <c r="O13" i="19"/>
  <c r="N13" i="19"/>
  <c r="M13" i="19"/>
  <c r="L13" i="19"/>
  <c r="K13" i="19"/>
  <c r="J13" i="19"/>
  <c r="I13" i="19"/>
  <c r="P12" i="19"/>
  <c r="O12" i="19"/>
  <c r="N12" i="19"/>
  <c r="M12" i="19"/>
  <c r="L12" i="19"/>
  <c r="K12" i="19"/>
  <c r="J12" i="19"/>
  <c r="I12" i="19"/>
  <c r="P11" i="19"/>
  <c r="O11" i="19"/>
  <c r="N11" i="19"/>
  <c r="M11" i="19"/>
  <c r="L11" i="19"/>
  <c r="K11" i="19"/>
  <c r="J11" i="19"/>
  <c r="I11" i="19"/>
  <c r="P10" i="19"/>
  <c r="O10" i="19"/>
  <c r="N10" i="19"/>
  <c r="M10" i="19"/>
  <c r="L10" i="19"/>
  <c r="K10" i="19"/>
  <c r="J10" i="19"/>
  <c r="I10" i="19"/>
  <c r="P9" i="19"/>
  <c r="O9" i="19"/>
  <c r="N9" i="19"/>
  <c r="M9" i="19"/>
  <c r="L9" i="19"/>
  <c r="K9" i="19"/>
  <c r="J9" i="19"/>
  <c r="I9" i="19"/>
  <c r="P8" i="19"/>
  <c r="O8" i="19"/>
  <c r="N8" i="19"/>
  <c r="M8" i="19"/>
  <c r="L8" i="19"/>
  <c r="K8" i="19"/>
  <c r="J8" i="19"/>
  <c r="I8" i="19"/>
  <c r="P7" i="19"/>
  <c r="O7" i="19"/>
  <c r="N7" i="19"/>
  <c r="M7" i="19"/>
  <c r="L7" i="19"/>
  <c r="K7" i="19"/>
  <c r="J7" i="19"/>
  <c r="I7" i="19"/>
  <c r="P6" i="19"/>
  <c r="O6" i="19"/>
  <c r="N6" i="19"/>
  <c r="M6" i="19"/>
  <c r="L6" i="19"/>
  <c r="K6" i="19"/>
  <c r="J6" i="19"/>
  <c r="I6" i="19"/>
  <c r="P5" i="19"/>
  <c r="O5" i="19"/>
  <c r="N5" i="19"/>
  <c r="M5" i="19"/>
  <c r="L5" i="19"/>
  <c r="K5" i="19"/>
  <c r="J5" i="19"/>
  <c r="I5" i="19"/>
  <c r="D231" i="12"/>
  <c r="J231" i="12"/>
  <c r="K231" i="12"/>
  <c r="J232" i="12"/>
  <c r="K232" i="12"/>
  <c r="J233" i="12"/>
  <c r="K233" i="12"/>
  <c r="J234" i="12"/>
  <c r="K234" i="12"/>
  <c r="J235" i="12"/>
  <c r="K235" i="12"/>
  <c r="J236" i="12"/>
  <c r="K236" i="12"/>
  <c r="J237" i="12"/>
  <c r="K237" i="12"/>
  <c r="J238" i="12"/>
  <c r="K238" i="12"/>
  <c r="J239" i="12"/>
  <c r="K239" i="12"/>
  <c r="J240" i="12"/>
  <c r="K240" i="12"/>
  <c r="J241" i="12"/>
  <c r="K241" i="12"/>
  <c r="J242" i="12"/>
  <c r="K242" i="12"/>
  <c r="J243" i="12"/>
  <c r="K243" i="12"/>
  <c r="J244" i="12"/>
  <c r="K244" i="12"/>
  <c r="J245" i="12"/>
  <c r="K245" i="12"/>
  <c r="J246" i="12"/>
  <c r="K246" i="12"/>
  <c r="J247" i="12"/>
  <c r="K247" i="12"/>
  <c r="J248" i="12"/>
  <c r="K248" i="12"/>
  <c r="J249" i="12"/>
  <c r="K249" i="12"/>
  <c r="J250" i="12"/>
  <c r="K250" i="12"/>
  <c r="J251" i="12"/>
  <c r="K251" i="12"/>
  <c r="J252" i="12"/>
  <c r="K252" i="12"/>
  <c r="J253" i="12"/>
  <c r="K253" i="12"/>
  <c r="J254" i="12"/>
  <c r="K254" i="12"/>
  <c r="J255" i="12"/>
  <c r="K255" i="12"/>
  <c r="J256" i="12"/>
  <c r="K256" i="12"/>
  <c r="J257" i="12"/>
  <c r="K257" i="12"/>
  <c r="J258" i="12"/>
  <c r="K258" i="12"/>
  <c r="J259" i="12"/>
  <c r="K259" i="12"/>
  <c r="J260" i="12"/>
  <c r="K260" i="12"/>
  <c r="J261" i="12"/>
  <c r="K261" i="12"/>
  <c r="J262" i="12"/>
  <c r="K262" i="12"/>
  <c r="J263" i="12"/>
  <c r="K263" i="12"/>
  <c r="J264" i="12"/>
  <c r="K264" i="12"/>
  <c r="J265" i="12"/>
  <c r="K265" i="12"/>
  <c r="J266" i="12"/>
  <c r="K266" i="12"/>
  <c r="J267" i="12"/>
  <c r="K267" i="12"/>
  <c r="J268" i="12"/>
  <c r="K268" i="12"/>
  <c r="J269" i="12"/>
  <c r="K269" i="12"/>
  <c r="J270" i="12"/>
  <c r="K270" i="12"/>
  <c r="J271" i="12"/>
  <c r="K271" i="12"/>
  <c r="J272" i="12"/>
  <c r="K272" i="12"/>
  <c r="J273" i="12"/>
  <c r="K273" i="12"/>
  <c r="J274" i="12"/>
  <c r="K274" i="12"/>
  <c r="J275" i="12"/>
  <c r="K275" i="12"/>
  <c r="J276" i="12"/>
  <c r="K276" i="12"/>
  <c r="J277" i="12"/>
  <c r="K277" i="12"/>
  <c r="J278" i="12"/>
  <c r="K278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J230" i="12"/>
  <c r="J229" i="12"/>
  <c r="J228" i="12"/>
  <c r="J227" i="12"/>
  <c r="J226" i="12"/>
  <c r="J225" i="12"/>
  <c r="J224" i="12"/>
  <c r="J223" i="12"/>
  <c r="J222" i="12"/>
  <c r="J221" i="12"/>
  <c r="J220" i="12"/>
  <c r="J219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206" i="12"/>
  <c r="J205" i="12"/>
  <c r="J204" i="12"/>
  <c r="J203" i="12"/>
  <c r="J202" i="12"/>
  <c r="J14" i="14"/>
  <c r="I14" i="14"/>
  <c r="F3" i="14"/>
  <c r="F4" i="14"/>
  <c r="F5" i="14"/>
  <c r="F6" i="14"/>
  <c r="F7" i="14"/>
  <c r="F8" i="14"/>
  <c r="F9" i="14"/>
  <c r="F10" i="14"/>
  <c r="F11" i="14"/>
  <c r="F12" i="14"/>
  <c r="F13" i="14"/>
  <c r="E3" i="14"/>
  <c r="E4" i="14"/>
  <c r="E5" i="14"/>
  <c r="E6" i="14"/>
  <c r="E7" i="14"/>
  <c r="E8" i="14"/>
  <c r="E9" i="14"/>
  <c r="E10" i="14"/>
  <c r="E11" i="14"/>
  <c r="E12" i="14"/>
  <c r="E13" i="14"/>
  <c r="F194" i="16" a="1"/>
  <c r="F194" i="16" s="1"/>
  <c r="F193" i="16" a="1"/>
  <c r="F193" i="16" s="1"/>
  <c r="F192" i="16" a="1"/>
  <c r="F192" i="16" s="1"/>
  <c r="F191" i="16" a="1"/>
  <c r="F191" i="16" s="1"/>
  <c r="F190" i="16" a="1"/>
  <c r="F190" i="16" s="1"/>
  <c r="F189" i="16" a="1"/>
  <c r="F189" i="16" s="1"/>
  <c r="F188" i="16" a="1"/>
  <c r="F188" i="16" s="1"/>
  <c r="F187" i="16" a="1"/>
  <c r="F187" i="16" s="1"/>
  <c r="F186" i="16" a="1"/>
  <c r="F186" i="16" s="1"/>
  <c r="F185" i="16" a="1"/>
  <c r="F185" i="16" s="1"/>
  <c r="F184" i="16" a="1"/>
  <c r="F184" i="16" s="1"/>
  <c r="F183" i="16" a="1"/>
  <c r="F183" i="16" s="1"/>
  <c r="F182" i="16" a="1"/>
  <c r="F182" i="16" s="1"/>
  <c r="F181" i="16" a="1"/>
  <c r="F181" i="16" s="1"/>
  <c r="F180" i="16" a="1"/>
  <c r="F180" i="16" s="1"/>
  <c r="F179" i="16" a="1"/>
  <c r="F179" i="16" s="1"/>
  <c r="F178" i="16" a="1"/>
  <c r="F178" i="16" s="1"/>
  <c r="F177" i="16" a="1"/>
  <c r="F177" i="16" s="1"/>
  <c r="F176" i="16" a="1"/>
  <c r="F176" i="16" s="1"/>
  <c r="F175" i="16" a="1"/>
  <c r="F175" i="16" s="1"/>
  <c r="F174" i="16"/>
  <c r="F174" i="16" a="1"/>
  <c r="F173" i="16" a="1"/>
  <c r="F173" i="16" s="1"/>
  <c r="F172" i="16"/>
  <c r="F172" i="16" a="1"/>
  <c r="F171" i="16" a="1"/>
  <c r="F171" i="16" s="1"/>
  <c r="F170" i="16"/>
  <c r="F170" i="16" a="1"/>
  <c r="F169" i="16" a="1"/>
  <c r="F169" i="16" s="1"/>
  <c r="F168" i="16" a="1"/>
  <c r="F168" i="16" s="1"/>
  <c r="F167" i="16" a="1"/>
  <c r="F167" i="16" s="1"/>
  <c r="F166" i="16" a="1"/>
  <c r="F166" i="16" s="1"/>
  <c r="F165" i="16" a="1"/>
  <c r="F165" i="16" s="1"/>
  <c r="F164" i="16"/>
  <c r="F164" i="16" a="1"/>
  <c r="F163" i="16" a="1"/>
  <c r="F163" i="16" s="1"/>
  <c r="F162" i="16" a="1"/>
  <c r="F162" i="16" s="1"/>
  <c r="F161" i="16" a="1"/>
  <c r="F161" i="16" s="1"/>
  <c r="F160" i="16" a="1"/>
  <c r="F160" i="16" s="1"/>
  <c r="F159" i="16"/>
  <c r="F159" i="16" a="1"/>
  <c r="F158" i="16" a="1"/>
  <c r="F158" i="16" s="1"/>
  <c r="F157" i="16" a="1"/>
  <c r="F157" i="16" s="1"/>
  <c r="F156" i="16" a="1"/>
  <c r="F156" i="16" s="1"/>
  <c r="F155" i="16"/>
  <c r="F155" i="16" a="1"/>
  <c r="F154" i="16"/>
  <c r="F154" i="16" a="1"/>
  <c r="F153" i="16" a="1"/>
  <c r="F153" i="16" s="1"/>
  <c r="F152" i="16"/>
  <c r="F152" i="16" a="1"/>
  <c r="F151" i="16" a="1"/>
  <c r="F151" i="16" s="1"/>
  <c r="F150" i="16"/>
  <c r="F150" i="16" a="1"/>
  <c r="F149" i="16" a="1"/>
  <c r="F149" i="16" s="1"/>
  <c r="F148" i="16" a="1"/>
  <c r="F148" i="16" s="1"/>
  <c r="F147" i="16" a="1"/>
  <c r="F147" i="16" s="1"/>
  <c r="F146" i="16"/>
  <c r="F146" i="16" a="1"/>
  <c r="F145" i="16" a="1"/>
  <c r="F145" i="16" s="1"/>
  <c r="F144" i="16" a="1"/>
  <c r="F144" i="16" s="1"/>
  <c r="F143" i="16" a="1"/>
  <c r="F143" i="16" s="1"/>
  <c r="F142" i="16" a="1"/>
  <c r="F142" i="16" s="1"/>
  <c r="F141" i="16"/>
  <c r="F141" i="16" a="1"/>
  <c r="F140" i="16"/>
  <c r="F140" i="16" a="1"/>
  <c r="F139" i="16" a="1"/>
  <c r="F139" i="16" s="1"/>
  <c r="F138" i="16"/>
  <c r="F138" i="16" a="1"/>
  <c r="F137" i="16" a="1"/>
  <c r="F137" i="16" s="1"/>
  <c r="F136" i="16"/>
  <c r="F136" i="16" a="1"/>
  <c r="F135" i="16" a="1"/>
  <c r="F135" i="16" s="1"/>
  <c r="F134" i="16" a="1"/>
  <c r="F134" i="16" s="1"/>
  <c r="F133" i="16" a="1"/>
  <c r="F133" i="16" s="1"/>
  <c r="F132" i="16"/>
  <c r="F132" i="16" a="1"/>
  <c r="F131" i="16" a="1"/>
  <c r="F131" i="16" s="1"/>
  <c r="F130" i="16" a="1"/>
  <c r="F130" i="16" s="1"/>
  <c r="F129" i="16"/>
  <c r="F129" i="16" a="1"/>
  <c r="F128" i="16" a="1"/>
  <c r="F128" i="16" s="1"/>
  <c r="F127" i="16" a="1"/>
  <c r="F127" i="16" s="1"/>
  <c r="F126" i="16"/>
  <c r="F126" i="16" a="1"/>
  <c r="F125" i="16" a="1"/>
  <c r="F125" i="16" s="1"/>
  <c r="F124" i="16" a="1"/>
  <c r="F124" i="16" s="1"/>
  <c r="F123" i="16" a="1"/>
  <c r="F123" i="16" s="1"/>
  <c r="F122" i="16"/>
  <c r="F122" i="16" a="1"/>
  <c r="F121" i="16" a="1"/>
  <c r="F121" i="16" s="1"/>
  <c r="F120" i="16"/>
  <c r="F120" i="16" a="1"/>
  <c r="F119" i="16" a="1"/>
  <c r="F119" i="16" s="1"/>
  <c r="F118" i="16"/>
  <c r="F118" i="16" a="1"/>
  <c r="F117" i="16"/>
  <c r="F117" i="16" a="1"/>
  <c r="F116" i="16" a="1"/>
  <c r="F116" i="16" s="1"/>
  <c r="F115" i="16" a="1"/>
  <c r="F115" i="16" s="1"/>
  <c r="F114" i="16" a="1"/>
  <c r="F114" i="16" s="1"/>
  <c r="F113" i="16"/>
  <c r="F113" i="16" a="1"/>
  <c r="F112" i="16"/>
  <c r="F112" i="16" a="1"/>
  <c r="F111" i="16" a="1"/>
  <c r="F111" i="16" s="1"/>
  <c r="F110" i="16" a="1"/>
  <c r="F110" i="16" s="1"/>
  <c r="F109" i="16" a="1"/>
  <c r="F109" i="16" s="1"/>
  <c r="F108" i="16" a="1"/>
  <c r="F108" i="16" s="1"/>
  <c r="F107" i="16"/>
  <c r="F107" i="16" a="1"/>
  <c r="F106" i="16" a="1"/>
  <c r="F106" i="16" s="1"/>
  <c r="F105" i="16" a="1"/>
  <c r="F105" i="16" s="1"/>
  <c r="F104" i="16" a="1"/>
  <c r="F104" i="16" s="1"/>
  <c r="F103" i="16" a="1"/>
  <c r="F103" i="16" s="1"/>
  <c r="F102" i="16" a="1"/>
  <c r="F102" i="16" s="1"/>
  <c r="F101" i="16" a="1"/>
  <c r="F101" i="16" s="1"/>
  <c r="F100" i="16" a="1"/>
  <c r="F100" i="16" s="1"/>
  <c r="F99" i="16" a="1"/>
  <c r="F99" i="16" s="1"/>
  <c r="F98" i="16" a="1"/>
  <c r="F98" i="16" s="1"/>
  <c r="F97" i="16" a="1"/>
  <c r="F97" i="16" s="1"/>
  <c r="F96" i="16" a="1"/>
  <c r="F96" i="16" s="1"/>
  <c r="F95" i="16"/>
  <c r="F95" i="16" a="1"/>
  <c r="F94" i="16" a="1"/>
  <c r="F94" i="16" s="1"/>
  <c r="F93" i="16" a="1"/>
  <c r="F93" i="16" s="1"/>
  <c r="F92" i="16" a="1"/>
  <c r="F92" i="16" s="1"/>
  <c r="F91" i="16"/>
  <c r="F91" i="16" a="1"/>
  <c r="F90" i="16" a="1"/>
  <c r="F90" i="16" s="1"/>
  <c r="F89" i="16" a="1"/>
  <c r="F89" i="16" s="1"/>
  <c r="F88" i="16" a="1"/>
  <c r="F88" i="16" s="1"/>
  <c r="F87" i="16"/>
  <c r="F87" i="16" a="1"/>
  <c r="F86" i="16" a="1"/>
  <c r="F86" i="16" s="1"/>
  <c r="F85" i="16" a="1"/>
  <c r="F85" i="16" s="1"/>
  <c r="F84" i="16" a="1"/>
  <c r="F84" i="16" s="1"/>
  <c r="F83" i="16" a="1"/>
  <c r="F83" i="16" s="1"/>
  <c r="F82" i="16" a="1"/>
  <c r="F82" i="16" s="1"/>
  <c r="F81" i="16" a="1"/>
  <c r="F81" i="16" s="1"/>
  <c r="F80" i="16" a="1"/>
  <c r="F80" i="16" s="1"/>
  <c r="F79" i="16" a="1"/>
  <c r="F79" i="16" s="1"/>
  <c r="F78" i="16" a="1"/>
  <c r="F78" i="16" s="1"/>
  <c r="F77" i="16" a="1"/>
  <c r="F77" i="16" s="1"/>
  <c r="F76" i="16" a="1"/>
  <c r="F76" i="16" s="1"/>
  <c r="F75" i="16"/>
  <c r="F75" i="16" a="1"/>
  <c r="F74" i="16" a="1"/>
  <c r="F74" i="16" s="1"/>
  <c r="F73" i="16" a="1"/>
  <c r="F73" i="16" s="1"/>
  <c r="F72" i="16" a="1"/>
  <c r="F72" i="16" s="1"/>
  <c r="F71" i="16" a="1"/>
  <c r="F71" i="16" s="1"/>
  <c r="F70" i="16" a="1"/>
  <c r="F70" i="16" s="1"/>
  <c r="F69" i="16" a="1"/>
  <c r="F69" i="16" s="1"/>
  <c r="F68" i="16" a="1"/>
  <c r="F68" i="16" s="1"/>
  <c r="F67" i="16" a="1"/>
  <c r="F67" i="16" s="1"/>
  <c r="F66" i="16" a="1"/>
  <c r="F66" i="16" s="1"/>
  <c r="F65" i="16" a="1"/>
  <c r="F65" i="16" s="1"/>
  <c r="F64" i="16" a="1"/>
  <c r="F64" i="16" s="1"/>
  <c r="F63" i="16"/>
  <c r="F63" i="16" a="1"/>
  <c r="F62" i="16" a="1"/>
  <c r="F62" i="16" s="1"/>
  <c r="F61" i="16" a="1"/>
  <c r="F61" i="16" s="1"/>
  <c r="F60" i="16" a="1"/>
  <c r="F60" i="16" s="1"/>
  <c r="F59" i="16" a="1"/>
  <c r="F59" i="16" s="1"/>
  <c r="F58" i="16" a="1"/>
  <c r="F58" i="16" s="1"/>
  <c r="F57" i="16" a="1"/>
  <c r="F57" i="16" s="1"/>
  <c r="F56" i="16" a="1"/>
  <c r="F56" i="16" s="1"/>
  <c r="F55" i="16" a="1"/>
  <c r="F55" i="16" s="1"/>
  <c r="F54" i="16" a="1"/>
  <c r="F54" i="16" s="1"/>
  <c r="F53" i="16" a="1"/>
  <c r="F53" i="16" s="1"/>
  <c r="F52" i="16" a="1"/>
  <c r="F52" i="16" s="1"/>
  <c r="F51" i="16" a="1"/>
  <c r="F51" i="16" s="1"/>
  <c r="F50" i="16" a="1"/>
  <c r="F50" i="16" s="1"/>
  <c r="F49" i="16" a="1"/>
  <c r="F49" i="16" s="1"/>
  <c r="F48" i="16" a="1"/>
  <c r="F48" i="16" s="1"/>
  <c r="F47" i="16" a="1"/>
  <c r="F47" i="16" s="1"/>
  <c r="F46" i="16" a="1"/>
  <c r="F46" i="16" s="1"/>
  <c r="F45" i="16" a="1"/>
  <c r="F45" i="16" s="1"/>
  <c r="F44" i="16" a="1"/>
  <c r="F44" i="16" s="1"/>
  <c r="F43" i="16" a="1"/>
  <c r="F43" i="16" s="1"/>
  <c r="F42" i="16" a="1"/>
  <c r="F42" i="16" s="1"/>
  <c r="F41" i="16" a="1"/>
  <c r="F41" i="16" s="1"/>
  <c r="F40" i="16" a="1"/>
  <c r="F40" i="16" s="1"/>
  <c r="F39" i="16" a="1"/>
  <c r="F39" i="16" s="1"/>
  <c r="F38" i="16" a="1"/>
  <c r="F38" i="16" s="1"/>
  <c r="F37" i="16" a="1"/>
  <c r="F37" i="16" s="1"/>
  <c r="F36" i="16" a="1"/>
  <c r="F36" i="16" s="1"/>
  <c r="F35" i="16" a="1"/>
  <c r="F35" i="16" s="1"/>
  <c r="F34" i="16" a="1"/>
  <c r="F34" i="16" s="1"/>
  <c r="F33" i="16" a="1"/>
  <c r="F33" i="16" s="1"/>
  <c r="F32" i="16" a="1"/>
  <c r="F32" i="16" s="1"/>
  <c r="F31" i="16" a="1"/>
  <c r="F31" i="16" s="1"/>
  <c r="F30" i="16" a="1"/>
  <c r="F30" i="16" s="1"/>
  <c r="F29" i="16" a="1"/>
  <c r="F29" i="16" s="1"/>
  <c r="F28" i="16" a="1"/>
  <c r="F28" i="16" s="1"/>
  <c r="F27" i="16" a="1"/>
  <c r="F27" i="16" s="1"/>
  <c r="F26" i="16" a="1"/>
  <c r="F26" i="16" s="1"/>
  <c r="F25" i="16" a="1"/>
  <c r="F25" i="16" s="1"/>
  <c r="F24" i="16" a="1"/>
  <c r="F24" i="16" s="1"/>
  <c r="F23" i="16" a="1"/>
  <c r="F23" i="16" s="1"/>
  <c r="F22" i="16" a="1"/>
  <c r="F22" i="16" s="1"/>
  <c r="F21" i="16" a="1"/>
  <c r="F21" i="16" s="1"/>
  <c r="F20" i="16" a="1"/>
  <c r="F20" i="16" s="1"/>
  <c r="F19" i="16" a="1"/>
  <c r="F19" i="16" s="1"/>
  <c r="F18" i="16" a="1"/>
  <c r="F18" i="16" s="1"/>
  <c r="F17" i="16" a="1"/>
  <c r="F17" i="16" s="1"/>
  <c r="F16" i="16" a="1"/>
  <c r="F16" i="16" s="1"/>
  <c r="F15" i="16" a="1"/>
  <c r="F15" i="16" s="1"/>
  <c r="F14" i="16" a="1"/>
  <c r="F14" i="16" s="1"/>
  <c r="F13" i="16" a="1"/>
  <c r="F13" i="16" s="1"/>
  <c r="F12" i="16" a="1"/>
  <c r="F12" i="16" s="1"/>
  <c r="F11" i="16" a="1"/>
  <c r="F11" i="16" s="1"/>
  <c r="F10" i="16" a="1"/>
  <c r="F10" i="16" s="1"/>
  <c r="F9" i="16" a="1"/>
  <c r="F9" i="16" s="1"/>
  <c r="F8" i="16" a="1"/>
  <c r="F8" i="16" s="1"/>
  <c r="F7" i="16" a="1"/>
  <c r="F7" i="16" s="1"/>
  <c r="F6" i="16" a="1"/>
  <c r="F6" i="16" s="1"/>
  <c r="F5" i="16" a="1"/>
  <c r="F5" i="16" s="1"/>
  <c r="F4" i="16" a="1"/>
  <c r="F4" i="16" s="1"/>
  <c r="F3" i="16" a="1"/>
  <c r="F3" i="16" s="1"/>
  <c r="F2" i="16" a="1"/>
  <c r="F2" i="16" s="1"/>
  <c r="H278" i="12"/>
  <c r="D278" i="12"/>
  <c r="H277" i="12"/>
  <c r="D277" i="12"/>
  <c r="H276" i="12"/>
  <c r="D276" i="12"/>
  <c r="H275" i="12"/>
  <c r="D275" i="12"/>
  <c r="H274" i="12"/>
  <c r="D274" i="12"/>
  <c r="H273" i="12"/>
  <c r="D273" i="12"/>
  <c r="H272" i="12"/>
  <c r="D272" i="12"/>
  <c r="H271" i="12"/>
  <c r="D271" i="12"/>
  <c r="H270" i="12"/>
  <c r="D270" i="12"/>
  <c r="H269" i="12"/>
  <c r="D269" i="12"/>
  <c r="H268" i="12"/>
  <c r="D268" i="12"/>
  <c r="H267" i="12"/>
  <c r="D267" i="12"/>
  <c r="H266" i="12"/>
  <c r="D266" i="12"/>
  <c r="H265" i="12"/>
  <c r="D265" i="12"/>
  <c r="H264" i="12"/>
  <c r="D264" i="12"/>
  <c r="H263" i="12"/>
  <c r="D263" i="12"/>
  <c r="H262" i="12"/>
  <c r="D262" i="12"/>
  <c r="H261" i="12"/>
  <c r="D261" i="12"/>
  <c r="H260" i="12"/>
  <c r="D260" i="12"/>
  <c r="H259" i="12"/>
  <c r="D259" i="12"/>
  <c r="H258" i="12"/>
  <c r="D258" i="12"/>
  <c r="H257" i="12"/>
  <c r="D257" i="12"/>
  <c r="H256" i="12"/>
  <c r="D256" i="12"/>
  <c r="H255" i="12"/>
  <c r="D255" i="12"/>
  <c r="H254" i="12"/>
  <c r="D254" i="12"/>
  <c r="H253" i="12"/>
  <c r="D253" i="12"/>
  <c r="H252" i="12"/>
  <c r="D252" i="12"/>
  <c r="H251" i="12"/>
  <c r="D251" i="12"/>
  <c r="H250" i="12"/>
  <c r="D250" i="12"/>
  <c r="H249" i="12"/>
  <c r="D249" i="12"/>
  <c r="H248" i="12"/>
  <c r="D248" i="12"/>
  <c r="H247" i="12"/>
  <c r="D247" i="12"/>
  <c r="H246" i="12"/>
  <c r="D246" i="12"/>
  <c r="H245" i="12"/>
  <c r="D245" i="12"/>
  <c r="H244" i="12"/>
  <c r="D244" i="12"/>
  <c r="H243" i="12"/>
  <c r="D243" i="12"/>
  <c r="H242" i="12"/>
  <c r="D242" i="12"/>
  <c r="H241" i="12"/>
  <c r="D241" i="12"/>
  <c r="H240" i="12"/>
  <c r="D240" i="12"/>
  <c r="H239" i="12"/>
  <c r="D239" i="12"/>
  <c r="H238" i="12"/>
  <c r="D238" i="12"/>
  <c r="H237" i="12"/>
  <c r="D237" i="12"/>
  <c r="H236" i="12"/>
  <c r="D236" i="12"/>
  <c r="H235" i="12"/>
  <c r="D235" i="12"/>
  <c r="H234" i="12"/>
  <c r="D234" i="12"/>
  <c r="H233" i="12"/>
  <c r="D233" i="12"/>
  <c r="H232" i="12"/>
  <c r="D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5" i="12"/>
  <c r="H45" i="12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J2" i="12"/>
  <c r="H2" i="12"/>
  <c r="K103" i="12"/>
  <c r="H103" i="12"/>
  <c r="K102" i="12"/>
  <c r="H102" i="12"/>
  <c r="K101" i="12"/>
  <c r="H101" i="12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5" i="12"/>
  <c r="H55" i="12"/>
  <c r="K54" i="12"/>
  <c r="H54" i="12"/>
  <c r="K53" i="12"/>
  <c r="H53" i="12"/>
  <c r="G54" i="19" l="1"/>
  <c r="G37" i="19"/>
  <c r="H37" i="19" s="1"/>
  <c r="R37" i="19" s="1"/>
  <c r="G19" i="19"/>
  <c r="H19" i="19" s="1"/>
  <c r="R19" i="19" s="1"/>
  <c r="G13" i="19"/>
  <c r="H13" i="19" s="1"/>
  <c r="R13" i="19" s="1"/>
  <c r="G27" i="19"/>
  <c r="H27" i="19" s="1"/>
  <c r="R27" i="19" s="1"/>
  <c r="G45" i="19"/>
  <c r="H45" i="19" s="1"/>
  <c r="R45" i="19" s="1"/>
  <c r="G55" i="19"/>
  <c r="Q55" i="19" s="1"/>
  <c r="G28" i="19"/>
  <c r="Q28" i="19" s="1"/>
  <c r="G36" i="19"/>
  <c r="Q36" i="19" s="1"/>
  <c r="G5" i="19"/>
  <c r="H5" i="19" s="1"/>
  <c r="R5" i="19" s="1"/>
  <c r="G23" i="19"/>
  <c r="Q23" i="19" s="1"/>
  <c r="G32" i="19"/>
  <c r="G15" i="19"/>
  <c r="Q15" i="19" s="1"/>
  <c r="G24" i="19"/>
  <c r="G51" i="19"/>
  <c r="H51" i="19" s="1"/>
  <c r="R51" i="19" s="1"/>
  <c r="G11" i="19"/>
  <c r="H11" i="19" s="1"/>
  <c r="R11" i="19" s="1"/>
  <c r="G20" i="19"/>
  <c r="Q20" i="19" s="1"/>
  <c r="G29" i="19"/>
  <c r="H29" i="19" s="1"/>
  <c r="R29" i="19" s="1"/>
  <c r="G43" i="19"/>
  <c r="H43" i="19" s="1"/>
  <c r="R43" i="19" s="1"/>
  <c r="G47" i="19"/>
  <c r="Q47" i="19" s="1"/>
  <c r="G56" i="19"/>
  <c r="G7" i="19"/>
  <c r="Q7" i="19" s="1"/>
  <c r="G16" i="19"/>
  <c r="G39" i="19"/>
  <c r="H39" i="19" s="1"/>
  <c r="R39" i="19" s="1"/>
  <c r="G52" i="19"/>
  <c r="Q52" i="19" s="1"/>
  <c r="G12" i="19"/>
  <c r="Q12" i="19" s="1"/>
  <c r="G21" i="19"/>
  <c r="H21" i="19" s="1"/>
  <c r="R21" i="19" s="1"/>
  <c r="G35" i="19"/>
  <c r="H35" i="19" s="1"/>
  <c r="R35" i="19" s="1"/>
  <c r="G44" i="19"/>
  <c r="Q44" i="19" s="1"/>
  <c r="G48" i="19"/>
  <c r="G8" i="19"/>
  <c r="G31" i="19"/>
  <c r="Q31" i="19" s="1"/>
  <c r="G40" i="19"/>
  <c r="G53" i="19"/>
  <c r="H53" i="19" s="1"/>
  <c r="R53" i="19" s="1"/>
  <c r="Q54" i="19"/>
  <c r="H54" i="19"/>
  <c r="R54" i="19" s="1"/>
  <c r="G10" i="19"/>
  <c r="G18" i="19"/>
  <c r="G26" i="19"/>
  <c r="G34" i="19"/>
  <c r="G42" i="19"/>
  <c r="G50" i="19"/>
  <c r="G9" i="19"/>
  <c r="G17" i="19"/>
  <c r="G25" i="19"/>
  <c r="G33" i="19"/>
  <c r="G41" i="19"/>
  <c r="G49" i="19"/>
  <c r="G57" i="19"/>
  <c r="G6" i="19"/>
  <c r="G14" i="19"/>
  <c r="G22" i="19"/>
  <c r="G30" i="19"/>
  <c r="G38" i="19"/>
  <c r="G46" i="19"/>
  <c r="Q19" i="19" l="1"/>
  <c r="Q37" i="19"/>
  <c r="Q39" i="19"/>
  <c r="Q35" i="19"/>
  <c r="Q27" i="19"/>
  <c r="Q13" i="19"/>
  <c r="H52" i="19"/>
  <c r="R52" i="19" s="1"/>
  <c r="H12" i="19"/>
  <c r="R12" i="19" s="1"/>
  <c r="H55" i="19"/>
  <c r="R55" i="19" s="1"/>
  <c r="H36" i="19"/>
  <c r="R36" i="19" s="1"/>
  <c r="H28" i="19"/>
  <c r="R28" i="19" s="1"/>
  <c r="Q45" i="19"/>
  <c r="H47" i="19"/>
  <c r="R47" i="19" s="1"/>
  <c r="H20" i="19"/>
  <c r="R20" i="19" s="1"/>
  <c r="Q21" i="19"/>
  <c r="H31" i="19"/>
  <c r="R31" i="19" s="1"/>
  <c r="Q8" i="19"/>
  <c r="H8" i="19"/>
  <c r="R8" i="19" s="1"/>
  <c r="Q56" i="19"/>
  <c r="H56" i="19"/>
  <c r="R56" i="19" s="1"/>
  <c r="Q16" i="19"/>
  <c r="H16" i="19"/>
  <c r="R16" i="19" s="1"/>
  <c r="H7" i="19"/>
  <c r="R7" i="19" s="1"/>
  <c r="Q11" i="19"/>
  <c r="Q53" i="19"/>
  <c r="Q48" i="19"/>
  <c r="H48" i="19"/>
  <c r="R48" i="19" s="1"/>
  <c r="Q24" i="19"/>
  <c r="H24" i="19"/>
  <c r="R24" i="19" s="1"/>
  <c r="H23" i="19"/>
  <c r="R23" i="19" s="1"/>
  <c r="Q51" i="19"/>
  <c r="Q5" i="19"/>
  <c r="H44" i="19"/>
  <c r="R44" i="19" s="1"/>
  <c r="H15" i="19"/>
  <c r="R15" i="19" s="1"/>
  <c r="Q43" i="19"/>
  <c r="Q40" i="19"/>
  <c r="H40" i="19"/>
  <c r="R40" i="19" s="1"/>
  <c r="Q29" i="19"/>
  <c r="Q32" i="19"/>
  <c r="H32" i="19"/>
  <c r="R32" i="19" s="1"/>
  <c r="Q38" i="19"/>
  <c r="H38" i="19"/>
  <c r="R38" i="19" s="1"/>
  <c r="H17" i="19"/>
  <c r="R17" i="19" s="1"/>
  <c r="Q17" i="19"/>
  <c r="Q30" i="19"/>
  <c r="H30" i="19"/>
  <c r="R30" i="19" s="1"/>
  <c r="Q41" i="19"/>
  <c r="H41" i="19"/>
  <c r="R41" i="19" s="1"/>
  <c r="Q50" i="19"/>
  <c r="H50" i="19"/>
  <c r="R50" i="19" s="1"/>
  <c r="Q49" i="19"/>
  <c r="H49" i="19"/>
  <c r="R49" i="19" s="1"/>
  <c r="Q22" i="19"/>
  <c r="H22" i="19"/>
  <c r="R22" i="19" s="1"/>
  <c r="Q9" i="19"/>
  <c r="H9" i="19"/>
  <c r="R9" i="19" s="1"/>
  <c r="H42" i="19"/>
  <c r="R42" i="19" s="1"/>
  <c r="Q42" i="19"/>
  <c r="Q46" i="19"/>
  <c r="H46" i="19"/>
  <c r="R46" i="19" s="1"/>
  <c r="Q14" i="19"/>
  <c r="H14" i="19"/>
  <c r="R14" i="19" s="1"/>
  <c r="H34" i="19"/>
  <c r="R34" i="19" s="1"/>
  <c r="Q34" i="19"/>
  <c r="Q6" i="19"/>
  <c r="H6" i="19"/>
  <c r="R6" i="19" s="1"/>
  <c r="Q33" i="19"/>
  <c r="H33" i="19"/>
  <c r="R33" i="19" s="1"/>
  <c r="Q26" i="19"/>
  <c r="H26" i="19"/>
  <c r="R26" i="19" s="1"/>
  <c r="Q57" i="19"/>
  <c r="H57" i="19"/>
  <c r="R57" i="19" s="1"/>
  <c r="Q18" i="19"/>
  <c r="H18" i="19"/>
  <c r="R18" i="19" s="1"/>
  <c r="Q25" i="19"/>
  <c r="H25" i="19"/>
  <c r="R25" i="19" s="1"/>
  <c r="Q10" i="19"/>
  <c r="H10" i="19"/>
  <c r="R10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<sst xmlns="http://schemas.openxmlformats.org/spreadsheetml/2006/main" count="8382" uniqueCount="306">
  <si>
    <t>state</t>
  </si>
  <si>
    <t>year</t>
  </si>
  <si>
    <t>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</si>
  <si>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</si>
  <si>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</si>
  <si>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</si>
  <si>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</si>
  <si>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</si>
  <si>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</si>
  <si>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</si>
  <si>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</si>
  <si>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</si>
  <si>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</si>
  <si>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</si>
  <si>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</si>
  <si>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</si>
  <si>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</si>
  <si>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</si>
  <si>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</si>
  <si>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</si>
  <si>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</si>
  <si>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</si>
  <si>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</si>
  <si>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</si>
  <si>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</si>
  <si>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</si>
  <si>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</si>
  <si>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</si>
  <si>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</si>
  <si>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</si>
  <si>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</si>
  <si>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</si>
  <si>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</si>
  <si>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</si>
  <si>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</si>
  <si>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</si>
  <si>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Dakota</t>
  </si>
  <si>
    <t>Ohio</t>
  </si>
  <si>
    <t>Oklahoma</t>
  </si>
  <si>
    <t>Oregon</t>
  </si>
  <si>
    <t>Pennsylvania</t>
  </si>
  <si>
    <t>Rhode Island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</si>
  <si>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</si>
  <si>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</si>
  <si>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</si>
  <si>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</si>
  <si>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</si>
  <si>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</si>
  <si>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</si>
  <si>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</si>
  <si>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</si>
  <si>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</si>
  <si>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fuel_type</t>
  </si>
  <si>
    <t>veh_type</t>
  </si>
  <si>
    <t>mpg_gasoline_eq</t>
  </si>
  <si>
    <t>Gasoline ICE</t>
  </si>
  <si>
    <t>EV100</t>
  </si>
  <si>
    <t>EV200</t>
  </si>
  <si>
    <t>EV300</t>
  </si>
  <si>
    <t>EtOH</t>
  </si>
  <si>
    <t>Diesel ICE</t>
  </si>
  <si>
    <t>CNG/LNG/LPG</t>
  </si>
  <si>
    <t>SI HEV on Gas</t>
  </si>
  <si>
    <t>SI PHEV 10</t>
  </si>
  <si>
    <t>SI PHEV 40</t>
  </si>
  <si>
    <t>FCV</t>
  </si>
  <si>
    <t>CNG</t>
  </si>
  <si>
    <t>EV</t>
  </si>
  <si>
    <t>Diesel PHEV</t>
  </si>
  <si>
    <t>Gasoline PHEV</t>
  </si>
  <si>
    <t>LPG</t>
  </si>
  <si>
    <t>VMT_AEO</t>
  </si>
  <si>
    <t>road_class</t>
  </si>
  <si>
    <t>VMT</t>
  </si>
  <si>
    <t>ln_mile</t>
  </si>
  <si>
    <t>cntrln_mile</t>
  </si>
  <si>
    <t>AADT</t>
  </si>
  <si>
    <t>VMT_perln</t>
  </si>
  <si>
    <t>area_type</t>
  </si>
  <si>
    <t>Interstate</t>
  </si>
  <si>
    <t>Rural</t>
  </si>
  <si>
    <t>Local</t>
  </si>
  <si>
    <t>Major Collector</t>
  </si>
  <si>
    <t>Minor Arterial</t>
  </si>
  <si>
    <t>Minor Collector</t>
  </si>
  <si>
    <t>Other Freeways  And Expressways</t>
  </si>
  <si>
    <t>Other Principal Arterial</t>
  </si>
  <si>
    <t>Puerto Rico</t>
  </si>
  <si>
    <t>U.S. Total</t>
  </si>
  <si>
    <t xml:space="preserve">Interstate </t>
  </si>
  <si>
    <t>Urban</t>
  </si>
  <si>
    <t xml:space="preserve">Local </t>
  </si>
  <si>
    <t>state_vmt</t>
  </si>
  <si>
    <t>source</t>
  </si>
  <si>
    <t>AAA</t>
  </si>
  <si>
    <t>state_code</t>
  </si>
  <si>
    <t>AK</t>
  </si>
  <si>
    <t>AL</t>
  </si>
  <si>
    <t>AR</t>
  </si>
  <si>
    <t>AS</t>
  </si>
  <si>
    <t>American Samoa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</si>
  <si>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</si>
  <si>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</si>
  <si>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</si>
  <si>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</si>
  <si>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</si>
  <si>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</si>
  <si>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</si>
  <si>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</si>
  <si>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</si>
  <si>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Guam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</si>
  <si>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</si>
  <si>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</si>
  <si>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</si>
  <si>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</si>
  <si>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</si>
  <si>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</si>
  <si>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</si>
  <si>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</si>
  <si>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</si>
  <si>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</si>
  <si>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</si>
  <si>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</si>
  <si>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</si>
  <si>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</si>
  <si>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</si>
  <si>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</si>
  <si>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</si>
  <si>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</si>
  <si>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</si>
  <si>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</si>
  <si>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</si>
  <si>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</si>
  <si>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</si>
  <si>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</si>
  <si>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</si>
  <si>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</si>
  <si>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</si>
  <si>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</si>
  <si>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</si>
  <si>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</si>
  <si>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</si>
  <si>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</si>
  <si>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</si>
  <si>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</si>
  <si>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</si>
  <si>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</si>
  <si>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</si>
  <si>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</si>
  <si>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</si>
  <si>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</si>
  <si>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</si>
  <si>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</si>
  <si>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daily_new_bicyclists</t>
  </si>
  <si>
    <t>daily_new_walkers</t>
  </si>
  <si>
    <t>annual_displaced_auto_miles</t>
  </si>
  <si>
    <t>Diesel</t>
  </si>
  <si>
    <t>Suburban</t>
  </si>
  <si>
    <t>Core Urban</t>
  </si>
  <si>
    <t>Shared-use path</t>
  </si>
  <si>
    <t>Bike lane/facility</t>
  </si>
  <si>
    <t>Separated bike lane</t>
  </si>
  <si>
    <t>Sidewalk/ pedestrian facility</t>
  </si>
  <si>
    <t>“Complete Streets” reconstruction</t>
  </si>
  <si>
    <t>Widened Shoulder</t>
  </si>
  <si>
    <t>bike_ped_project_type</t>
  </si>
  <si>
    <t>state </t>
  </si>
  <si>
    <t>total_mode_VOMS</t>
  </si>
  <si>
    <t>total_vehicle_rev_miles</t>
  </si>
  <si>
    <t>total_unlinked_trips</t>
  </si>
  <si>
    <t>total_pass_miles</t>
  </si>
  <si>
    <t>total_miles_per_veh</t>
  </si>
  <si>
    <t>load_factor</t>
  </si>
  <si>
    <t>avg_trip_length</t>
  </si>
  <si>
    <t>transit_mode</t>
  </si>
  <si>
    <t>Bus</t>
  </si>
  <si>
    <t>Demand Response</t>
  </si>
  <si>
    <t>Commuter Bus</t>
  </si>
  <si>
    <t>Light Rail</t>
  </si>
  <si>
    <t>Heavy Rail</t>
  </si>
  <si>
    <t>Commuter Rail</t>
  </si>
  <si>
    <t>Locomotives</t>
  </si>
  <si>
    <t>Gasoline</t>
  </si>
  <si>
    <t>Ethanol</t>
  </si>
  <si>
    <t>LNG</t>
  </si>
  <si>
    <t>Gas</t>
  </si>
  <si>
    <t>GWP</t>
  </si>
  <si>
    <t>CH4</t>
  </si>
  <si>
    <t>total_cost_veh_operations</t>
  </si>
  <si>
    <t>total_cost_veh_maintainance</t>
  </si>
  <si>
    <t>total_cost_om</t>
  </si>
  <si>
    <t>total_cost_fuel_lube</t>
  </si>
  <si>
    <t>Light Duty Trucks</t>
  </si>
  <si>
    <t>Heavy Duty Trucks</t>
  </si>
  <si>
    <t>CH4_g_per_mi</t>
  </si>
  <si>
    <t>N20_g_per_mi</t>
  </si>
  <si>
    <t>GWP_CH4_g_per_mi</t>
  </si>
  <si>
    <t>GWP_N20_g_per_mi</t>
  </si>
  <si>
    <t>N20</t>
  </si>
  <si>
    <t xml:space="preserve"> </t>
  </si>
  <si>
    <t>CH4_g_per_gallon</t>
  </si>
  <si>
    <t>N20_g_per_gallon</t>
  </si>
  <si>
    <t>GWP_N20_g_per_gallon</t>
  </si>
  <si>
    <t>GWP_CH4_g_per_gallon</t>
  </si>
  <si>
    <t>Passenger Cars</t>
  </si>
  <si>
    <t>NOx_g_per_veh_mi</t>
  </si>
  <si>
    <t>PM25_tires_brakes</t>
  </si>
  <si>
    <t>PM25_exhaust</t>
  </si>
  <si>
    <t>Medium Duty</t>
  </si>
  <si>
    <t>gas_regular</t>
  </si>
  <si>
    <t>gas_mid</t>
  </si>
  <si>
    <t>gas_premium</t>
  </si>
  <si>
    <t>gas_diesel</t>
  </si>
  <si>
    <t>electricity_retail_avg</t>
  </si>
  <si>
    <t>electricity_summer_capacity</t>
  </si>
  <si>
    <t>electricity_net_generation</t>
  </si>
  <si>
    <t>electricity_retail_sales</t>
  </si>
  <si>
    <t>veh_subtype</t>
  </si>
  <si>
    <t xml:space="preserve">Diesel ICE </t>
  </si>
  <si>
    <t>Electric</t>
  </si>
  <si>
    <t>Gas PHEV</t>
  </si>
  <si>
    <t>Fuel Cell</t>
  </si>
  <si>
    <t>Medium Duty Trucks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</si>
  <si>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</si>
  <si>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</si>
  <si>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</si>
  <si>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</si>
  <si>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</si>
  <si>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</si>
  <si>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</si>
  <si>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</si>
  <si>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</si>
  <si>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</si>
  <si>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</si>
  <si>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</si>
  <si>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</si>
  <si>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</si>
  <si>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</si>
  <si>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</si>
  <si>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</si>
  <si>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</si>
  <si>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</si>
  <si>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</si>
  <si>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</si>
  <si>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</si>
  <si>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</si>
  <si>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</si>
  <si>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</si>
  <si>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</si>
  <si>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</si>
  <si>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</si>
  <si>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</si>
  <si>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</si>
  <si>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North Carsolina</t>
  </si>
  <si>
    <t>South Carsolina</t>
  </si>
  <si>
    <t>TOTAL</t>
  </si>
  <si>
    <t>North Carolina</t>
  </si>
  <si>
    <t>South Carolina</t>
  </si>
  <si>
    <t>PCT LDV (From VM1)</t>
  </si>
  <si>
    <t>NATIONAL  HIGHWAY  SYSTEM</t>
  </si>
  <si>
    <t>OTHER</t>
  </si>
  <si>
    <t>National LD/TruckSplit</t>
  </si>
  <si>
    <t>INTERSTATE</t>
  </si>
  <si>
    <t>LDV%</t>
  </si>
  <si>
    <t>TRK%</t>
  </si>
  <si>
    <t>LDV</t>
  </si>
  <si>
    <t>TRK</t>
  </si>
  <si>
    <t>Rural Interstate</t>
  </si>
  <si>
    <t>Urban Interstate</t>
  </si>
  <si>
    <t>Other Rural</t>
  </si>
  <si>
    <t>Other Urban</t>
  </si>
  <si>
    <t>PCT LDV on NHS</t>
  </si>
  <si>
    <t>PCT Truck on NHS</t>
  </si>
  <si>
    <t>total_all</t>
  </si>
  <si>
    <t>VMT_LDV</t>
  </si>
  <si>
    <t>VMT_TRK</t>
  </si>
  <si>
    <t>VMT_LDV_rural_interstate</t>
  </si>
  <si>
    <t>VMT_LDV_urban_interstate</t>
  </si>
  <si>
    <t>Interstate_Rural</t>
  </si>
  <si>
    <t>Interstate_Urban</t>
  </si>
  <si>
    <t>Other_Rural</t>
  </si>
  <si>
    <t>Other_Urban</t>
  </si>
  <si>
    <t>VMT_LDV_urban_other</t>
  </si>
  <si>
    <t>VMT_TRK_rural_Interstate</t>
  </si>
  <si>
    <t>VMT_TRK_urban_interstate</t>
  </si>
  <si>
    <t>VMT_TRK_other_rural</t>
  </si>
  <si>
    <t>VMT_TRK_Other_urban</t>
  </si>
  <si>
    <t>LDV_pct_on_NHS</t>
  </si>
  <si>
    <t>TRK_pct_on_NHS</t>
  </si>
  <si>
    <t>electricity_emrate</t>
  </si>
  <si>
    <t>fuel_carbon_content</t>
  </si>
  <si>
    <t>fuel_carbon_content_unit</t>
  </si>
  <si>
    <t>fuel_conversion</t>
  </si>
  <si>
    <t>fuel_conversion_unit</t>
  </si>
  <si>
    <t>fuel_CH4_CO2e_per_mile</t>
  </si>
  <si>
    <t>fuel_N20_CO2eq_per_mile</t>
  </si>
  <si>
    <t>uses_electiricity</t>
  </si>
  <si>
    <t>electricity_conversion</t>
  </si>
  <si>
    <t>electricity_conversion_unit</t>
  </si>
  <si>
    <t>kg CO2 per gal</t>
  </si>
  <si>
    <t>NA</t>
  </si>
  <si>
    <t>kWh per gallon gasoline eq.</t>
  </si>
  <si>
    <t>gallon diesel per gallon gasoline eq.</t>
  </si>
  <si>
    <t>kg CO2 per mcf</t>
  </si>
  <si>
    <t>cubic feet CNG per gallon gasoline equivalent</t>
  </si>
  <si>
    <t>gallon propane per gallon gasoline equiv.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</si>
</sst>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0.000"/>
    <numFmt numFmtId="165" formatCode="0.0%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0"/>
      <color indexed="12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8" fontId="2" fillId="0" borderId="0" xfId="0" applyNumberFormat="1" applyFont="1"/>
    <xf numFmtId="0" fontId="3" fillId="0" borderId="0" xfId="0" applyFont="1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164" fontId="0" fillId="0" borderId="0" xfId="0" applyNumberFormat="1"/>
    <xf numFmtId="0" fontId="6" fillId="0" borderId="0" xfId="0" applyFont="1"/>
    <xf numFmtId="0" fontId="7" fillId="0" borderId="0" xfId="0" applyFont="1"/>
    <xf numFmtId="165" fontId="3" fillId="0" borderId="0" xfId="2" applyNumberFormat="1" applyFont="1"/>
    <xf numFmtId="3" fontId="0" fillId="0" borderId="0" xfId="2" applyNumberFormat="1" applyFont="1"/>
    <xf numFmtId="1" fontId="2" fillId="0" borderId="0" xfId="0" applyNumberFormat="1" applyFont="1"/>
    <xf numFmtId="4" fontId="0" fillId="0" borderId="0" xfId="0" applyNumberFormat="1"/>
    <xf numFmtId="4" fontId="0" fillId="0" borderId="0" xfId="2" applyNumberFormat="1" applyFont="1"/>
    <xf numFmtId="0" fontId="0" fillId="0" borderId="0" xfId="0" applyAlignment="1">
      <alignment horizontal="left" indent="1"/>
    </xf>
    <xf numFmtId="9" fontId="0" fillId="0" borderId="0" xfId="2" applyFont="1"/>
    <xf numFmtId="9" fontId="0" fillId="0" borderId="0" xfId="0" applyNumberFormat="1"/>
    <xf numFmtId="166" fontId="0" fillId="0" borderId="0" xfId="3" applyNumberFormat="1" applyFont="1"/>
    <xf numFmtId="0" fontId="0" fillId="3" borderId="0" xfId="0" applyFill="1" applyAlignment="1">
      <alignment horizontal="center"/>
    </xf>
  </cellXfs>
  <cellStyles count="4">
    <cellStyle name="Comma" xfId="3" builtinId="3"/>
    <cellStyle name="Hyperlink 2" xfId="1" xr:uid="{DC06A778-17AF-4D1F-A592-9EBBFADA9951}"/>
    <cellStyle name="Normal" xfId="0" builtinId="0"/>
    <cellStyle name="Percent" xfId="2" builtinId="5"/>
  </cellStyles>
  <dxfs count="80"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3" formatCode="#,##0"/>
      <fill>
        <patternFill patternType="solid">
          <fgColor indexed="64"/>
          <bgColor theme="5" tint="0.79998168889431442"/>
        </patternFill>
      </fill>
    </dxf>
    <dxf>
      <numFmt numFmtId="3" formatCode="#,##0"/>
      <fill>
        <patternFill patternType="solid">
          <fgColor indexed="64"/>
          <bgColor theme="5" tint="0.79998168889431442"/>
        </patternFill>
      </fill>
    </dxf>
    <dxf>
      <numFmt numFmtId="3" formatCode="#,##0"/>
      <fill>
        <patternFill patternType="solid">
          <fgColor indexed="64"/>
          <bgColor theme="5" tint="0.79998168889431442"/>
        </patternFill>
      </fill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msys.sharepoint.com/sites/PROJGeorgetown-TCI200020/Shared%20Documents/General/Prioritization/R%20Shiny%20Migration/TEACART_v1.8_Local_shiny.xlsx" TargetMode="External"/><Relationship Id="rId1" Type="http://schemas.openxmlformats.org/officeDocument/2006/relationships/externalLinkPath" Target="https://camsys.sharepoint.com/sites/PROJGeorgetown-TCI200020/Shared%20Documents/General/Prioritization/R%20Shiny%20Migration/TEACART_v1.8_Local_shin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porter_camsys_com/Documents/Documents/Library/Energy_&amp;_GHG/Analysis%20Methods/ICE%20Tool/ICE%20v2.0.2%20Fina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ACarsT_v1.8_Local_shin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hiny"/>
      <sheetName val="Cover"/>
      <sheetName val="ReadMe"/>
      <sheetName val="Terms and Navigation"/>
      <sheetName val="Key Inputs"/>
      <sheetName val="Baseline Parameters"/>
      <sheetName val="Custom Project Inputs"/>
      <sheetName val="Capital Project Inputs"/>
      <sheetName val="Strategy Parameters"/>
      <sheetName val="Cost Parameters"/>
      <sheetName val="Scenario Testing"/>
      <sheetName val="Baseline GHG Forecast"/>
      <sheetName val="Scenario and Strategy Summary"/>
      <sheetName val="Cost Effectiveness"/>
      <sheetName val="TechFrac"/>
      <sheetName val="EV Forecast"/>
      <sheetName val="VMT Forecast"/>
      <sheetName val="AEO_VMT_Base"/>
      <sheetName val="Stock_Type_Tech_BASE"/>
      <sheetName val="Emissions Base"/>
      <sheetName val="Passenger_Rail"/>
      <sheetName val="Freight_Rail"/>
      <sheetName val="Public Transit"/>
      <sheetName val="Em_OnRoad_BASE"/>
      <sheetName val="EmRate_by_Tech"/>
      <sheetName val="VMT_Type_Tech_BASE"/>
      <sheetName val="VMT_Type_Tech_NHS"/>
      <sheetName val="VMT_NHS"/>
      <sheetName val="FuelEcon"/>
      <sheetName val="Fuel Factors"/>
      <sheetName val="Electricity_EmRate"/>
      <sheetName val="VMT_State_Allocation"/>
      <sheetName val="State_Population"/>
      <sheetName val="Transit Cost Data"/>
      <sheetName val="NTD_Service"/>
      <sheetName val="Strategy Summary"/>
      <sheetName val="Bicycle and Pedestrian"/>
      <sheetName val="Transit_Service"/>
      <sheetName val="Micro"/>
      <sheetName val="TDM"/>
      <sheetName val="Transit_Elec"/>
      <sheetName val="ParkNRide"/>
      <sheetName val="OPS"/>
      <sheetName val="MDHD"/>
      <sheetName val="Freight"/>
      <sheetName val="EVSE"/>
      <sheetName val="RoadwayExp"/>
      <sheetName val="Custom"/>
      <sheetName val="HPMS_Data"/>
      <sheetName val="FuelPrices"/>
      <sheetName val="EmRate_Multipliers"/>
      <sheetName val="Em_OnRoad_NHS"/>
      <sheetName val="Lookups"/>
      <sheetName val="Sources"/>
    </sheetNames>
    <sheetDataSet>
      <sheetData sheetId="0"/>
      <sheetData sheetId="1"/>
      <sheetData sheetId="2"/>
      <sheetData sheetId="3"/>
      <sheetData sheetId="4"/>
      <sheetData sheetId="5">
        <row r="64">
          <cell r="C64">
            <v>0.24</v>
          </cell>
        </row>
        <row r="65">
          <cell r="C65">
            <v>0.21</v>
          </cell>
        </row>
        <row r="66">
          <cell r="C66">
            <v>0.28999999999999998</v>
          </cell>
        </row>
        <row r="67">
          <cell r="C67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B6">
            <v>1385678.0070000002</v>
          </cell>
        </row>
        <row r="7">
          <cell r="B7">
            <v>1453415.7089999998</v>
          </cell>
        </row>
        <row r="10">
          <cell r="B10">
            <v>3135901.6406529997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5">
          <cell r="N5" t="str">
            <v>AL</v>
          </cell>
          <cell r="O5" t="str">
            <v>Alabama</v>
          </cell>
        </row>
        <row r="6">
          <cell r="N6" t="str">
            <v>AK</v>
          </cell>
          <cell r="O6" t="str">
            <v>Alaska</v>
          </cell>
        </row>
        <row r="7">
          <cell r="N7" t="str">
            <v>AZ</v>
          </cell>
          <cell r="O7" t="str">
            <v>Arizona</v>
          </cell>
        </row>
        <row r="8">
          <cell r="N8" t="str">
            <v>AR</v>
          </cell>
          <cell r="O8" t="str">
            <v>Arkansas</v>
          </cell>
        </row>
        <row r="9">
          <cell r="N9" t="str">
            <v>CA</v>
          </cell>
          <cell r="O9" t="str">
            <v>California</v>
          </cell>
        </row>
        <row r="10">
          <cell r="N10" t="str">
            <v>CO</v>
          </cell>
          <cell r="O10" t="str">
            <v>Colorado</v>
          </cell>
        </row>
        <row r="11">
          <cell r="N11" t="str">
            <v>CT</v>
          </cell>
          <cell r="O11" t="str">
            <v>Connecticut</v>
          </cell>
        </row>
        <row r="12">
          <cell r="N12" t="str">
            <v>DE</v>
          </cell>
          <cell r="O12" t="str">
            <v>Delaware</v>
          </cell>
        </row>
        <row r="13">
          <cell r="N13" t="str">
            <v>DC</v>
          </cell>
          <cell r="O13" t="str">
            <v>District of Columbia</v>
          </cell>
        </row>
        <row r="14">
          <cell r="N14" t="str">
            <v>FL</v>
          </cell>
          <cell r="O14" t="str">
            <v>Florida</v>
          </cell>
        </row>
        <row r="15">
          <cell r="N15" t="str">
            <v>GA</v>
          </cell>
          <cell r="O15" t="str">
            <v>Georgia</v>
          </cell>
        </row>
        <row r="16">
          <cell r="N16" t="str">
            <v>HI</v>
          </cell>
          <cell r="O16" t="str">
            <v>Hawaii</v>
          </cell>
        </row>
        <row r="17">
          <cell r="N17" t="str">
            <v>ID</v>
          </cell>
          <cell r="O17" t="str">
            <v>Idaho</v>
          </cell>
        </row>
        <row r="18">
          <cell r="N18" t="str">
            <v>IL</v>
          </cell>
          <cell r="O18" t="str">
            <v>Illinois</v>
          </cell>
        </row>
        <row r="19">
          <cell r="N19" t="str">
            <v>IN</v>
          </cell>
          <cell r="O19" t="str">
            <v>Indiana</v>
          </cell>
        </row>
        <row r="20">
          <cell r="N20" t="str">
            <v>IA</v>
          </cell>
          <cell r="O20" t="str">
            <v>Iowa</v>
          </cell>
        </row>
        <row r="21">
          <cell r="N21" t="str">
            <v>KS</v>
          </cell>
          <cell r="O21" t="str">
            <v>Kansas</v>
          </cell>
        </row>
        <row r="22">
          <cell r="N22" t="str">
            <v>KY</v>
          </cell>
          <cell r="O22" t="str">
            <v>Kentucky</v>
          </cell>
        </row>
        <row r="23">
          <cell r="N23" t="str">
            <v>LA</v>
          </cell>
          <cell r="O23" t="str">
            <v>Louisiana</v>
          </cell>
        </row>
        <row r="24">
          <cell r="N24" t="str">
            <v>ME</v>
          </cell>
          <cell r="O24" t="str">
            <v>Maine</v>
          </cell>
        </row>
        <row r="25">
          <cell r="N25" t="str">
            <v>MD</v>
          </cell>
          <cell r="O25" t="str">
            <v>Maryland</v>
          </cell>
        </row>
        <row r="26">
          <cell r="N26" t="str">
            <v>MA</v>
          </cell>
          <cell r="O26" t="str">
            <v>Massachusetts</v>
          </cell>
        </row>
        <row r="27">
          <cell r="N27" t="str">
            <v>MI</v>
          </cell>
          <cell r="O27" t="str">
            <v>Michigan</v>
          </cell>
        </row>
        <row r="28">
          <cell r="N28" t="str">
            <v>MN</v>
          </cell>
          <cell r="O28" t="str">
            <v>Minnesota</v>
          </cell>
        </row>
        <row r="29">
          <cell r="N29" t="str">
            <v>MS</v>
          </cell>
          <cell r="O29" t="str">
            <v>Mississippi</v>
          </cell>
        </row>
        <row r="30">
          <cell r="N30" t="str">
            <v>MO</v>
          </cell>
          <cell r="O30" t="str">
            <v>Missouri</v>
          </cell>
        </row>
        <row r="31">
          <cell r="N31" t="str">
            <v>MT</v>
          </cell>
          <cell r="O31" t="str">
            <v>Montana</v>
          </cell>
        </row>
        <row r="32">
          <cell r="N32" t="str">
            <v>NE</v>
          </cell>
          <cell r="O32" t="str">
            <v>Nebraska</v>
          </cell>
        </row>
        <row r="33">
          <cell r="N33" t="str">
            <v>NV</v>
          </cell>
          <cell r="O33" t="str">
            <v>Nevada</v>
          </cell>
        </row>
        <row r="34">
          <cell r="N34" t="str">
            <v>NH</v>
          </cell>
          <cell r="O34" t="str">
            <v>New Hampshire</v>
          </cell>
        </row>
        <row r="35">
          <cell r="N35" t="str">
            <v>NJ</v>
          </cell>
          <cell r="O35" t="str">
            <v>New Jersey</v>
          </cell>
        </row>
        <row r="36">
          <cell r="N36" t="str">
            <v>NM</v>
          </cell>
          <cell r="O36" t="str">
            <v>New Mexico</v>
          </cell>
        </row>
        <row r="37">
          <cell r="N37" t="str">
            <v>NY</v>
          </cell>
          <cell r="O37" t="str">
            <v>New York</v>
          </cell>
        </row>
        <row r="38">
          <cell r="N38" t="str">
            <v>NC</v>
          </cell>
          <cell r="O38" t="str">
            <v>North Carolina</v>
          </cell>
        </row>
        <row r="39">
          <cell r="N39" t="str">
            <v>ND</v>
          </cell>
          <cell r="O39" t="str">
            <v>North Dakota</v>
          </cell>
        </row>
        <row r="40">
          <cell r="N40" t="str">
            <v>OH</v>
          </cell>
          <cell r="O40" t="str">
            <v>Ohio</v>
          </cell>
        </row>
        <row r="41">
          <cell r="N41" t="str">
            <v>OK</v>
          </cell>
          <cell r="O41" t="str">
            <v>Oklahoma</v>
          </cell>
        </row>
        <row r="42">
          <cell r="N42" t="str">
            <v>OR</v>
          </cell>
          <cell r="O42" t="str">
            <v>Oregon</v>
          </cell>
        </row>
        <row r="43">
          <cell r="N43" t="str">
            <v>PA</v>
          </cell>
          <cell r="O43" t="str">
            <v>Pennsylvania</v>
          </cell>
        </row>
        <row r="44">
          <cell r="N44" t="str">
            <v>PR</v>
          </cell>
          <cell r="O44" t="str">
            <v>Puerto Rico</v>
          </cell>
        </row>
        <row r="45">
          <cell r="N45" t="str">
            <v>RI</v>
          </cell>
          <cell r="O45" t="str">
            <v>Rhode Island</v>
          </cell>
        </row>
        <row r="46">
          <cell r="N46" t="str">
            <v>SC</v>
          </cell>
          <cell r="O46" t="str">
            <v>South Carolina</v>
          </cell>
        </row>
        <row r="47">
          <cell r="N47" t="str">
            <v>SD</v>
          </cell>
          <cell r="O47" t="str">
            <v>South Dakota</v>
          </cell>
        </row>
        <row r="48">
          <cell r="N48" t="str">
            <v>TN</v>
          </cell>
          <cell r="O48" t="str">
            <v>Tennessee</v>
          </cell>
        </row>
        <row r="49">
          <cell r="N49" t="str">
            <v>TX</v>
          </cell>
          <cell r="O49" t="str">
            <v>Texas</v>
          </cell>
        </row>
        <row r="50">
          <cell r="N50" t="str">
            <v>UT</v>
          </cell>
          <cell r="O50" t="str">
            <v>Utah</v>
          </cell>
        </row>
        <row r="51">
          <cell r="N51" t="str">
            <v>VT</v>
          </cell>
          <cell r="O51" t="str">
            <v>Vermont</v>
          </cell>
        </row>
        <row r="52">
          <cell r="N52" t="str">
            <v>VA</v>
          </cell>
          <cell r="O52" t="str">
            <v>Virginia</v>
          </cell>
        </row>
        <row r="53">
          <cell r="N53" t="str">
            <v>VI</v>
          </cell>
          <cell r="O53" t="str">
            <v>Virgin Islands</v>
          </cell>
        </row>
        <row r="54">
          <cell r="N54" t="str">
            <v>WA</v>
          </cell>
          <cell r="O54" t="str">
            <v>Washington</v>
          </cell>
        </row>
        <row r="55">
          <cell r="N55" t="str">
            <v>WV</v>
          </cell>
          <cell r="O55" t="str">
            <v>West Virginia</v>
          </cell>
        </row>
        <row r="56">
          <cell r="N56" t="str">
            <v>WI</v>
          </cell>
          <cell r="O56" t="str">
            <v>Wisconsin</v>
          </cell>
        </row>
        <row r="57">
          <cell r="N57" t="str">
            <v>WY</v>
          </cell>
          <cell r="O57" t="str">
            <v>Wyoming</v>
          </cell>
        </row>
      </sheetData>
      <sheetData sheetId="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ntroduction"/>
      <sheetName val="Project Inputs"/>
      <sheetName val="Summary Results"/>
      <sheetName val="Print Results"/>
      <sheetName val="Mitigation Strategies"/>
      <sheetName val="Bridges_Overpasses"/>
      <sheetName val="BRT"/>
      <sheetName val="Culverts"/>
      <sheetName val="Heavy_Rail"/>
      <sheetName val="Light_Rail"/>
      <sheetName val="Lighting"/>
      <sheetName val="Parking"/>
      <sheetName val="Pathways"/>
      <sheetName val="Roadways"/>
      <sheetName val="Roadway_Rehab"/>
      <sheetName val="Signage"/>
      <sheetName val="Vehicle_Ops"/>
      <sheetName val="Custom_Pavement"/>
      <sheetName val="Advanced Customization"/>
      <sheetName val="Annual Electricity Emissions"/>
      <sheetName val="Fuel Use Factors"/>
      <sheetName val="Conversion Factors"/>
      <sheetName val="Road - construction conv"/>
      <sheetName val="Road - factors"/>
      <sheetName val="Road - construction back"/>
      <sheetName val="BRT - factors"/>
      <sheetName val="Rail - factors"/>
      <sheetName val="Rail- construction back"/>
      <sheetName val="Vehicle Ops - Rates"/>
      <sheetName val="Culverts - Config"/>
      <sheetName val="Culverts - Box"/>
      <sheetName val="Culverts - Pipe"/>
      <sheetName val="Signage - Source"/>
      <sheetName val="Fuel Switching Facto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72E7A-0DB0-4383-8DA6-330004A96BD0}" name="State_Populations" displayName="State_Populations" ref="A1:C154" totalsRowShown="0" headerRowDxfId="79" dataDxfId="78">
  <autoFilter ref="A1:C154" xr:uid="{ADE72E7A-0DB0-4383-8DA6-330004A96BD0}"/>
  <tableColumns count="3">
    <tableColumn id="1" xr3:uid="{F73397ED-6858-4813-B93E-2A498EEFD6E3}" name="state" dataDxfId="77"/>
    <tableColumn id="2" xr3:uid="{EAD47E40-4750-4C1A-A537-F6E5EF6A8690}" name="year" dataDxfId="76"/>
    <tableColumn id="3" xr3:uid="{4E1E205E-B487-4A34-A35C-C243A187E68E}" name="population" dataDxfId="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D4DAA-0A5B-4D25-ABF1-823CB17290ED}" name="Fuel_Econs" displayName="Fuel_Econs" ref="A1:D1141" totalsRowShown="0" headerRowDxfId="74" dataDxfId="73">
  <autoFilter ref="A1:D1141" xr:uid="{582D4DAA-0A5B-4D25-ABF1-823CB17290ED}"/>
  <tableColumns count="4">
    <tableColumn id="2" xr3:uid="{A9C8722C-57C5-40ED-81D2-F9D452B57E3E}" name="veh_type" dataDxfId="72"/>
    <tableColumn id="1" xr3:uid="{3C2D67BB-3546-42C7-9841-AE339E1104FD}" name="fuel_type" dataDxfId="71"/>
    <tableColumn id="3" xr3:uid="{0DD6F3F8-56C6-4110-A8A5-7C8CD018E715}" name="year" dataDxfId="70"/>
    <tableColumn id="4" xr3:uid="{753CDE3B-EF5E-47F8-951F-924B91E92EDB}" name="mpg_gasoline_eq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DFE3D8-BF1F-4FA6-907B-327B6B0CEDAC}" name="Stock_Type_Tech_BASE" displayName="Stock_Type_Tech_BASE" ref="A1:AF39" totalsRowShown="0">
  <autoFilter ref="A1:AF39" xr:uid="{26DFE3D8-BF1F-4FA6-907B-327B6B0CEDAC}"/>
  <tableColumns count="32">
    <tableColumn id="1" xr3:uid="{62053B8D-9C72-4701-9AF7-43D88B9B22A4}" name="veh_type"/>
    <tableColumn id="2" xr3:uid="{66DC8B15-DBCD-4BB7-A766-A8DB844E878B}" name="veh_subtype" dataDxfId="68"/>
    <tableColumn id="3" xr3:uid="{5494E6D8-5555-4D07-A136-D2F095F89A0D}" name="2021" dataDxfId="67"/>
    <tableColumn id="4" xr3:uid="{CB4CDFAB-90E2-419E-8EE6-8088731A718B}" name="2022" dataDxfId="66"/>
    <tableColumn id="5" xr3:uid="{BC7EE75F-AFCD-4529-B49D-65B37D50E18B}" name="2023" dataDxfId="65"/>
    <tableColumn id="6" xr3:uid="{2623A818-04D3-4CB7-9536-20CF33F0B445}" name="2024" dataDxfId="64"/>
    <tableColumn id="7" xr3:uid="{C39B458D-DADB-4DC8-8072-5961431A9CC2}" name="2025" dataDxfId="63"/>
    <tableColumn id="8" xr3:uid="{948F76BF-D2B4-4121-B3D8-5EDC8BE89BBD}" name="2026" dataDxfId="62"/>
    <tableColumn id="9" xr3:uid="{86DCCC54-C9B2-482B-A28E-FB136851756A}" name="2027" dataDxfId="61"/>
    <tableColumn id="10" xr3:uid="{1F24E1A2-102B-4F50-B2EF-531364FD506A}" name="2028" dataDxfId="60"/>
    <tableColumn id="11" xr3:uid="{B5BD79DC-374C-41E2-BBE0-C4FA5CA7266B}" name="2029" dataDxfId="59"/>
    <tableColumn id="12" xr3:uid="{6040F6C0-728F-4F56-82FA-8F335B346240}" name="2030" dataDxfId="58"/>
    <tableColumn id="13" xr3:uid="{777D8B44-0C5D-412C-83B4-00F03632ECF9}" name="2031" dataDxfId="57"/>
    <tableColumn id="14" xr3:uid="{9EC73B4B-E136-4AB8-B77D-C1FE60128A72}" name="2032" dataDxfId="56"/>
    <tableColumn id="15" xr3:uid="{87DBED95-4E40-4F35-AC1E-B196183A1426}" name="2033" dataDxfId="55"/>
    <tableColumn id="16" xr3:uid="{F1439027-BBF2-49AA-A591-3632F24804A1}" name="2034" dataDxfId="54"/>
    <tableColumn id="17" xr3:uid="{F7968730-192F-404F-9B45-308DDE081907}" name="2035" dataDxfId="53"/>
    <tableColumn id="18" xr3:uid="{7A7C733C-F5A6-49A9-BFF2-A495AEEB66C2}" name="2036" dataDxfId="52"/>
    <tableColumn id="19" xr3:uid="{58026119-8B8F-4A3D-83CA-4C8B006005FF}" name="2037" dataDxfId="51"/>
    <tableColumn id="20" xr3:uid="{0DC2964A-45E1-4675-9A45-6F69DA155672}" name="2038" dataDxfId="50"/>
    <tableColumn id="21" xr3:uid="{84BBC27E-E152-41D2-9036-587EF7DB9FF2}" name="2039" dataDxfId="49"/>
    <tableColumn id="22" xr3:uid="{3807A9C4-C050-4A3A-952A-5859AD2AE874}" name="2040" dataDxfId="48"/>
    <tableColumn id="23" xr3:uid="{FF9A5B48-C7D9-4B91-84E5-63297F2C4FEC}" name="2041" dataDxfId="47"/>
    <tableColumn id="24" xr3:uid="{8B5085CD-A302-4A03-B5EA-F22DABEA8C34}" name="2042" dataDxfId="46"/>
    <tableColumn id="25" xr3:uid="{136F35CC-46CA-4CB2-AA82-25188F53F90B}" name="2043" dataDxfId="45"/>
    <tableColumn id="26" xr3:uid="{D9C87554-6CC8-4B3B-873C-8198436EB206}" name="2044" dataDxfId="44"/>
    <tableColumn id="27" xr3:uid="{A5A1C6D2-F476-404B-8688-89130BE3DF0D}" name="2045" dataDxfId="43"/>
    <tableColumn id="28" xr3:uid="{88296D41-DBE1-4E61-96BF-AEF8FC13BE35}" name="2046" dataDxfId="42"/>
    <tableColumn id="29" xr3:uid="{CE07A51A-2B10-4EA2-ACE8-6F4BE2476DCE}" name="2047" dataDxfId="41"/>
    <tableColumn id="30" xr3:uid="{1DAC48BA-1924-498D-8FC3-861C248885FC}" name="2048" dataDxfId="40"/>
    <tableColumn id="31" xr3:uid="{B688E9DA-A549-42F4-AB8B-FDE0EFCB9009}" name="2049" dataDxfId="39"/>
    <tableColumn id="32" xr3:uid="{24389340-B3AB-4C24-8D9C-A0BD7675F042}" name="2050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AC199F-1E44-400D-AE49-2DF031458F28}" name="AEO_VMT_Base" displayName="AEO_VMT_Base" ref="A1:C125" totalsRowShown="0" headerRowDxfId="37" dataDxfId="36">
  <autoFilter ref="A1:C125" xr:uid="{3CAC199F-1E44-400D-AE49-2DF031458F28}"/>
  <tableColumns count="3">
    <tableColumn id="1" xr3:uid="{51DE3611-329C-41B0-A4DB-52AE83C97AC8}" name="veh_type" dataDxfId="35"/>
    <tableColumn id="2" xr3:uid="{591F901E-48BF-4AA2-83C5-3ABFD077C4E7}" name="year" dataDxfId="34"/>
    <tableColumn id="3" xr3:uid="{68ED531E-CBD1-4FD0-B6FE-39DCA60A2D35}" name="VMT_AEO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16E024-4D78-4E5E-A3BE-D1D66BF710F0}" name="HPMS" displayName="HPMS" ref="A1:H743" totalsRowShown="0" headerRowDxfId="32" dataDxfId="31">
  <autoFilter ref="A1:H743" xr:uid="{1316E024-4D78-4E5E-A3BE-D1D66BF710F0}"/>
  <tableColumns count="8">
    <tableColumn id="1" xr3:uid="{8197FE9A-A39C-4187-B5AC-62137B98FA8C}" name="state" dataDxfId="30"/>
    <tableColumn id="2" xr3:uid="{33E598CD-870F-42AB-891F-120C293216E4}" name="road_class" dataDxfId="29"/>
    <tableColumn id="8" xr3:uid="{497DF0FF-D0A2-4A0F-AFE6-132C97C1B5AD}" name="area_type" dataDxfId="28"/>
    <tableColumn id="3" xr3:uid="{776B704E-54DA-4B36-942C-A38CD577374B}" name="VMT" dataDxfId="27"/>
    <tableColumn id="4" xr3:uid="{BDC6225D-BEFD-46A2-B173-8338BF6CD1D9}" name="ln_mile" dataDxfId="26"/>
    <tableColumn id="5" xr3:uid="{24DAA4FA-2524-49F1-8BF5-F7D985D4CF64}" name="cntrln_mile" dataDxfId="25"/>
    <tableColumn id="6" xr3:uid="{08E78B07-AE22-4A69-BADE-9D39986335D3}" name="AADT" dataDxfId="24"/>
    <tableColumn id="7" xr3:uid="{863F524C-50D9-4550-847E-504CEE40EC23}" name="VMT_perln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7C35B9-8FE5-4041-A7B8-E1A84CB12C3D}" name="Electricity_EmRate" displayName="Electricity_EmRate" ref="A1:B52" totalsRowShown="0">
  <autoFilter ref="A1:B52" xr:uid="{AF7C35B9-8FE5-4041-A7B8-E1A84CB12C3D}"/>
  <tableColumns count="2">
    <tableColumn id="1" xr3:uid="{45CA7A43-AA6B-4C86-8B4D-AAB410C7E1C6}" name="state"/>
    <tableColumn id="2" xr3:uid="{5CF42C05-08A7-42B5-BC47-0AEEE4AC6C72}" name="electricity_em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91E0A4-8964-4E3A-BC3C-267B3185BA1C}" name="VMT_State_Allocation" displayName="VMT_State_Allocation" ref="A1:C1531" totalsRowShown="0" headerRowDxfId="22">
  <autoFilter ref="A1:C1531" xr:uid="{365B7AAA-443F-4721-B58B-59C0701739EE}"/>
  <tableColumns count="3">
    <tableColumn id="1" xr3:uid="{EEC20DE1-59BC-461D-9870-944562F1E1BA}" name="state"/>
    <tableColumn id="2" xr3:uid="{40876A5A-D519-4D16-BAD9-115E8C0F89F9}" name="year"/>
    <tableColumn id="3" xr3:uid="{998D4FCE-BE9E-4899-AEC0-227D236C5D22}" name="state_vm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71A607-355D-4561-B371-DF64A33BAB60}" name="State_Prices" displayName="State_Prices" ref="A1:J52" totalsRowShown="0" headerRowDxfId="21" dataDxfId="20">
  <autoFilter ref="A1:J52" xr:uid="{8F71A607-355D-4561-B371-DF64A33BAB60}"/>
  <tableColumns count="10">
    <tableColumn id="1" xr3:uid="{FCA1C28F-7FB1-4E75-ABE4-772AFC6C788B}" name="source" dataDxfId="19"/>
    <tableColumn id="2" xr3:uid="{8F610959-9FEF-4037-AD50-D15004FDEC97}" name="state " dataDxfId="18"/>
    <tableColumn id="3" xr3:uid="{DC14385D-FE79-4EBC-B031-AAF6DF063175}" name="gas_regular" dataDxfId="17"/>
    <tableColumn id="4" xr3:uid="{30495008-5280-426E-A40F-3CBF7D9B9A92}" name="gas_mid" dataDxfId="16"/>
    <tableColumn id="5" xr3:uid="{66FA34E8-985C-461A-9962-D27A2E7BC3B6}" name="gas_premium" dataDxfId="15"/>
    <tableColumn id="6" xr3:uid="{9B04AF70-034B-4C94-AFF3-98D10D1FD236}" name="gas_diesel" dataDxfId="14"/>
    <tableColumn id="7" xr3:uid="{2118497B-7145-40BC-9331-03F557AA7959}" name="electricity_retail_avg" dataDxfId="13"/>
    <tableColumn id="8" xr3:uid="{ACAB8D01-5214-4549-830E-B7BF39440F10}" name="electricity_summer_capacity" dataDxfId="12"/>
    <tableColumn id="9" xr3:uid="{E2BC6161-14F8-44FD-9F20-BBB936BC725E}" name="electricity_net_generation" dataDxfId="11"/>
    <tableColumn id="10" xr3:uid="{EBA42203-1B14-46B5-AF40-8E9C9B3EBA3C}" name="electricity_retail_sales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4E7E83-799B-427A-A3DA-A7D8C89C054B}" name="Bike_Ped" displayName="Bike_Ped" ref="A1:E22" totalsRowShown="0" headerRowDxfId="9">
  <autoFilter ref="A1:E22" xr:uid="{8B4E7E83-799B-427A-A3DA-A7D8C89C054B}"/>
  <tableColumns count="5">
    <tableColumn id="1" xr3:uid="{16080A00-286A-46F0-B3AC-AB7A89FB70FC}" name="bike_ped_project_type"/>
    <tableColumn id="2" xr3:uid="{8DB38557-701B-4BA0-989B-C065A5BA72CE}" name="area_type"/>
    <tableColumn id="3" xr3:uid="{4EFBE1B0-DE0D-4D48-B9ED-63FE053E9817}" name="daily_new_bicyclists"/>
    <tableColumn id="4" xr3:uid="{569F591A-F9D6-428B-B98D-6F3BB7C9CC77}" name="daily_new_walkers"/>
    <tableColumn id="5" xr3:uid="{032EE676-B066-499A-9615-234853425372}" name="annual_displaced_auto_mil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795AAF-4610-425F-8F68-4147C1C92E9B}" name="Transit_Costs" displayName="Transit_Costs" ref="A1:F194" totalsRowShown="0" headerRowDxfId="8" headerRowCellStyle="Percent">
  <autoFilter ref="A1:F194" xr:uid="{B4795AAF-4610-425F-8F68-4147C1C92E9B}"/>
  <tableColumns count="6">
    <tableColumn id="1" xr3:uid="{3700977E-9911-44C0-B2F1-15979A419435}" name="state_code"/>
    <tableColumn id="2" xr3:uid="{2C2583DB-E900-4213-9BF1-F1BCA7C4549F}" name="transit_mode"/>
    <tableColumn id="3" xr3:uid="{DD31720F-09BB-48FD-9B49-DB6FE7E92764}" name="total_cost_veh_operations"/>
    <tableColumn id="4" xr3:uid="{9680BC79-4D6B-42D2-A9FF-DB3F20B9AF20}" name="total_cost_veh_maintainance"/>
    <tableColumn id="5" xr3:uid="{175E4C0D-E9E1-406D-83EB-9BAE5DB6B51B}" name="total_cost_fuel_lube"/>
    <tableColumn id="6" xr3:uid="{B3033E6F-ED40-4AA9-A5A2-BEB4A1809325}" name="total_cost_om">
      <calculatedColumnFormula array="1">SUM(C2:D2-E2)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19EE4D-A1E4-4190-8198-D263042E9097}" name="NTD_Service" displayName="NTD_Service" ref="A1:K278" totalsRowShown="0">
  <autoFilter ref="A1:K278" xr:uid="{D819EE4D-A1E4-4190-8198-D263042E9097}"/>
  <tableColumns count="11">
    <tableColumn id="1" xr3:uid="{D0207BED-2875-4F2B-A412-59A97F599065}" name="transit_mode"/>
    <tableColumn id="2" xr3:uid="{8216248B-3798-4535-83E6-7136A3BB5472}" name="area_type"/>
    <tableColumn id="3" xr3:uid="{87F24377-114F-4217-A094-9DAC954788C6}" name="state_code"/>
    <tableColumn id="4" xr3:uid="{65D895D9-CBA9-4217-8C0A-BEFE2D3F8DEA}" name="state">
      <calculatedColumnFormula>VLOOKUP(C2, [1]Lookups!$N$5:$O$57, 2, FALSE)</calculatedColumnFormula>
    </tableColumn>
    <tableColumn id="5" xr3:uid="{751366A9-9305-492E-A769-B802C8C7CC10}" name="total_mode_VOMS"/>
    <tableColumn id="6" xr3:uid="{7858DD05-7D70-4987-8F3C-55ACAC76303F}" name="total_vehicle_rev_miles"/>
    <tableColumn id="7" xr3:uid="{688BA74D-9B8A-495A-9C38-87B84285B3A5}" name="total_unlinked_trips"/>
    <tableColumn id="9" xr3:uid="{F47DAB7E-0908-4873-B99E-FC544AA9407F}" name="total_miles_per_veh" dataDxfId="7">
      <calculatedColumnFormula>F2/E2</calculatedColumnFormula>
    </tableColumn>
    <tableColumn id="8" xr3:uid="{D8D93C7A-8CA9-4D72-844F-B335D2C20C19}" name="total_pass_miles" dataDxfId="6"/>
    <tableColumn id="10" xr3:uid="{F5AEBFD2-08D8-4868-BAFE-9688429964B0}" name="load_factor" dataDxfId="5"/>
    <tableColumn id="11" xr3:uid="{05EF0C75-B302-4BAB-8F15-9D21DC18BA9D}" name="avg_trip_length" dataDxf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EC80A7-DBC4-4CDB-B48F-50BC0B39765B}" name="Fuel_Factors" displayName="Fuel_Factors" ref="A1:M17" totalsRowShown="0">
  <autoFilter ref="A1:M17" xr:uid="{62EC80A7-DBC4-4CDB-B48F-50BC0B39765B}"/>
  <tableColumns count="13">
    <tableColumn id="1" xr3:uid="{E103189A-4DA6-4377-AB4E-1DF5ED210431}" name="fuel_type"/>
    <tableColumn id="2" xr3:uid="{BC39F391-E563-4290-B1C5-823855FBBC20}" name="veh_type"/>
    <tableColumn id="3" xr3:uid="{FD2A91EE-A109-4BD3-84CC-9749CB0A60C2}" name="CH4_g_per_mi"/>
    <tableColumn id="4" xr3:uid="{555E7F06-1A67-40BE-A12E-4388C018C1D8}" name="N20_g_per_mi"/>
    <tableColumn id="5" xr3:uid="{510D765C-5A91-4829-963B-B311F21E7164}" name="GWP_CH4_g_per_mi" dataDxfId="3"/>
    <tableColumn id="6" xr3:uid="{E24522AC-FEF6-4CF1-A652-CD1CACE1519C}" name="GWP_N20_g_per_mi" dataDxfId="2"/>
    <tableColumn id="7" xr3:uid="{BDE6D434-E061-4642-81E8-F626242F89AD}" name="CH4_g_per_gallon"/>
    <tableColumn id="8" xr3:uid="{D768C14D-D955-4B79-A3AF-B0DAB187B3AE}" name="N20_g_per_gallon"/>
    <tableColumn id="9" xr3:uid="{9302FD96-30DA-4894-98D7-E14FC261340C}" name="GWP_CH4_g_per_gallon" dataDxfId="1"/>
    <tableColumn id="10" xr3:uid="{236B1E85-CD34-4728-A85A-22981CBD37AD}" name="GWP_N20_g_per_gallon" dataDxfId="0"/>
    <tableColumn id="11" xr3:uid="{73BC4852-3891-426D-A214-0862821D25F8}" name="NOx_g_per_veh_mi"/>
    <tableColumn id="12" xr3:uid="{04D5835E-A6BD-487D-9B3F-FF56081E7557}" name="PM25_exhaust"/>
    <tableColumn id="13" xr3:uid="{CF8E75C3-B9AF-493B-A8E2-B1380D26348F}" name="PM25_tires_brak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3AFADD4-FAEA-41F7-A128-A44DAF1E827F}" name="Fuel_Factors_Revision" displayName="Fuel_Factors_Revision" ref="A1:K39" totalsRowShown="0">
  <autoFilter ref="A1:K39" xr:uid="{03AFADD4-FAEA-41F7-A128-A44DAF1E827F}"/>
  <tableColumns count="11">
    <tableColumn id="1" xr3:uid="{9F13BEAF-62B9-4C9D-AEAF-7D2E7292E5F3}" name="veh_type"/>
    <tableColumn id="2" xr3:uid="{4B842A33-FF34-4159-8215-B708793E4FD0}" name="fuel_type"/>
    <tableColumn id="3" xr3:uid="{AE958069-7157-4021-BB70-9409F5F23608}" name="fuel_carbon_content"/>
    <tableColumn id="4" xr3:uid="{B4195AD5-915A-4C6F-9012-687FC31048C7}" name="fuel_carbon_content_unit"/>
    <tableColumn id="5" xr3:uid="{4D1F7C16-B821-4FE8-A0A2-F093CF9EE6E0}" name="fuel_conversion"/>
    <tableColumn id="6" xr3:uid="{D04D0720-EE3F-4E34-9594-83EC0B36BFEC}" name="fuel_conversion_unit"/>
    <tableColumn id="7" xr3:uid="{9075A71A-C748-4868-9E99-AA775B317A43}" name="fuel_CH4_CO2e_per_mile"/>
    <tableColumn id="8" xr3:uid="{F7AD66C3-FA58-4176-8448-F0CBE9D0DD43}" name="fuel_N20_CO2eq_per_mile"/>
    <tableColumn id="9" xr3:uid="{45267EE3-E6C6-40AF-BFB5-1B31C8323916}" name="uses_electiricity"/>
    <tableColumn id="10" xr3:uid="{C4B1FF41-D142-4E58-AA28-F4EC21C1E59D}" name="electricity_conversion"/>
    <tableColumn id="11" xr3:uid="{0757FE22-9FF9-4D62-8F4D-6922581320B0}" name="electricity_conversion_uni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FCB0CB-F0C1-406B-8BC4-DBF1C6DEF1BD}" name="GWP" displayName="GWP" ref="A1:B3" totalsRowShown="0">
  <autoFilter ref="A1:B3" xr:uid="{6DFCB0CB-F0C1-406B-8BC4-DBF1C6DEF1BD}"/>
  <tableColumns count="2">
    <tableColumn id="1" xr3:uid="{C7571F8A-FAEB-418D-B890-7F650F2EC67E}" name="Gas"/>
    <tableColumn id="2" xr3:uid="{0A2C010A-79AE-435E-98A7-45ED8AF3EA48}" name="GW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63CE-ECEF-431A-8B8E-3C7E87C409CE}">
  <dimension ref="A1:C154"/>
  <sheetViews>
    <sheetView workbookViewId="0">
      <selection activeCell="A53" sqref="A53"/>
    </sheetView>
  </sheetViews>
  <sheetFormatPr defaultRowHeight="14.5" x14ac:dyDescent="0.35"/>
  <cols>
    <col min="3" max="3" width="12" customWidth="1"/>
  </cols>
  <sheetData>
    <row r="1" spans="1:3" s="4" customFormat="1" x14ac:dyDescent="0.35">
      <c r="A1" s="9" t="s">
        <v>0</v>
      </c>
      <c r="B1" s="9" t="s">
        <v>1</v>
      </c>
      <c r="C1" s="9" t="s">
        <v>2</v>
      </c>
    </row>
    <row r="2" spans="1:3" x14ac:dyDescent="0.35">
      <c r="A2" s="1" t="s">
        <v>3</v>
      </c>
      <c r="B2" s="1">
        <v>2020</v>
      </c>
      <c r="C2" s="1">
        <v>4911277.6890000002</v>
      </c>
    </row>
    <row r="3" spans="1:3" x14ac:dyDescent="0.35">
      <c r="A3" s="1" t="s">
        <v>3</v>
      </c>
      <c r="B3" s="1">
        <v>2030</v>
      </c>
      <c r="C3" s="1">
        <v>5029832.5159999998</v>
      </c>
    </row>
    <row r="4" spans="1:3" x14ac:dyDescent="0.35">
      <c r="A4" s="1" t="s">
        <v>4</v>
      </c>
      <c r="B4" s="1">
        <v>2020</v>
      </c>
      <c r="C4" s="1">
        <v>751328.12840000005</v>
      </c>
    </row>
    <row r="5" spans="1:3" x14ac:dyDescent="0.35">
      <c r="A5" s="1" t="s">
        <v>4</v>
      </c>
      <c r="B5" s="1">
        <v>2030</v>
      </c>
      <c r="C5" s="1">
        <v>792187.75580000004</v>
      </c>
    </row>
    <row r="6" spans="1:3" x14ac:dyDescent="0.35">
      <c r="A6" s="1" t="s">
        <v>5</v>
      </c>
      <c r="B6" s="1">
        <v>2020</v>
      </c>
      <c r="C6" s="1">
        <v>7268693.6500000004</v>
      </c>
    </row>
    <row r="7" spans="1:3" x14ac:dyDescent="0.35">
      <c r="A7" s="1" t="s">
        <v>5</v>
      </c>
      <c r="B7" s="1">
        <v>2030</v>
      </c>
      <c r="C7" s="1">
        <v>8238407.3600000003</v>
      </c>
    </row>
    <row r="8" spans="1:3" x14ac:dyDescent="0.35">
      <c r="A8" s="1" t="s">
        <v>6</v>
      </c>
      <c r="B8" s="1">
        <v>2020</v>
      </c>
      <c r="C8" s="1">
        <v>3038491.3459999999</v>
      </c>
    </row>
    <row r="9" spans="1:3" x14ac:dyDescent="0.35">
      <c r="A9" s="1" t="s">
        <v>6</v>
      </c>
      <c r="B9" s="1">
        <v>2030</v>
      </c>
      <c r="C9" s="1">
        <v>3155797.69</v>
      </c>
    </row>
    <row r="10" spans="1:3" x14ac:dyDescent="0.35">
      <c r="A10" s="1" t="s">
        <v>7</v>
      </c>
      <c r="B10" s="1">
        <v>2020</v>
      </c>
      <c r="C10" s="1">
        <v>40438639.920000002</v>
      </c>
    </row>
    <row r="11" spans="1:3" x14ac:dyDescent="0.35">
      <c r="A11" s="1" t="s">
        <v>7</v>
      </c>
      <c r="B11" s="1">
        <v>2030</v>
      </c>
      <c r="C11" s="1">
        <v>43751116.140000001</v>
      </c>
    </row>
    <row r="12" spans="1:3" x14ac:dyDescent="0.35">
      <c r="A12" s="1" t="s">
        <v>8</v>
      </c>
      <c r="B12" s="1">
        <v>2020</v>
      </c>
      <c r="C12" s="1">
        <v>5843359.3190000001</v>
      </c>
    </row>
    <row r="13" spans="1:3" x14ac:dyDescent="0.35">
      <c r="A13" s="1" t="s">
        <v>8</v>
      </c>
      <c r="B13" s="1">
        <v>2030</v>
      </c>
      <c r="C13" s="1">
        <v>6766982.8720000004</v>
      </c>
    </row>
    <row r="14" spans="1:3" x14ac:dyDescent="0.35">
      <c r="A14" s="1" t="s">
        <v>9</v>
      </c>
      <c r="B14" s="1">
        <v>2020</v>
      </c>
      <c r="C14" s="1">
        <v>3593541.8569999998</v>
      </c>
    </row>
    <row r="15" spans="1:3" x14ac:dyDescent="0.35">
      <c r="A15" s="1" t="s">
        <v>9</v>
      </c>
      <c r="B15" s="1">
        <v>2030</v>
      </c>
      <c r="C15" s="1">
        <v>3601202.426</v>
      </c>
    </row>
    <row r="16" spans="1:3" x14ac:dyDescent="0.35">
      <c r="A16" s="1" t="s">
        <v>10</v>
      </c>
      <c r="B16" s="1">
        <v>2020</v>
      </c>
      <c r="C16" s="1">
        <v>987393.11399999994</v>
      </c>
    </row>
    <row r="17" spans="1:3" x14ac:dyDescent="0.35">
      <c r="A17" s="1" t="s">
        <v>10</v>
      </c>
      <c r="B17" s="1">
        <v>2030</v>
      </c>
      <c r="C17" s="1">
        <v>1082191.7660000001</v>
      </c>
    </row>
    <row r="18" spans="1:3" x14ac:dyDescent="0.35">
      <c r="A18" s="1" t="s">
        <v>11</v>
      </c>
      <c r="B18" s="1">
        <v>2020</v>
      </c>
      <c r="C18" s="1">
        <v>732551.99410000001</v>
      </c>
    </row>
    <row r="19" spans="1:3" x14ac:dyDescent="0.35">
      <c r="A19" s="1" t="s">
        <v>11</v>
      </c>
      <c r="B19" s="1">
        <v>2030</v>
      </c>
      <c r="C19" s="1">
        <v>888891.49529999995</v>
      </c>
    </row>
    <row r="20" spans="1:3" x14ac:dyDescent="0.35">
      <c r="A20" s="1" t="s">
        <v>12</v>
      </c>
      <c r="B20" s="1">
        <v>2020</v>
      </c>
      <c r="C20" s="1">
        <v>21877256.719999999</v>
      </c>
    </row>
    <row r="21" spans="1:3" x14ac:dyDescent="0.35">
      <c r="A21" s="1" t="s">
        <v>12</v>
      </c>
      <c r="B21" s="1">
        <v>2030</v>
      </c>
      <c r="C21" s="1">
        <v>25372664.059999999</v>
      </c>
    </row>
    <row r="22" spans="1:3" x14ac:dyDescent="0.35">
      <c r="A22" s="1" t="s">
        <v>13</v>
      </c>
      <c r="B22" s="1">
        <v>2020</v>
      </c>
      <c r="C22" s="1">
        <v>10725350.810000001</v>
      </c>
    </row>
    <row r="23" spans="1:3" x14ac:dyDescent="0.35">
      <c r="A23" s="1" t="s">
        <v>13</v>
      </c>
      <c r="B23" s="1">
        <v>2030</v>
      </c>
      <c r="C23" s="1">
        <v>11835126.130000001</v>
      </c>
    </row>
    <row r="24" spans="1:3" x14ac:dyDescent="0.35">
      <c r="A24" s="1" t="s">
        <v>14</v>
      </c>
      <c r="B24" s="1">
        <v>2020</v>
      </c>
      <c r="C24" s="1">
        <v>1453902.35</v>
      </c>
    </row>
    <row r="25" spans="1:3" x14ac:dyDescent="0.35">
      <c r="A25" s="1" t="s">
        <v>14</v>
      </c>
      <c r="B25" s="1">
        <v>2030</v>
      </c>
      <c r="C25" s="1">
        <v>1548830.574</v>
      </c>
    </row>
    <row r="26" spans="1:3" x14ac:dyDescent="0.35">
      <c r="A26" s="1" t="s">
        <v>15</v>
      </c>
      <c r="B26" s="1">
        <v>2020</v>
      </c>
      <c r="C26" s="1">
        <v>1777249.2930000001</v>
      </c>
    </row>
    <row r="27" spans="1:3" x14ac:dyDescent="0.35">
      <c r="A27" s="1" t="s">
        <v>15</v>
      </c>
      <c r="B27" s="1">
        <v>2030</v>
      </c>
      <c r="C27" s="1">
        <v>2008329.12</v>
      </c>
    </row>
    <row r="28" spans="1:3" x14ac:dyDescent="0.35">
      <c r="A28" s="1" t="s">
        <v>16</v>
      </c>
      <c r="B28" s="1">
        <v>2020</v>
      </c>
      <c r="C28" s="1">
        <v>12791188.01</v>
      </c>
    </row>
    <row r="29" spans="1:3" x14ac:dyDescent="0.35">
      <c r="A29" s="1" t="s">
        <v>16</v>
      </c>
      <c r="B29" s="1">
        <v>2030</v>
      </c>
      <c r="C29" s="1">
        <v>12709901.029999999</v>
      </c>
    </row>
    <row r="30" spans="1:3" x14ac:dyDescent="0.35">
      <c r="A30" s="1" t="s">
        <v>17</v>
      </c>
      <c r="B30" s="1">
        <v>2020</v>
      </c>
      <c r="C30" s="1">
        <v>6737581.4309999999</v>
      </c>
    </row>
    <row r="31" spans="1:3" x14ac:dyDescent="0.35">
      <c r="A31" s="1" t="s">
        <v>17</v>
      </c>
      <c r="B31" s="1">
        <v>2030</v>
      </c>
      <c r="C31" s="1">
        <v>6978253.8449999997</v>
      </c>
    </row>
    <row r="32" spans="1:3" x14ac:dyDescent="0.35">
      <c r="A32" s="1" t="s">
        <v>18</v>
      </c>
      <c r="B32" s="1">
        <v>2020</v>
      </c>
      <c r="C32" s="1">
        <v>3184239.798</v>
      </c>
    </row>
    <row r="33" spans="1:3" x14ac:dyDescent="0.35">
      <c r="A33" s="1" t="s">
        <v>18</v>
      </c>
      <c r="B33" s="1">
        <v>2030</v>
      </c>
      <c r="C33" s="1">
        <v>3317412.4780000001</v>
      </c>
    </row>
    <row r="34" spans="1:3" x14ac:dyDescent="0.35">
      <c r="A34" s="1" t="s">
        <v>19</v>
      </c>
      <c r="B34" s="1">
        <v>2020</v>
      </c>
      <c r="C34" s="1">
        <v>2936212.22</v>
      </c>
    </row>
    <row r="35" spans="1:3" x14ac:dyDescent="0.35">
      <c r="A35" s="1" t="s">
        <v>19</v>
      </c>
      <c r="B35" s="1">
        <v>2030</v>
      </c>
      <c r="C35" s="1">
        <v>3011782.4849999999</v>
      </c>
    </row>
    <row r="36" spans="1:3" x14ac:dyDescent="0.35">
      <c r="A36" s="1" t="s">
        <v>20</v>
      </c>
      <c r="B36" s="1">
        <v>2020</v>
      </c>
      <c r="C36" s="1">
        <v>4498532.6540000001</v>
      </c>
    </row>
    <row r="37" spans="1:3" x14ac:dyDescent="0.35">
      <c r="A37" s="1" t="s">
        <v>20</v>
      </c>
      <c r="B37" s="1">
        <v>2030</v>
      </c>
      <c r="C37" s="1">
        <v>4648189.5060000001</v>
      </c>
    </row>
    <row r="38" spans="1:3" x14ac:dyDescent="0.35">
      <c r="A38" s="1" t="s">
        <v>21</v>
      </c>
      <c r="B38" s="1">
        <v>2020</v>
      </c>
      <c r="C38" s="1">
        <v>4742900.1569999997</v>
      </c>
    </row>
    <row r="39" spans="1:3" x14ac:dyDescent="0.35">
      <c r="A39" s="1" t="s">
        <v>21</v>
      </c>
      <c r="B39" s="1">
        <v>2030</v>
      </c>
      <c r="C39" s="1">
        <v>4945783.03</v>
      </c>
    </row>
    <row r="40" spans="1:3" x14ac:dyDescent="0.35">
      <c r="A40" s="1" t="s">
        <v>22</v>
      </c>
      <c r="B40" s="1">
        <v>2020</v>
      </c>
      <c r="C40" s="1">
        <v>1338780.476</v>
      </c>
    </row>
    <row r="41" spans="1:3" x14ac:dyDescent="0.35">
      <c r="A41" s="1" t="s">
        <v>22</v>
      </c>
      <c r="B41" s="1">
        <v>2030</v>
      </c>
      <c r="C41" s="1">
        <v>1344841.423</v>
      </c>
    </row>
    <row r="42" spans="1:3" x14ac:dyDescent="0.35">
      <c r="A42" s="1" t="s">
        <v>23</v>
      </c>
      <c r="B42" s="1">
        <v>2020</v>
      </c>
      <c r="C42" s="1">
        <v>6161345.3109999998</v>
      </c>
    </row>
    <row r="43" spans="1:3" x14ac:dyDescent="0.35">
      <c r="A43" s="1" t="s">
        <v>23</v>
      </c>
      <c r="B43" s="1">
        <v>2030</v>
      </c>
      <c r="C43" s="1">
        <v>6553547.784</v>
      </c>
    </row>
    <row r="44" spans="1:3" x14ac:dyDescent="0.35">
      <c r="A44" s="1" t="s">
        <v>24</v>
      </c>
      <c r="B44" s="1">
        <v>2020</v>
      </c>
      <c r="C44" s="1">
        <v>6982092.0710000005</v>
      </c>
    </row>
    <row r="45" spans="1:3" x14ac:dyDescent="0.35">
      <c r="A45" s="1" t="s">
        <v>24</v>
      </c>
      <c r="B45" s="1">
        <v>2030</v>
      </c>
      <c r="C45" s="1">
        <v>7420882.1140000001</v>
      </c>
    </row>
    <row r="46" spans="1:3" x14ac:dyDescent="0.35">
      <c r="A46" s="1" t="s">
        <v>25</v>
      </c>
      <c r="B46" s="1">
        <v>2020</v>
      </c>
      <c r="C46" s="1">
        <v>9992315.2650000006</v>
      </c>
    </row>
    <row r="47" spans="1:3" x14ac:dyDescent="0.35">
      <c r="A47" s="1" t="s">
        <v>25</v>
      </c>
      <c r="B47" s="1">
        <v>2030</v>
      </c>
      <c r="C47" s="1">
        <v>10068940.880000001</v>
      </c>
    </row>
    <row r="48" spans="1:3" x14ac:dyDescent="0.35">
      <c r="A48" s="1" t="s">
        <v>26</v>
      </c>
      <c r="B48" s="1">
        <v>2020</v>
      </c>
      <c r="C48" s="1">
        <v>5683665.7460000003</v>
      </c>
    </row>
    <row r="49" spans="1:3" x14ac:dyDescent="0.35">
      <c r="A49" s="1" t="s">
        <v>26</v>
      </c>
      <c r="B49" s="1">
        <v>2030</v>
      </c>
      <c r="C49" s="1">
        <v>6070551.3559999997</v>
      </c>
    </row>
    <row r="50" spans="1:3" x14ac:dyDescent="0.35">
      <c r="A50" s="1" t="s">
        <v>27</v>
      </c>
      <c r="B50" s="1">
        <v>2020</v>
      </c>
      <c r="C50" s="1">
        <v>2990498.4130000002</v>
      </c>
    </row>
    <row r="51" spans="1:3" x14ac:dyDescent="0.35">
      <c r="A51" s="1" t="s">
        <v>27</v>
      </c>
      <c r="B51" s="1">
        <v>2030</v>
      </c>
      <c r="C51" s="1">
        <v>3003963.0639999998</v>
      </c>
    </row>
    <row r="52" spans="1:3" x14ac:dyDescent="0.35">
      <c r="A52" s="1" t="s">
        <v>28</v>
      </c>
      <c r="B52" s="1">
        <v>2020</v>
      </c>
      <c r="C52" s="1">
        <v>6161471.2560000001</v>
      </c>
    </row>
    <row r="53" spans="1:3" x14ac:dyDescent="0.35">
      <c r="A53" s="1" t="s">
        <v>28</v>
      </c>
      <c r="B53" s="1">
        <v>2030</v>
      </c>
      <c r="C53" s="1">
        <v>6318126.0700000003</v>
      </c>
    </row>
    <row r="54" spans="1:3" x14ac:dyDescent="0.35">
      <c r="A54" s="1" t="s">
        <v>29</v>
      </c>
      <c r="B54" s="1">
        <v>2020</v>
      </c>
      <c r="C54" s="1">
        <v>1074634.5449999999</v>
      </c>
    </row>
    <row r="55" spans="1:3" x14ac:dyDescent="0.35">
      <c r="A55" s="1" t="s">
        <v>29</v>
      </c>
      <c r="B55" s="1">
        <v>2030</v>
      </c>
      <c r="C55" s="1">
        <v>1163353.1159999999</v>
      </c>
    </row>
    <row r="56" spans="1:3" x14ac:dyDescent="0.35">
      <c r="A56" s="1" t="s">
        <v>30</v>
      </c>
      <c r="B56" s="1">
        <v>2020</v>
      </c>
      <c r="C56" s="1">
        <v>1956876.048</v>
      </c>
    </row>
    <row r="57" spans="1:3" x14ac:dyDescent="0.35">
      <c r="A57" s="1" t="s">
        <v>30</v>
      </c>
      <c r="B57" s="1">
        <v>2030</v>
      </c>
      <c r="C57" s="1">
        <v>2089840.8770000001</v>
      </c>
    </row>
    <row r="58" spans="1:3" x14ac:dyDescent="0.35">
      <c r="A58" s="1" t="s">
        <v>31</v>
      </c>
      <c r="B58" s="1">
        <v>2020</v>
      </c>
      <c r="C58" s="1">
        <v>3119264.7549999999</v>
      </c>
    </row>
    <row r="59" spans="1:3" x14ac:dyDescent="0.35">
      <c r="A59" s="1" t="s">
        <v>31</v>
      </c>
      <c r="B59" s="1">
        <v>2030</v>
      </c>
      <c r="C59" s="1">
        <v>3591042.5090000001</v>
      </c>
    </row>
    <row r="60" spans="1:3" x14ac:dyDescent="0.35">
      <c r="A60" s="1" t="s">
        <v>32</v>
      </c>
      <c r="B60" s="1">
        <v>2020</v>
      </c>
      <c r="C60" s="1">
        <v>1352917.486</v>
      </c>
    </row>
    <row r="61" spans="1:3" x14ac:dyDescent="0.35">
      <c r="A61" s="1" t="s">
        <v>32</v>
      </c>
      <c r="B61" s="1">
        <v>2030</v>
      </c>
      <c r="C61" s="1">
        <v>1385798.561</v>
      </c>
    </row>
    <row r="62" spans="1:3" x14ac:dyDescent="0.35">
      <c r="A62" s="1" t="s">
        <v>33</v>
      </c>
      <c r="B62" s="1">
        <v>2020</v>
      </c>
      <c r="C62" s="1">
        <v>9088074.2440000009</v>
      </c>
    </row>
    <row r="63" spans="1:3" x14ac:dyDescent="0.35">
      <c r="A63" s="1" t="s">
        <v>33</v>
      </c>
      <c r="B63" s="1">
        <v>2030</v>
      </c>
      <c r="C63" s="1">
        <v>9363317.3359999992</v>
      </c>
    </row>
    <row r="64" spans="1:3" x14ac:dyDescent="0.35">
      <c r="A64" s="1" t="s">
        <v>34</v>
      </c>
      <c r="B64" s="1">
        <v>2020</v>
      </c>
      <c r="C64" s="1">
        <v>2099134.3859999999</v>
      </c>
    </row>
    <row r="65" spans="1:3" x14ac:dyDescent="0.35">
      <c r="A65" s="1" t="s">
        <v>34</v>
      </c>
      <c r="B65" s="1">
        <v>2030</v>
      </c>
      <c r="C65" s="1">
        <v>2132823.1140000001</v>
      </c>
    </row>
    <row r="66" spans="1:3" x14ac:dyDescent="0.35">
      <c r="A66" s="1" t="s">
        <v>35</v>
      </c>
      <c r="B66" s="1">
        <v>2020</v>
      </c>
      <c r="C66" s="1">
        <v>20031150.390000001</v>
      </c>
    </row>
    <row r="67" spans="1:3" x14ac:dyDescent="0.35">
      <c r="A67" s="1" t="s">
        <v>35</v>
      </c>
      <c r="B67" s="1">
        <v>2030</v>
      </c>
      <c r="C67" s="1">
        <v>20638066.09</v>
      </c>
    </row>
    <row r="68" spans="1:3" x14ac:dyDescent="0.35">
      <c r="A68" s="1" t="s">
        <v>253</v>
      </c>
      <c r="B68" s="1">
        <v>2020</v>
      </c>
      <c r="C68" s="1">
        <v>10568032.77</v>
      </c>
    </row>
    <row r="69" spans="1:3" x14ac:dyDescent="0.35">
      <c r="A69" s="1" t="s">
        <v>253</v>
      </c>
      <c r="B69" s="1">
        <v>2030</v>
      </c>
      <c r="C69" s="1">
        <v>11673848.68</v>
      </c>
    </row>
    <row r="70" spans="1:3" x14ac:dyDescent="0.35">
      <c r="A70" s="1" t="s">
        <v>36</v>
      </c>
      <c r="B70" s="1">
        <v>2020</v>
      </c>
      <c r="C70" s="1">
        <v>789402.51549999998</v>
      </c>
    </row>
    <row r="71" spans="1:3" x14ac:dyDescent="0.35">
      <c r="A71" s="1" t="s">
        <v>36</v>
      </c>
      <c r="B71" s="1">
        <v>2030</v>
      </c>
      <c r="C71" s="1">
        <v>923452.18559999997</v>
      </c>
    </row>
    <row r="72" spans="1:3" x14ac:dyDescent="0.35">
      <c r="A72" s="1" t="s">
        <v>37</v>
      </c>
      <c r="B72" s="1">
        <v>2020</v>
      </c>
      <c r="C72" s="1">
        <v>11705262.029999999</v>
      </c>
    </row>
    <row r="73" spans="1:3" x14ac:dyDescent="0.35">
      <c r="A73" s="1" t="s">
        <v>37</v>
      </c>
      <c r="B73" s="1">
        <v>2030</v>
      </c>
      <c r="C73" s="1">
        <v>11837405.16</v>
      </c>
    </row>
    <row r="74" spans="1:3" x14ac:dyDescent="0.35">
      <c r="A74" s="1" t="s">
        <v>38</v>
      </c>
      <c r="B74" s="1">
        <v>2020</v>
      </c>
      <c r="C74" s="1">
        <v>4001180.4539999999</v>
      </c>
    </row>
    <row r="75" spans="1:3" x14ac:dyDescent="0.35">
      <c r="A75" s="1" t="s">
        <v>38</v>
      </c>
      <c r="B75" s="1">
        <v>2030</v>
      </c>
      <c r="C75" s="1">
        <v>4253603.7390000001</v>
      </c>
    </row>
    <row r="76" spans="1:3" x14ac:dyDescent="0.35">
      <c r="A76" s="1" t="s">
        <v>39</v>
      </c>
      <c r="B76" s="1">
        <v>2020</v>
      </c>
      <c r="C76" s="1">
        <v>4267533.8</v>
      </c>
    </row>
    <row r="77" spans="1:3" x14ac:dyDescent="0.35">
      <c r="A77" s="1" t="s">
        <v>39</v>
      </c>
      <c r="B77" s="1">
        <v>2030</v>
      </c>
      <c r="C77" s="1">
        <v>4738074.1330000004</v>
      </c>
    </row>
    <row r="78" spans="1:3" x14ac:dyDescent="0.35">
      <c r="A78" s="1" t="s">
        <v>40</v>
      </c>
      <c r="B78" s="1">
        <v>2020</v>
      </c>
      <c r="C78" s="1">
        <v>12844884.68</v>
      </c>
    </row>
    <row r="79" spans="1:3" x14ac:dyDescent="0.35">
      <c r="A79" s="1" t="s">
        <v>40</v>
      </c>
      <c r="B79" s="1">
        <v>2030</v>
      </c>
      <c r="C79" s="1">
        <v>12946244.539999999</v>
      </c>
    </row>
    <row r="80" spans="1:3" x14ac:dyDescent="0.35">
      <c r="A80" s="1" t="s">
        <v>41</v>
      </c>
      <c r="B80" s="1">
        <v>2020</v>
      </c>
      <c r="C80" s="1">
        <v>1062333.895</v>
      </c>
    </row>
    <row r="81" spans="1:3" x14ac:dyDescent="0.35">
      <c r="A81" s="1" t="s">
        <v>41</v>
      </c>
      <c r="B81" s="1">
        <v>2030</v>
      </c>
      <c r="C81" s="1">
        <v>1068663.017</v>
      </c>
    </row>
    <row r="82" spans="1:3" x14ac:dyDescent="0.35">
      <c r="A82" s="1" t="s">
        <v>254</v>
      </c>
      <c r="B82" s="1">
        <v>2020</v>
      </c>
      <c r="C82" s="1">
        <v>5184564.4369999999</v>
      </c>
    </row>
    <row r="83" spans="1:3" x14ac:dyDescent="0.35">
      <c r="A83" s="1" t="s">
        <v>254</v>
      </c>
      <c r="B83" s="1">
        <v>2030</v>
      </c>
      <c r="C83" s="1">
        <v>5792247.2300000004</v>
      </c>
    </row>
    <row r="84" spans="1:3" x14ac:dyDescent="0.35">
      <c r="A84" s="1" t="s">
        <v>42</v>
      </c>
      <c r="B84" s="1">
        <v>2020</v>
      </c>
      <c r="C84" s="1">
        <v>891688.01329999999</v>
      </c>
    </row>
    <row r="85" spans="1:3" x14ac:dyDescent="0.35">
      <c r="A85" s="1" t="s">
        <v>42</v>
      </c>
      <c r="B85" s="1">
        <v>2030</v>
      </c>
      <c r="C85" s="1">
        <v>973360.86399999994</v>
      </c>
    </row>
    <row r="86" spans="1:3" x14ac:dyDescent="0.35">
      <c r="A86" s="1" t="s">
        <v>43</v>
      </c>
      <c r="B86" s="1">
        <v>2020</v>
      </c>
      <c r="C86" s="1">
        <v>6861855.96</v>
      </c>
    </row>
    <row r="87" spans="1:3" x14ac:dyDescent="0.35">
      <c r="A87" s="1" t="s">
        <v>43</v>
      </c>
      <c r="B87" s="1">
        <v>2030</v>
      </c>
      <c r="C87" s="1">
        <v>7395105.8490000004</v>
      </c>
    </row>
    <row r="88" spans="1:3" x14ac:dyDescent="0.35">
      <c r="A88" s="1" t="s">
        <v>44</v>
      </c>
      <c r="B88" s="1">
        <v>2020</v>
      </c>
      <c r="C88" s="1">
        <v>29604099.489999998</v>
      </c>
    </row>
    <row r="89" spans="1:3" x14ac:dyDescent="0.35">
      <c r="A89" s="1" t="s">
        <v>44</v>
      </c>
      <c r="B89" s="1">
        <v>2030</v>
      </c>
      <c r="C89" s="1">
        <v>34738481.789999999</v>
      </c>
    </row>
    <row r="90" spans="1:3" x14ac:dyDescent="0.35">
      <c r="A90" s="1" t="s">
        <v>45</v>
      </c>
      <c r="B90" s="1">
        <v>2020</v>
      </c>
      <c r="C90" s="1">
        <v>3240568.9750000001</v>
      </c>
    </row>
    <row r="91" spans="1:3" x14ac:dyDescent="0.35">
      <c r="A91" s="1" t="s">
        <v>45</v>
      </c>
      <c r="B91" s="1">
        <v>2030</v>
      </c>
      <c r="C91" s="1">
        <v>3786962.6690000002</v>
      </c>
    </row>
    <row r="92" spans="1:3" x14ac:dyDescent="0.35">
      <c r="A92" s="1" t="s">
        <v>46</v>
      </c>
      <c r="B92" s="1">
        <v>2020</v>
      </c>
      <c r="C92" s="1">
        <v>622868.33409999998</v>
      </c>
    </row>
    <row r="93" spans="1:3" x14ac:dyDescent="0.35">
      <c r="A93" s="1" t="s">
        <v>46</v>
      </c>
      <c r="B93" s="1">
        <v>2030</v>
      </c>
      <c r="C93" s="1">
        <v>617968.51150000002</v>
      </c>
    </row>
    <row r="94" spans="1:3" x14ac:dyDescent="0.35">
      <c r="A94" s="1" t="s">
        <v>47</v>
      </c>
      <c r="B94" s="1">
        <v>2020</v>
      </c>
      <c r="C94" s="1">
        <v>8655021.3269999996</v>
      </c>
    </row>
    <row r="95" spans="1:3" x14ac:dyDescent="0.35">
      <c r="A95" s="1" t="s">
        <v>47</v>
      </c>
      <c r="B95" s="1">
        <v>2030</v>
      </c>
      <c r="C95" s="1">
        <v>9331665.5439999998</v>
      </c>
    </row>
    <row r="96" spans="1:3" x14ac:dyDescent="0.35">
      <c r="A96" s="1" t="s">
        <v>48</v>
      </c>
      <c r="B96" s="1">
        <v>2020</v>
      </c>
      <c r="C96" s="1">
        <v>7681818.4170000004</v>
      </c>
    </row>
    <row r="97" spans="1:3" x14ac:dyDescent="0.35">
      <c r="A97" s="1" t="s">
        <v>48</v>
      </c>
      <c r="B97" s="1">
        <v>2030</v>
      </c>
      <c r="C97" s="1">
        <v>8746492.8650000002</v>
      </c>
    </row>
    <row r="98" spans="1:3" x14ac:dyDescent="0.35">
      <c r="A98" s="1" t="s">
        <v>49</v>
      </c>
      <c r="B98" s="1">
        <v>2020</v>
      </c>
      <c r="C98" s="1">
        <v>1801966.0660000001</v>
      </c>
    </row>
    <row r="99" spans="1:3" x14ac:dyDescent="0.35">
      <c r="A99" s="1" t="s">
        <v>49</v>
      </c>
      <c r="B99" s="1">
        <v>2030</v>
      </c>
      <c r="C99" s="1">
        <v>1746576.6769999999</v>
      </c>
    </row>
    <row r="100" spans="1:3" x14ac:dyDescent="0.35">
      <c r="A100" s="1" t="s">
        <v>50</v>
      </c>
      <c r="B100" s="1">
        <v>2020</v>
      </c>
      <c r="C100" s="1">
        <v>5837176.3899999997</v>
      </c>
    </row>
    <row r="101" spans="1:3" x14ac:dyDescent="0.35">
      <c r="A101" s="1" t="s">
        <v>50</v>
      </c>
      <c r="B101" s="1">
        <v>2030</v>
      </c>
      <c r="C101" s="1">
        <v>5971616.7640000004</v>
      </c>
    </row>
    <row r="102" spans="1:3" x14ac:dyDescent="0.35">
      <c r="A102" s="1" t="s">
        <v>51</v>
      </c>
      <c r="B102" s="1">
        <v>2020</v>
      </c>
      <c r="C102" s="1">
        <v>585379.59149999998</v>
      </c>
    </row>
    <row r="103" spans="1:3" x14ac:dyDescent="0.35">
      <c r="A103" s="1" t="s">
        <v>51</v>
      </c>
      <c r="B103" s="1">
        <v>2030</v>
      </c>
      <c r="C103" s="1">
        <v>605972.04410000006</v>
      </c>
    </row>
    <row r="104" spans="1:3" x14ac:dyDescent="0.35">
      <c r="A104" s="1" t="s">
        <v>3</v>
      </c>
      <c r="B104" s="1">
        <v>2040</v>
      </c>
      <c r="C104" s="1">
        <v>5056796.4570000004</v>
      </c>
    </row>
    <row r="105" spans="1:3" x14ac:dyDescent="0.35">
      <c r="A105" s="1" t="s">
        <v>4</v>
      </c>
      <c r="B105" s="1">
        <v>2040</v>
      </c>
      <c r="C105" s="1">
        <v>819954.0551</v>
      </c>
    </row>
    <row r="106" spans="1:3" x14ac:dyDescent="0.35">
      <c r="A106" s="1" t="s">
        <v>5</v>
      </c>
      <c r="B106" s="1">
        <v>2040</v>
      </c>
      <c r="C106" s="1">
        <v>9166279.0600000005</v>
      </c>
    </row>
    <row r="107" spans="1:3" x14ac:dyDescent="0.35">
      <c r="A107" s="1" t="s">
        <v>6</v>
      </c>
      <c r="B107" s="1">
        <v>2040</v>
      </c>
      <c r="C107" s="1">
        <v>3217534.551</v>
      </c>
    </row>
    <row r="108" spans="1:3" x14ac:dyDescent="0.35">
      <c r="A108" s="1" t="s">
        <v>7</v>
      </c>
      <c r="B108" s="1">
        <v>2040</v>
      </c>
      <c r="C108" s="1">
        <v>46467001.490000002</v>
      </c>
    </row>
    <row r="109" spans="1:3" x14ac:dyDescent="0.35">
      <c r="A109" s="1" t="s">
        <v>8</v>
      </c>
      <c r="B109" s="1">
        <v>2040</v>
      </c>
      <c r="C109" s="1">
        <v>7692906.9060000004</v>
      </c>
    </row>
    <row r="110" spans="1:3" x14ac:dyDescent="0.35">
      <c r="A110" s="1" t="s">
        <v>9</v>
      </c>
      <c r="B110" s="1">
        <v>2040</v>
      </c>
      <c r="C110" s="1">
        <v>3542707.3259999999</v>
      </c>
    </row>
    <row r="111" spans="1:3" x14ac:dyDescent="0.35">
      <c r="A111" s="1" t="s">
        <v>10</v>
      </c>
      <c r="B111" s="1">
        <v>2040</v>
      </c>
      <c r="C111" s="1">
        <v>1164343.898</v>
      </c>
    </row>
    <row r="112" spans="1:3" x14ac:dyDescent="0.35">
      <c r="A112" s="1" t="s">
        <v>11</v>
      </c>
      <c r="B112" s="1">
        <v>2040</v>
      </c>
      <c r="C112" s="1">
        <v>1058819.5759999999</v>
      </c>
    </row>
    <row r="113" spans="1:3" x14ac:dyDescent="0.35">
      <c r="A113" s="1" t="s">
        <v>12</v>
      </c>
      <c r="B113" s="1">
        <v>2040</v>
      </c>
      <c r="C113" s="1">
        <v>28886983.32</v>
      </c>
    </row>
    <row r="114" spans="1:3" x14ac:dyDescent="0.35">
      <c r="A114" s="1" t="s">
        <v>13</v>
      </c>
      <c r="B114" s="1">
        <v>2040</v>
      </c>
      <c r="C114" s="1">
        <v>12820270.560000001</v>
      </c>
    </row>
    <row r="115" spans="1:3" x14ac:dyDescent="0.35">
      <c r="A115" s="1" t="s">
        <v>14</v>
      </c>
      <c r="B115" s="1">
        <v>2040</v>
      </c>
      <c r="C115" s="1">
        <v>1619703.432</v>
      </c>
    </row>
    <row r="116" spans="1:3" x14ac:dyDescent="0.35">
      <c r="A116" s="1" t="s">
        <v>15</v>
      </c>
      <c r="B116" s="1">
        <v>2040</v>
      </c>
      <c r="C116" s="1">
        <v>2227841.7370000002</v>
      </c>
    </row>
    <row r="117" spans="1:3" x14ac:dyDescent="0.35">
      <c r="A117" s="1" t="s">
        <v>16</v>
      </c>
      <c r="B117" s="1">
        <v>2040</v>
      </c>
      <c r="C117" s="1">
        <v>12397564.33</v>
      </c>
    </row>
    <row r="118" spans="1:3" x14ac:dyDescent="0.35">
      <c r="A118" s="1" t="s">
        <v>17</v>
      </c>
      <c r="B118" s="1">
        <v>2040</v>
      </c>
      <c r="C118" s="1">
        <v>7095000.2510000002</v>
      </c>
    </row>
    <row r="119" spans="1:3" x14ac:dyDescent="0.35">
      <c r="A119" s="1" t="s">
        <v>18</v>
      </c>
      <c r="B119" s="1">
        <v>2040</v>
      </c>
      <c r="C119" s="1">
        <v>3392783.105</v>
      </c>
    </row>
    <row r="120" spans="1:3" x14ac:dyDescent="0.35">
      <c r="A120" s="1" t="s">
        <v>19</v>
      </c>
      <c r="B120" s="1">
        <v>2040</v>
      </c>
      <c r="C120" s="1">
        <v>3032652.716</v>
      </c>
    </row>
    <row r="121" spans="1:3" x14ac:dyDescent="0.35">
      <c r="A121" s="1" t="s">
        <v>20</v>
      </c>
      <c r="B121" s="1">
        <v>2040</v>
      </c>
      <c r="C121" s="1">
        <v>4714761.0779999997</v>
      </c>
    </row>
    <row r="122" spans="1:3" x14ac:dyDescent="0.35">
      <c r="A122" s="1" t="s">
        <v>21</v>
      </c>
      <c r="B122" s="1">
        <v>2040</v>
      </c>
      <c r="C122" s="1">
        <v>5062779.9670000002</v>
      </c>
    </row>
    <row r="123" spans="1:3" x14ac:dyDescent="0.35">
      <c r="A123" s="1" t="s">
        <v>22</v>
      </c>
      <c r="B123" s="1">
        <v>2040</v>
      </c>
      <c r="C123" s="1">
        <v>1326159.314</v>
      </c>
    </row>
    <row r="124" spans="1:3" x14ac:dyDescent="0.35">
      <c r="A124" s="1" t="s">
        <v>23</v>
      </c>
      <c r="B124" s="1">
        <v>2040</v>
      </c>
      <c r="C124" s="1">
        <v>6842901.7829999998</v>
      </c>
    </row>
    <row r="125" spans="1:3" x14ac:dyDescent="0.35">
      <c r="A125" s="1" t="s">
        <v>24</v>
      </c>
      <c r="B125" s="1">
        <v>2040</v>
      </c>
      <c r="C125" s="1">
        <v>7742628.2690000003</v>
      </c>
    </row>
    <row r="126" spans="1:3" x14ac:dyDescent="0.35">
      <c r="A126" s="1" t="s">
        <v>25</v>
      </c>
      <c r="B126" s="1">
        <v>2040</v>
      </c>
      <c r="C126" s="1">
        <v>9960115.3629999999</v>
      </c>
    </row>
    <row r="127" spans="1:3" x14ac:dyDescent="0.35">
      <c r="A127" s="1" t="s">
        <v>26</v>
      </c>
      <c r="B127" s="1">
        <v>2040</v>
      </c>
      <c r="C127" s="1">
        <v>6364886.4610000001</v>
      </c>
    </row>
    <row r="128" spans="1:3" x14ac:dyDescent="0.35">
      <c r="A128" s="1" t="s">
        <v>27</v>
      </c>
      <c r="B128" s="1">
        <v>2040</v>
      </c>
      <c r="C128" s="1">
        <v>2962160.0180000002</v>
      </c>
    </row>
    <row r="129" spans="1:3" x14ac:dyDescent="0.35">
      <c r="A129" s="1" t="s">
        <v>28</v>
      </c>
      <c r="B129" s="1">
        <v>2040</v>
      </c>
      <c r="C129" s="1">
        <v>6359969.9440000001</v>
      </c>
    </row>
    <row r="130" spans="1:3" x14ac:dyDescent="0.35">
      <c r="A130" s="1" t="s">
        <v>29</v>
      </c>
      <c r="B130" s="1">
        <v>2040</v>
      </c>
      <c r="C130" s="1">
        <v>1236303.8829999999</v>
      </c>
    </row>
    <row r="131" spans="1:3" x14ac:dyDescent="0.35">
      <c r="A131" s="1" t="s">
        <v>30</v>
      </c>
      <c r="B131" s="1">
        <v>2040</v>
      </c>
      <c r="C131" s="1">
        <v>2190917.5639999998</v>
      </c>
    </row>
    <row r="132" spans="1:3" x14ac:dyDescent="0.35">
      <c r="A132" s="1" t="s">
        <v>31</v>
      </c>
      <c r="B132" s="1">
        <v>2040</v>
      </c>
      <c r="C132" s="1">
        <v>4058371.219</v>
      </c>
    </row>
    <row r="133" spans="1:3" x14ac:dyDescent="0.35">
      <c r="A133" s="1" t="s">
        <v>32</v>
      </c>
      <c r="B133" s="1">
        <v>2040</v>
      </c>
      <c r="C133" s="1">
        <v>1393451.372</v>
      </c>
    </row>
    <row r="134" spans="1:3" x14ac:dyDescent="0.35">
      <c r="A134" s="1" t="s">
        <v>33</v>
      </c>
      <c r="B134" s="1">
        <v>2040</v>
      </c>
      <c r="C134" s="1">
        <v>9470012.0989999995</v>
      </c>
    </row>
    <row r="135" spans="1:3" x14ac:dyDescent="0.35">
      <c r="A135" s="1" t="s">
        <v>34</v>
      </c>
      <c r="B135" s="1">
        <v>2040</v>
      </c>
      <c r="C135" s="1">
        <v>2127317.679</v>
      </c>
    </row>
    <row r="136" spans="1:3" x14ac:dyDescent="0.35">
      <c r="A136" s="1" t="s">
        <v>35</v>
      </c>
      <c r="B136" s="1">
        <v>2040</v>
      </c>
      <c r="C136" s="1">
        <v>20873487.75</v>
      </c>
    </row>
    <row r="137" spans="1:3" x14ac:dyDescent="0.35">
      <c r="A137" s="1" t="s">
        <v>253</v>
      </c>
      <c r="B137" s="1">
        <v>2040</v>
      </c>
      <c r="C137" s="1">
        <v>12658926.640000001</v>
      </c>
    </row>
    <row r="138" spans="1:3" x14ac:dyDescent="0.35">
      <c r="A138" s="1" t="s">
        <v>36</v>
      </c>
      <c r="B138" s="1">
        <v>2040</v>
      </c>
      <c r="C138" s="1">
        <v>1060457.423</v>
      </c>
    </row>
    <row r="139" spans="1:3" x14ac:dyDescent="0.35">
      <c r="A139" s="1" t="s">
        <v>37</v>
      </c>
      <c r="B139" s="1">
        <v>2040</v>
      </c>
      <c r="C139" s="1">
        <v>11751540.460000001</v>
      </c>
    </row>
    <row r="140" spans="1:3" x14ac:dyDescent="0.35">
      <c r="A140" s="1" t="s">
        <v>38</v>
      </c>
      <c r="B140" s="1">
        <v>2040</v>
      </c>
      <c r="C140" s="1">
        <v>4439037.7139999997</v>
      </c>
    </row>
    <row r="141" spans="1:3" x14ac:dyDescent="0.35">
      <c r="A141" s="1" t="s">
        <v>39</v>
      </c>
      <c r="B141" s="1">
        <v>2040</v>
      </c>
      <c r="C141" s="1">
        <v>5164040.608</v>
      </c>
    </row>
    <row r="142" spans="1:3" x14ac:dyDescent="0.35">
      <c r="A142" s="1" t="s">
        <v>40</v>
      </c>
      <c r="B142" s="1">
        <v>2040</v>
      </c>
      <c r="C142" s="1">
        <v>12809150.18</v>
      </c>
    </row>
    <row r="143" spans="1:3" x14ac:dyDescent="0.35">
      <c r="A143" s="1" t="s">
        <v>41</v>
      </c>
      <c r="B143" s="1">
        <v>2040</v>
      </c>
      <c r="C143" s="1">
        <v>1055318.2220000001</v>
      </c>
    </row>
    <row r="144" spans="1:3" x14ac:dyDescent="0.35">
      <c r="A144" s="1" t="s">
        <v>254</v>
      </c>
      <c r="B144" s="1">
        <v>2040</v>
      </c>
      <c r="C144" s="1">
        <v>6352502.1349999998</v>
      </c>
    </row>
    <row r="145" spans="1:3" x14ac:dyDescent="0.35">
      <c r="A145" s="1" t="s">
        <v>42</v>
      </c>
      <c r="B145" s="1">
        <v>2040</v>
      </c>
      <c r="C145" s="1">
        <v>1043032.276</v>
      </c>
    </row>
    <row r="146" spans="1:3" x14ac:dyDescent="0.35">
      <c r="A146" s="1" t="s">
        <v>43</v>
      </c>
      <c r="B146" s="1">
        <v>2040</v>
      </c>
      <c r="C146" s="1">
        <v>7823662.4910000004</v>
      </c>
    </row>
    <row r="147" spans="1:3" x14ac:dyDescent="0.35">
      <c r="A147" s="1" t="s">
        <v>44</v>
      </c>
      <c r="B147" s="1">
        <v>2040</v>
      </c>
      <c r="C147" s="1">
        <v>40015912.840000004</v>
      </c>
    </row>
    <row r="148" spans="1:3" x14ac:dyDescent="0.35">
      <c r="A148" s="1" t="s">
        <v>45</v>
      </c>
      <c r="B148" s="1">
        <v>2040</v>
      </c>
      <c r="C148" s="1">
        <v>4344338.8629999999</v>
      </c>
    </row>
    <row r="149" spans="1:3" x14ac:dyDescent="0.35">
      <c r="A149" s="1" t="s">
        <v>46</v>
      </c>
      <c r="B149" s="1">
        <v>2040</v>
      </c>
      <c r="C149" s="1">
        <v>601865.36930000002</v>
      </c>
    </row>
    <row r="150" spans="1:3" x14ac:dyDescent="0.35">
      <c r="A150" s="1" t="s">
        <v>47</v>
      </c>
      <c r="B150" s="1">
        <v>2040</v>
      </c>
      <c r="C150" s="1">
        <v>9876728.2009999994</v>
      </c>
    </row>
    <row r="151" spans="1:3" x14ac:dyDescent="0.35">
      <c r="A151" s="1" t="s">
        <v>48</v>
      </c>
      <c r="B151" s="1">
        <v>2040</v>
      </c>
      <c r="C151" s="1">
        <v>9776125.5519999992</v>
      </c>
    </row>
    <row r="152" spans="1:3" x14ac:dyDescent="0.35">
      <c r="A152" s="1" t="s">
        <v>49</v>
      </c>
      <c r="B152" s="1">
        <v>2040</v>
      </c>
      <c r="C152" s="1">
        <v>1661849.23</v>
      </c>
    </row>
    <row r="153" spans="1:3" x14ac:dyDescent="0.35">
      <c r="A153" s="1" t="s">
        <v>50</v>
      </c>
      <c r="B153" s="1">
        <v>2040</v>
      </c>
      <c r="C153" s="1">
        <v>5997136.7939999998</v>
      </c>
    </row>
    <row r="154" spans="1:3" x14ac:dyDescent="0.35">
      <c r="A154" s="1" t="s">
        <v>51</v>
      </c>
      <c r="B154" s="1">
        <v>2040</v>
      </c>
      <c r="C154" s="1">
        <v>615786.99930000002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5ACD-5712-44FD-95FE-6D71D8144D25}">
  <dimension ref="A1:D1141"/>
  <sheetViews>
    <sheetView tabSelected="1" workbookViewId="0">
      <selection activeCell="B2" sqref="B2"/>
    </sheetView>
  </sheetViews>
  <sheetFormatPr defaultRowHeight="14.5" x14ac:dyDescent="0.35"/>
  <cols>
    <col min="1" max="1" width="17.54296875" customWidth="1"/>
    <col min="2" max="2" width="21.90625" bestFit="1" customWidth="1"/>
    <col min="4" max="4" width="17.36328125" customWidth="1"/>
  </cols>
  <sheetData>
    <row r="1" spans="1:4" s="4" customFormat="1" x14ac:dyDescent="0.35">
      <c r="A1" s="9" t="s">
        <v>53</v>
      </c>
      <c r="B1" s="9" t="s">
        <v>52</v>
      </c>
      <c r="C1" s="9" t="s">
        <v>1</v>
      </c>
      <c r="D1" s="9" t="s">
        <v>54</v>
      </c>
    </row>
    <row r="2" spans="1:4" x14ac:dyDescent="0.35">
      <c r="A2" s="1" t="s">
        <v>204</v>
      </c>
      <c r="B2" s="1" t="s">
        <v>55</v>
      </c>
      <c r="C2" s="1">
        <v>2021</v>
      </c>
      <c r="D2" s="1">
        <v>28.21574339</v>
      </c>
    </row>
    <row r="3" spans="1:4" x14ac:dyDescent="0.35">
      <c r="A3" s="1" t="s">
        <v>204</v>
      </c>
      <c r="B3" s="1" t="s">
        <v>55</v>
      </c>
      <c r="C3" s="1">
        <v>2022</v>
      </c>
      <c r="D3" s="1">
        <v>28.64846257</v>
      </c>
    </row>
    <row r="4" spans="1:4" x14ac:dyDescent="0.35">
      <c r="A4" s="1" t="s">
        <v>204</v>
      </c>
      <c r="B4" s="1" t="s">
        <v>55</v>
      </c>
      <c r="C4" s="1">
        <v>2023</v>
      </c>
      <c r="D4" s="1">
        <v>29.052823060000001</v>
      </c>
    </row>
    <row r="5" spans="1:4" x14ac:dyDescent="0.35">
      <c r="A5" s="1" t="s">
        <v>204</v>
      </c>
      <c r="B5" s="1" t="s">
        <v>55</v>
      </c>
      <c r="C5" s="1">
        <v>2024</v>
      </c>
      <c r="D5" s="1">
        <v>29.46424116</v>
      </c>
    </row>
    <row r="6" spans="1:4" x14ac:dyDescent="0.35">
      <c r="A6" s="1" t="s">
        <v>204</v>
      </c>
      <c r="B6" s="1" t="s">
        <v>55</v>
      </c>
      <c r="C6" s="1">
        <v>2025</v>
      </c>
      <c r="D6" s="1">
        <v>29.879088889999998</v>
      </c>
    </row>
    <row r="7" spans="1:4" x14ac:dyDescent="0.35">
      <c r="A7" s="1" t="s">
        <v>204</v>
      </c>
      <c r="B7" s="1" t="s">
        <v>55</v>
      </c>
      <c r="C7" s="1">
        <v>2026</v>
      </c>
      <c r="D7" s="1">
        <v>30.322800170000001</v>
      </c>
    </row>
    <row r="8" spans="1:4" x14ac:dyDescent="0.35">
      <c r="A8" s="1" t="s">
        <v>204</v>
      </c>
      <c r="B8" s="1" t="s">
        <v>55</v>
      </c>
      <c r="C8" s="1">
        <v>2027</v>
      </c>
      <c r="D8" s="1">
        <v>30.771926069999999</v>
      </c>
    </row>
    <row r="9" spans="1:4" x14ac:dyDescent="0.35">
      <c r="A9" s="1" t="s">
        <v>204</v>
      </c>
      <c r="B9" s="1" t="s">
        <v>55</v>
      </c>
      <c r="C9" s="1">
        <v>2028</v>
      </c>
      <c r="D9" s="1">
        <v>31.218000620000002</v>
      </c>
    </row>
    <row r="10" spans="1:4" x14ac:dyDescent="0.35">
      <c r="A10" s="1" t="s">
        <v>204</v>
      </c>
      <c r="B10" s="1" t="s">
        <v>55</v>
      </c>
      <c r="C10" s="1">
        <v>2029</v>
      </c>
      <c r="D10" s="1">
        <v>31.680408230000001</v>
      </c>
    </row>
    <row r="11" spans="1:4" x14ac:dyDescent="0.35">
      <c r="A11" s="1" t="s">
        <v>204</v>
      </c>
      <c r="B11" s="1" t="s">
        <v>55</v>
      </c>
      <c r="C11" s="1">
        <v>2030</v>
      </c>
      <c r="D11" s="1">
        <v>32.13467326</v>
      </c>
    </row>
    <row r="12" spans="1:4" x14ac:dyDescent="0.35">
      <c r="A12" s="1" t="s">
        <v>204</v>
      </c>
      <c r="B12" s="1" t="s">
        <v>55</v>
      </c>
      <c r="C12" s="1">
        <v>2031</v>
      </c>
      <c r="D12" s="1">
        <v>32.588473290000003</v>
      </c>
    </row>
    <row r="13" spans="1:4" x14ac:dyDescent="0.35">
      <c r="A13" s="1" t="s">
        <v>204</v>
      </c>
      <c r="B13" s="1" t="s">
        <v>55</v>
      </c>
      <c r="C13" s="1">
        <v>2032</v>
      </c>
      <c r="D13" s="1">
        <v>33.028727359999998</v>
      </c>
    </row>
    <row r="14" spans="1:4" x14ac:dyDescent="0.35">
      <c r="A14" s="1" t="s">
        <v>204</v>
      </c>
      <c r="B14" s="1" t="s">
        <v>55</v>
      </c>
      <c r="C14" s="1">
        <v>2033</v>
      </c>
      <c r="D14" s="1">
        <v>33.438834149999998</v>
      </c>
    </row>
    <row r="15" spans="1:4" x14ac:dyDescent="0.35">
      <c r="A15" s="1" t="s">
        <v>204</v>
      </c>
      <c r="B15" s="1" t="s">
        <v>55</v>
      </c>
      <c r="C15" s="1">
        <v>2034</v>
      </c>
      <c r="D15" s="1">
        <v>33.816640679999999</v>
      </c>
    </row>
    <row r="16" spans="1:4" x14ac:dyDescent="0.35">
      <c r="A16" s="1" t="s">
        <v>204</v>
      </c>
      <c r="B16" s="1" t="s">
        <v>55</v>
      </c>
      <c r="C16" s="1">
        <v>2035</v>
      </c>
      <c r="D16" s="1">
        <v>34.19270041</v>
      </c>
    </row>
    <row r="17" spans="1:4" x14ac:dyDescent="0.35">
      <c r="A17" s="1" t="s">
        <v>204</v>
      </c>
      <c r="B17" s="1" t="s">
        <v>55</v>
      </c>
      <c r="C17" s="1">
        <v>2036</v>
      </c>
      <c r="D17" s="1">
        <v>34.540288670000002</v>
      </c>
    </row>
    <row r="18" spans="1:4" x14ac:dyDescent="0.35">
      <c r="A18" s="1" t="s">
        <v>204</v>
      </c>
      <c r="B18" s="1" t="s">
        <v>55</v>
      </c>
      <c r="C18" s="1">
        <v>2037</v>
      </c>
      <c r="D18" s="1">
        <v>34.849027059999997</v>
      </c>
    </row>
    <row r="19" spans="1:4" x14ac:dyDescent="0.35">
      <c r="A19" s="1" t="s">
        <v>204</v>
      </c>
      <c r="B19" s="1" t="s">
        <v>55</v>
      </c>
      <c r="C19" s="1">
        <v>2038</v>
      </c>
      <c r="D19" s="1">
        <v>35.094776250000002</v>
      </c>
    </row>
    <row r="20" spans="1:4" x14ac:dyDescent="0.35">
      <c r="A20" s="1" t="s">
        <v>204</v>
      </c>
      <c r="B20" s="1" t="s">
        <v>55</v>
      </c>
      <c r="C20" s="1">
        <v>2039</v>
      </c>
      <c r="D20" s="1">
        <v>35.319229319999998</v>
      </c>
    </row>
    <row r="21" spans="1:4" x14ac:dyDescent="0.35">
      <c r="A21" s="1" t="s">
        <v>204</v>
      </c>
      <c r="B21" s="1" t="s">
        <v>55</v>
      </c>
      <c r="C21" s="1">
        <v>2040</v>
      </c>
      <c r="D21" s="1">
        <v>35.480824599999998</v>
      </c>
    </row>
    <row r="22" spans="1:4" x14ac:dyDescent="0.35">
      <c r="A22" s="1" t="s">
        <v>204</v>
      </c>
      <c r="B22" s="1" t="s">
        <v>55</v>
      </c>
      <c r="C22" s="1">
        <v>2041</v>
      </c>
      <c r="D22" s="1">
        <v>35.61440966</v>
      </c>
    </row>
    <row r="23" spans="1:4" x14ac:dyDescent="0.35">
      <c r="A23" s="1" t="s">
        <v>204</v>
      </c>
      <c r="B23" s="1" t="s">
        <v>55</v>
      </c>
      <c r="C23" s="1">
        <v>2042</v>
      </c>
      <c r="D23" s="1">
        <v>35.710926450000002</v>
      </c>
    </row>
    <row r="24" spans="1:4" x14ac:dyDescent="0.35">
      <c r="A24" s="1" t="s">
        <v>204</v>
      </c>
      <c r="B24" s="1" t="s">
        <v>55</v>
      </c>
      <c r="C24" s="1">
        <v>2043</v>
      </c>
      <c r="D24" s="1">
        <v>35.756404240000002</v>
      </c>
    </row>
    <row r="25" spans="1:4" x14ac:dyDescent="0.35">
      <c r="A25" s="1" t="s">
        <v>204</v>
      </c>
      <c r="B25" s="1" t="s">
        <v>55</v>
      </c>
      <c r="C25" s="1">
        <v>2044</v>
      </c>
      <c r="D25" s="1">
        <v>35.781913179999997</v>
      </c>
    </row>
    <row r="26" spans="1:4" x14ac:dyDescent="0.35">
      <c r="A26" s="1" t="s">
        <v>204</v>
      </c>
      <c r="B26" s="1" t="s">
        <v>55</v>
      </c>
      <c r="C26" s="1">
        <v>2045</v>
      </c>
      <c r="D26" s="1">
        <v>35.796651359999998</v>
      </c>
    </row>
    <row r="27" spans="1:4" x14ac:dyDescent="0.35">
      <c r="A27" s="1" t="s">
        <v>204</v>
      </c>
      <c r="B27" s="1" t="s">
        <v>55</v>
      </c>
      <c r="C27" s="1">
        <v>2046</v>
      </c>
      <c r="D27" s="1">
        <v>35.779916159999999</v>
      </c>
    </row>
    <row r="28" spans="1:4" x14ac:dyDescent="0.35">
      <c r="A28" s="1" t="s">
        <v>204</v>
      </c>
      <c r="B28" s="1" t="s">
        <v>55</v>
      </c>
      <c r="C28" s="1">
        <v>2047</v>
      </c>
      <c r="D28" s="1">
        <v>35.755566819999999</v>
      </c>
    </row>
    <row r="29" spans="1:4" x14ac:dyDescent="0.35">
      <c r="A29" s="1" t="s">
        <v>204</v>
      </c>
      <c r="B29" s="1" t="s">
        <v>55</v>
      </c>
      <c r="C29" s="1">
        <v>2048</v>
      </c>
      <c r="D29" s="1">
        <v>35.730262189999998</v>
      </c>
    </row>
    <row r="30" spans="1:4" x14ac:dyDescent="0.35">
      <c r="A30" s="1" t="s">
        <v>204</v>
      </c>
      <c r="B30" s="1" t="s">
        <v>55</v>
      </c>
      <c r="C30" s="1">
        <v>2049</v>
      </c>
      <c r="D30" s="1">
        <v>35.6997608</v>
      </c>
    </row>
    <row r="31" spans="1:4" x14ac:dyDescent="0.35">
      <c r="A31" s="1" t="s">
        <v>204</v>
      </c>
      <c r="B31" s="1" t="s">
        <v>55</v>
      </c>
      <c r="C31" s="1">
        <v>2050</v>
      </c>
      <c r="D31" s="1">
        <v>35.665816880000001</v>
      </c>
    </row>
    <row r="32" spans="1:4" x14ac:dyDescent="0.35">
      <c r="A32" s="1" t="s">
        <v>204</v>
      </c>
      <c r="B32" s="1" t="s">
        <v>56</v>
      </c>
      <c r="C32" s="1">
        <v>2021</v>
      </c>
      <c r="D32" s="1">
        <v>76.690172930000003</v>
      </c>
    </row>
    <row r="33" spans="1:4" x14ac:dyDescent="0.35">
      <c r="A33" s="1" t="s">
        <v>204</v>
      </c>
      <c r="B33" s="1" t="s">
        <v>56</v>
      </c>
      <c r="C33" s="1">
        <v>2022</v>
      </c>
      <c r="D33" s="1">
        <v>75.73885756</v>
      </c>
    </row>
    <row r="34" spans="1:4" x14ac:dyDescent="0.35">
      <c r="A34" s="1" t="s">
        <v>204</v>
      </c>
      <c r="B34" s="1" t="s">
        <v>56</v>
      </c>
      <c r="C34" s="1">
        <v>2023</v>
      </c>
      <c r="D34" s="1">
        <v>74.79461877</v>
      </c>
    </row>
    <row r="35" spans="1:4" x14ac:dyDescent="0.35">
      <c r="A35" s="1" t="s">
        <v>204</v>
      </c>
      <c r="B35" s="1" t="s">
        <v>56</v>
      </c>
      <c r="C35" s="1">
        <v>2024</v>
      </c>
      <c r="D35" s="1">
        <v>73.884401870000005</v>
      </c>
    </row>
    <row r="36" spans="1:4" x14ac:dyDescent="0.35">
      <c r="A36" s="1" t="s">
        <v>204</v>
      </c>
      <c r="B36" s="1" t="s">
        <v>56</v>
      </c>
      <c r="C36" s="1">
        <v>2025</v>
      </c>
      <c r="D36" s="1">
        <v>73.027102360000001</v>
      </c>
    </row>
    <row r="37" spans="1:4" x14ac:dyDescent="0.35">
      <c r="A37" s="1" t="s">
        <v>204</v>
      </c>
      <c r="B37" s="1" t="s">
        <v>56</v>
      </c>
      <c r="C37" s="1">
        <v>2026</v>
      </c>
      <c r="D37" s="1">
        <v>72.269099699999998</v>
      </c>
    </row>
    <row r="38" spans="1:4" x14ac:dyDescent="0.35">
      <c r="A38" s="1" t="s">
        <v>204</v>
      </c>
      <c r="B38" s="1" t="s">
        <v>56</v>
      </c>
      <c r="C38" s="1">
        <v>2027</v>
      </c>
      <c r="D38" s="1">
        <v>71.607037500000004</v>
      </c>
    </row>
    <row r="39" spans="1:4" x14ac:dyDescent="0.35">
      <c r="A39" s="1" t="s">
        <v>204</v>
      </c>
      <c r="B39" s="1" t="s">
        <v>56</v>
      </c>
      <c r="C39" s="1">
        <v>2028</v>
      </c>
      <c r="D39" s="1">
        <v>71.039823580000004</v>
      </c>
    </row>
    <row r="40" spans="1:4" x14ac:dyDescent="0.35">
      <c r="A40" s="1" t="s">
        <v>204</v>
      </c>
      <c r="B40" s="1" t="s">
        <v>56</v>
      </c>
      <c r="C40" s="1">
        <v>2029</v>
      </c>
      <c r="D40" s="1">
        <v>70.591689410000001</v>
      </c>
    </row>
    <row r="41" spans="1:4" x14ac:dyDescent="0.35">
      <c r="A41" s="1" t="s">
        <v>204</v>
      </c>
      <c r="B41" s="1" t="s">
        <v>56</v>
      </c>
      <c r="C41" s="1">
        <v>2030</v>
      </c>
      <c r="D41" s="1">
        <v>70.212702469999996</v>
      </c>
    </row>
    <row r="42" spans="1:4" x14ac:dyDescent="0.35">
      <c r="A42" s="1" t="s">
        <v>204</v>
      </c>
      <c r="B42" s="1" t="s">
        <v>56</v>
      </c>
      <c r="C42" s="1">
        <v>2031</v>
      </c>
      <c r="D42" s="1">
        <v>69.909853900000002</v>
      </c>
    </row>
    <row r="43" spans="1:4" x14ac:dyDescent="0.35">
      <c r="A43" s="1" t="s">
        <v>204</v>
      </c>
      <c r="B43" s="1" t="s">
        <v>56</v>
      </c>
      <c r="C43" s="1">
        <v>2032</v>
      </c>
      <c r="D43" s="1">
        <v>69.693859309999993</v>
      </c>
    </row>
    <row r="44" spans="1:4" x14ac:dyDescent="0.35">
      <c r="A44" s="1" t="s">
        <v>204</v>
      </c>
      <c r="B44" s="1" t="s">
        <v>56</v>
      </c>
      <c r="C44" s="1">
        <v>2033</v>
      </c>
      <c r="D44" s="1">
        <v>69.524222940000001</v>
      </c>
    </row>
    <row r="45" spans="1:4" x14ac:dyDescent="0.35">
      <c r="A45" s="1" t="s">
        <v>204</v>
      </c>
      <c r="B45" s="1" t="s">
        <v>56</v>
      </c>
      <c r="C45" s="1">
        <v>2034</v>
      </c>
      <c r="D45" s="1">
        <v>69.396555669999998</v>
      </c>
    </row>
    <row r="46" spans="1:4" x14ac:dyDescent="0.35">
      <c r="A46" s="1" t="s">
        <v>204</v>
      </c>
      <c r="B46" s="1" t="s">
        <v>56</v>
      </c>
      <c r="C46" s="1">
        <v>2035</v>
      </c>
      <c r="D46" s="1">
        <v>69.147948850000006</v>
      </c>
    </row>
    <row r="47" spans="1:4" x14ac:dyDescent="0.35">
      <c r="A47" s="1" t="s">
        <v>204</v>
      </c>
      <c r="B47" s="1" t="s">
        <v>56</v>
      </c>
      <c r="C47" s="1">
        <v>2036</v>
      </c>
      <c r="D47" s="1">
        <v>68.864915909999993</v>
      </c>
    </row>
    <row r="48" spans="1:4" x14ac:dyDescent="0.35">
      <c r="A48" s="1" t="s">
        <v>204</v>
      </c>
      <c r="B48" s="1" t="s">
        <v>56</v>
      </c>
      <c r="C48" s="1">
        <v>2037</v>
      </c>
      <c r="D48" s="1">
        <v>68.921440079999996</v>
      </c>
    </row>
    <row r="49" spans="1:4" x14ac:dyDescent="0.35">
      <c r="A49" s="1" t="s">
        <v>204</v>
      </c>
      <c r="B49" s="1" t="s">
        <v>56</v>
      </c>
      <c r="C49" s="1">
        <v>2038</v>
      </c>
      <c r="D49" s="1">
        <v>68.921785189999994</v>
      </c>
    </row>
    <row r="50" spans="1:4" x14ac:dyDescent="0.35">
      <c r="A50" s="1" t="s">
        <v>204</v>
      </c>
      <c r="B50" s="1" t="s">
        <v>56</v>
      </c>
      <c r="C50" s="1">
        <v>2039</v>
      </c>
      <c r="D50" s="1">
        <v>68.829900679999994</v>
      </c>
    </row>
    <row r="51" spans="1:4" x14ac:dyDescent="0.35">
      <c r="A51" s="1" t="s">
        <v>204</v>
      </c>
      <c r="B51" s="1" t="s">
        <v>56</v>
      </c>
      <c r="C51" s="1">
        <v>2040</v>
      </c>
      <c r="D51" s="1">
        <v>68.68451014</v>
      </c>
    </row>
    <row r="52" spans="1:4" x14ac:dyDescent="0.35">
      <c r="A52" s="1" t="s">
        <v>204</v>
      </c>
      <c r="B52" s="1" t="s">
        <v>56</v>
      </c>
      <c r="C52" s="1">
        <v>2041</v>
      </c>
      <c r="D52" s="1">
        <v>68.592205570000004</v>
      </c>
    </row>
    <row r="53" spans="1:4" x14ac:dyDescent="0.35">
      <c r="A53" s="1" t="s">
        <v>204</v>
      </c>
      <c r="B53" s="1" t="s">
        <v>56</v>
      </c>
      <c r="C53" s="1">
        <v>2042</v>
      </c>
      <c r="D53" s="1">
        <v>68.665969329999996</v>
      </c>
    </row>
    <row r="54" spans="1:4" x14ac:dyDescent="0.35">
      <c r="A54" s="1" t="s">
        <v>204</v>
      </c>
      <c r="B54" s="1" t="s">
        <v>56</v>
      </c>
      <c r="C54" s="1">
        <v>2043</v>
      </c>
      <c r="D54" s="1">
        <v>68.691019819999994</v>
      </c>
    </row>
    <row r="55" spans="1:4" x14ac:dyDescent="0.35">
      <c r="A55" s="1" t="s">
        <v>204</v>
      </c>
      <c r="B55" s="1" t="s">
        <v>56</v>
      </c>
      <c r="C55" s="1">
        <v>2044</v>
      </c>
      <c r="D55" s="1">
        <v>68.630476990000005</v>
      </c>
    </row>
    <row r="56" spans="1:4" x14ac:dyDescent="0.35">
      <c r="A56" s="1" t="s">
        <v>204</v>
      </c>
      <c r="B56" s="1" t="s">
        <v>56</v>
      </c>
      <c r="C56" s="1">
        <v>2045</v>
      </c>
      <c r="D56" s="1">
        <v>68.669891699999994</v>
      </c>
    </row>
    <row r="57" spans="1:4" x14ac:dyDescent="0.35">
      <c r="A57" s="1" t="s">
        <v>204</v>
      </c>
      <c r="B57" s="1" t="s">
        <v>56</v>
      </c>
      <c r="C57" s="1">
        <v>2046</v>
      </c>
      <c r="D57" s="1">
        <v>68.695456699999994</v>
      </c>
    </row>
    <row r="58" spans="1:4" x14ac:dyDescent="0.35">
      <c r="A58" s="1" t="s">
        <v>204</v>
      </c>
      <c r="B58" s="1" t="s">
        <v>56</v>
      </c>
      <c r="C58" s="1">
        <v>2047</v>
      </c>
      <c r="D58" s="1">
        <v>68.71339811</v>
      </c>
    </row>
    <row r="59" spans="1:4" x14ac:dyDescent="0.35">
      <c r="A59" s="1" t="s">
        <v>204</v>
      </c>
      <c r="B59" s="1" t="s">
        <v>56</v>
      </c>
      <c r="C59" s="1">
        <v>2048</v>
      </c>
      <c r="D59" s="1">
        <v>68.733272659999997</v>
      </c>
    </row>
    <row r="60" spans="1:4" x14ac:dyDescent="0.35">
      <c r="A60" s="1" t="s">
        <v>204</v>
      </c>
      <c r="B60" s="1" t="s">
        <v>56</v>
      </c>
      <c r="C60" s="1">
        <v>2049</v>
      </c>
      <c r="D60" s="1">
        <v>68.750060939999997</v>
      </c>
    </row>
    <row r="61" spans="1:4" x14ac:dyDescent="0.35">
      <c r="A61" s="1" t="s">
        <v>204</v>
      </c>
      <c r="B61" s="1" t="s">
        <v>56</v>
      </c>
      <c r="C61" s="1">
        <v>2050</v>
      </c>
      <c r="D61" s="1">
        <v>68.766177690000006</v>
      </c>
    </row>
    <row r="62" spans="1:4" x14ac:dyDescent="0.35">
      <c r="A62" s="1" t="s">
        <v>204</v>
      </c>
      <c r="B62" s="1" t="s">
        <v>57</v>
      </c>
      <c r="C62" s="1">
        <v>2021</v>
      </c>
      <c r="D62" s="1">
        <v>77.381898539999995</v>
      </c>
    </row>
    <row r="63" spans="1:4" x14ac:dyDescent="0.35">
      <c r="A63" s="1" t="s">
        <v>204</v>
      </c>
      <c r="B63" s="1" t="s">
        <v>57</v>
      </c>
      <c r="C63" s="1">
        <v>2022</v>
      </c>
      <c r="D63" s="1">
        <v>75.987872449999998</v>
      </c>
    </row>
    <row r="64" spans="1:4" x14ac:dyDescent="0.35">
      <c r="A64" s="1" t="s">
        <v>204</v>
      </c>
      <c r="B64" s="1" t="s">
        <v>57</v>
      </c>
      <c r="C64" s="1">
        <v>2023</v>
      </c>
      <c r="D64" s="1">
        <v>74.725685549999994</v>
      </c>
    </row>
    <row r="65" spans="1:4" x14ac:dyDescent="0.35">
      <c r="A65" s="1" t="s">
        <v>204</v>
      </c>
      <c r="B65" s="1" t="s">
        <v>57</v>
      </c>
      <c r="C65" s="1">
        <v>2024</v>
      </c>
      <c r="D65" s="1">
        <v>73.583043439999997</v>
      </c>
    </row>
    <row r="66" spans="1:4" x14ac:dyDescent="0.35">
      <c r="A66" s="1" t="s">
        <v>204</v>
      </c>
      <c r="B66" s="1" t="s">
        <v>57</v>
      </c>
      <c r="C66" s="1">
        <v>2025</v>
      </c>
      <c r="D66" s="1">
        <v>72.59154135</v>
      </c>
    </row>
    <row r="67" spans="1:4" x14ac:dyDescent="0.35">
      <c r="A67" s="1" t="s">
        <v>204</v>
      </c>
      <c r="B67" s="1" t="s">
        <v>57</v>
      </c>
      <c r="C67" s="1">
        <v>2026</v>
      </c>
      <c r="D67" s="1">
        <v>71.830802790000007</v>
      </c>
    </row>
    <row r="68" spans="1:4" x14ac:dyDescent="0.35">
      <c r="A68" s="1" t="s">
        <v>204</v>
      </c>
      <c r="B68" s="1" t="s">
        <v>57</v>
      </c>
      <c r="C68" s="1">
        <v>2027</v>
      </c>
      <c r="D68" s="1">
        <v>71.218883520000006</v>
      </c>
    </row>
    <row r="69" spans="1:4" x14ac:dyDescent="0.35">
      <c r="A69" s="1" t="s">
        <v>204</v>
      </c>
      <c r="B69" s="1" t="s">
        <v>57</v>
      </c>
      <c r="C69" s="1">
        <v>2028</v>
      </c>
      <c r="D69" s="1">
        <v>70.756283159999995</v>
      </c>
    </row>
    <row r="70" spans="1:4" x14ac:dyDescent="0.35">
      <c r="A70" s="1" t="s">
        <v>204</v>
      </c>
      <c r="B70" s="1" t="s">
        <v>57</v>
      </c>
      <c r="C70" s="1">
        <v>2029</v>
      </c>
      <c r="D70" s="1">
        <v>70.455051569999995</v>
      </c>
    </row>
    <row r="71" spans="1:4" x14ac:dyDescent="0.35">
      <c r="A71" s="1" t="s">
        <v>204</v>
      </c>
      <c r="B71" s="1" t="s">
        <v>57</v>
      </c>
      <c r="C71" s="1">
        <v>2030</v>
      </c>
      <c r="D71" s="1">
        <v>70.263193580000006</v>
      </c>
    </row>
    <row r="72" spans="1:4" x14ac:dyDescent="0.35">
      <c r="A72" s="1" t="s">
        <v>204</v>
      </c>
      <c r="B72" s="1" t="s">
        <v>57</v>
      </c>
      <c r="C72" s="1">
        <v>2031</v>
      </c>
      <c r="D72" s="1">
        <v>70.179461160000002</v>
      </c>
    </row>
    <row r="73" spans="1:4" x14ac:dyDescent="0.35">
      <c r="A73" s="1" t="s">
        <v>204</v>
      </c>
      <c r="B73" s="1" t="s">
        <v>57</v>
      </c>
      <c r="C73" s="1">
        <v>2032</v>
      </c>
      <c r="D73" s="1">
        <v>70.210212990000002</v>
      </c>
    </row>
    <row r="74" spans="1:4" x14ac:dyDescent="0.35">
      <c r="A74" s="1" t="s">
        <v>204</v>
      </c>
      <c r="B74" s="1" t="s">
        <v>57</v>
      </c>
      <c r="C74" s="1">
        <v>2033</v>
      </c>
      <c r="D74" s="1">
        <v>70.304631270000002</v>
      </c>
    </row>
    <row r="75" spans="1:4" x14ac:dyDescent="0.35">
      <c r="A75" s="1" t="s">
        <v>204</v>
      </c>
      <c r="B75" s="1" t="s">
        <v>57</v>
      </c>
      <c r="C75" s="1">
        <v>2034</v>
      </c>
      <c r="D75" s="1">
        <v>70.458004849999995</v>
      </c>
    </row>
    <row r="76" spans="1:4" x14ac:dyDescent="0.35">
      <c r="A76" s="1" t="s">
        <v>204</v>
      </c>
      <c r="B76" s="1" t="s">
        <v>57</v>
      </c>
      <c r="C76" s="1">
        <v>2035</v>
      </c>
      <c r="D76" s="1">
        <v>70.721808679999995</v>
      </c>
    </row>
    <row r="77" spans="1:4" x14ac:dyDescent="0.35">
      <c r="A77" s="1" t="s">
        <v>204</v>
      </c>
      <c r="B77" s="1" t="s">
        <v>57</v>
      </c>
      <c r="C77" s="1">
        <v>2036</v>
      </c>
      <c r="D77" s="1">
        <v>71.004488219999999</v>
      </c>
    </row>
    <row r="78" spans="1:4" x14ac:dyDescent="0.35">
      <c r="A78" s="1" t="s">
        <v>204</v>
      </c>
      <c r="B78" s="1" t="s">
        <v>57</v>
      </c>
      <c r="C78" s="1">
        <v>2037</v>
      </c>
      <c r="D78" s="1">
        <v>71.238178500000004</v>
      </c>
    </row>
    <row r="79" spans="1:4" x14ac:dyDescent="0.35">
      <c r="A79" s="1" t="s">
        <v>204</v>
      </c>
      <c r="B79" s="1" t="s">
        <v>57</v>
      </c>
      <c r="C79" s="1">
        <v>2038</v>
      </c>
      <c r="D79" s="1">
        <v>71.404954309999994</v>
      </c>
    </row>
    <row r="80" spans="1:4" x14ac:dyDescent="0.35">
      <c r="A80" s="1" t="s">
        <v>204</v>
      </c>
      <c r="B80" s="1" t="s">
        <v>57</v>
      </c>
      <c r="C80" s="1">
        <v>2039</v>
      </c>
      <c r="D80" s="1">
        <v>71.529637579999999</v>
      </c>
    </row>
    <row r="81" spans="1:4" x14ac:dyDescent="0.35">
      <c r="A81" s="1" t="s">
        <v>204</v>
      </c>
      <c r="B81" s="1" t="s">
        <v>57</v>
      </c>
      <c r="C81" s="1">
        <v>2040</v>
      </c>
      <c r="D81" s="1">
        <v>71.671052619999998</v>
      </c>
    </row>
    <row r="82" spans="1:4" x14ac:dyDescent="0.35">
      <c r="A82" s="1" t="s">
        <v>204</v>
      </c>
      <c r="B82" s="1" t="s">
        <v>57</v>
      </c>
      <c r="C82" s="1">
        <v>2041</v>
      </c>
      <c r="D82" s="1">
        <v>71.785204960000002</v>
      </c>
    </row>
    <row r="83" spans="1:4" x14ac:dyDescent="0.35">
      <c r="A83" s="1" t="s">
        <v>204</v>
      </c>
      <c r="B83" s="1" t="s">
        <v>57</v>
      </c>
      <c r="C83" s="1">
        <v>2042</v>
      </c>
      <c r="D83" s="1">
        <v>71.895855620000006</v>
      </c>
    </row>
    <row r="84" spans="1:4" x14ac:dyDescent="0.35">
      <c r="A84" s="1" t="s">
        <v>204</v>
      </c>
      <c r="B84" s="1" t="s">
        <v>57</v>
      </c>
      <c r="C84" s="1">
        <v>2043</v>
      </c>
      <c r="D84" s="1">
        <v>71.933600630000001</v>
      </c>
    </row>
    <row r="85" spans="1:4" x14ac:dyDescent="0.35">
      <c r="A85" s="1" t="s">
        <v>204</v>
      </c>
      <c r="B85" s="1" t="s">
        <v>57</v>
      </c>
      <c r="C85" s="1">
        <v>2044</v>
      </c>
      <c r="D85" s="1">
        <v>71.961535150000003</v>
      </c>
    </row>
    <row r="86" spans="1:4" x14ac:dyDescent="0.35">
      <c r="A86" s="1" t="s">
        <v>204</v>
      </c>
      <c r="B86" s="1" t="s">
        <v>57</v>
      </c>
      <c r="C86" s="1">
        <v>2045</v>
      </c>
      <c r="D86" s="1">
        <v>71.954842850000006</v>
      </c>
    </row>
    <row r="87" spans="1:4" x14ac:dyDescent="0.35">
      <c r="A87" s="1" t="s">
        <v>204</v>
      </c>
      <c r="B87" s="1" t="s">
        <v>57</v>
      </c>
      <c r="C87" s="1">
        <v>2046</v>
      </c>
      <c r="D87" s="1">
        <v>71.965131130000003</v>
      </c>
    </row>
    <row r="88" spans="1:4" x14ac:dyDescent="0.35">
      <c r="A88" s="1" t="s">
        <v>204</v>
      </c>
      <c r="B88" s="1" t="s">
        <v>57</v>
      </c>
      <c r="C88" s="1">
        <v>2047</v>
      </c>
      <c r="D88" s="1">
        <v>71.969762639999999</v>
      </c>
    </row>
    <row r="89" spans="1:4" x14ac:dyDescent="0.35">
      <c r="A89" s="1" t="s">
        <v>204</v>
      </c>
      <c r="B89" s="1" t="s">
        <v>57</v>
      </c>
      <c r="C89" s="1">
        <v>2048</v>
      </c>
      <c r="D89" s="1">
        <v>71.979288499999996</v>
      </c>
    </row>
    <row r="90" spans="1:4" x14ac:dyDescent="0.35">
      <c r="A90" s="1" t="s">
        <v>204</v>
      </c>
      <c r="B90" s="1" t="s">
        <v>57</v>
      </c>
      <c r="C90" s="1">
        <v>2049</v>
      </c>
      <c r="D90" s="1">
        <v>71.98759364</v>
      </c>
    </row>
    <row r="91" spans="1:4" x14ac:dyDescent="0.35">
      <c r="A91" s="1" t="s">
        <v>204</v>
      </c>
      <c r="B91" s="1" t="s">
        <v>57</v>
      </c>
      <c r="C91" s="1">
        <v>2050</v>
      </c>
      <c r="D91" s="1">
        <v>71.996871060000004</v>
      </c>
    </row>
    <row r="92" spans="1:4" x14ac:dyDescent="0.35">
      <c r="A92" s="1" t="s">
        <v>204</v>
      </c>
      <c r="B92" s="1" t="s">
        <v>58</v>
      </c>
      <c r="C92" s="1">
        <v>2021</v>
      </c>
      <c r="D92" s="1">
        <v>81.34893203</v>
      </c>
    </row>
    <row r="93" spans="1:4" x14ac:dyDescent="0.35">
      <c r="A93" s="1" t="s">
        <v>204</v>
      </c>
      <c r="B93" s="1" t="s">
        <v>58</v>
      </c>
      <c r="C93" s="1">
        <v>2022</v>
      </c>
      <c r="D93" s="1">
        <v>80.205928450000002</v>
      </c>
    </row>
    <row r="94" spans="1:4" x14ac:dyDescent="0.35">
      <c r="A94" s="1" t="s">
        <v>204</v>
      </c>
      <c r="B94" s="1" t="s">
        <v>58</v>
      </c>
      <c r="C94" s="1">
        <v>2023</v>
      </c>
      <c r="D94" s="1">
        <v>79.379114439999995</v>
      </c>
    </row>
    <row r="95" spans="1:4" x14ac:dyDescent="0.35">
      <c r="A95" s="1" t="s">
        <v>204</v>
      </c>
      <c r="B95" s="1" t="s">
        <v>58</v>
      </c>
      <c r="C95" s="1">
        <v>2024</v>
      </c>
      <c r="D95" s="1">
        <v>78.747433369999996</v>
      </c>
    </row>
    <row r="96" spans="1:4" x14ac:dyDescent="0.35">
      <c r="A96" s="1" t="s">
        <v>204</v>
      </c>
      <c r="B96" s="1" t="s">
        <v>58</v>
      </c>
      <c r="C96" s="1">
        <v>2025</v>
      </c>
      <c r="D96" s="1">
        <v>78.278832879999996</v>
      </c>
    </row>
    <row r="97" spans="1:4" x14ac:dyDescent="0.35">
      <c r="A97" s="1" t="s">
        <v>204</v>
      </c>
      <c r="B97" s="1" t="s">
        <v>58</v>
      </c>
      <c r="C97" s="1">
        <v>2026</v>
      </c>
      <c r="D97" s="1">
        <v>77.987277829999996</v>
      </c>
    </row>
    <row r="98" spans="1:4" x14ac:dyDescent="0.35">
      <c r="A98" s="1" t="s">
        <v>204</v>
      </c>
      <c r="B98" s="1" t="s">
        <v>58</v>
      </c>
      <c r="C98" s="1">
        <v>2027</v>
      </c>
      <c r="D98" s="1">
        <v>77.763081060000005</v>
      </c>
    </row>
    <row r="99" spans="1:4" x14ac:dyDescent="0.35">
      <c r="A99" s="1" t="s">
        <v>204</v>
      </c>
      <c r="B99" s="1" t="s">
        <v>58</v>
      </c>
      <c r="C99" s="1">
        <v>2028</v>
      </c>
      <c r="D99" s="1">
        <v>77.628689840000007</v>
      </c>
    </row>
    <row r="100" spans="1:4" x14ac:dyDescent="0.35">
      <c r="A100" s="1" t="s">
        <v>204</v>
      </c>
      <c r="B100" s="1" t="s">
        <v>58</v>
      </c>
      <c r="C100" s="1">
        <v>2029</v>
      </c>
      <c r="D100" s="1">
        <v>77.621324889999997</v>
      </c>
    </row>
    <row r="101" spans="1:4" x14ac:dyDescent="0.35">
      <c r="A101" s="1" t="s">
        <v>204</v>
      </c>
      <c r="B101" s="1" t="s">
        <v>58</v>
      </c>
      <c r="C101" s="1">
        <v>2030</v>
      </c>
      <c r="D101" s="1">
        <v>77.696374090000006</v>
      </c>
    </row>
    <row r="102" spans="1:4" x14ac:dyDescent="0.35">
      <c r="A102" s="1" t="s">
        <v>204</v>
      </c>
      <c r="B102" s="1" t="s">
        <v>58</v>
      </c>
      <c r="C102" s="1">
        <v>2031</v>
      </c>
      <c r="D102" s="1">
        <v>77.857841309999998</v>
      </c>
    </row>
    <row r="103" spans="1:4" x14ac:dyDescent="0.35">
      <c r="A103" s="1" t="s">
        <v>204</v>
      </c>
      <c r="B103" s="1" t="s">
        <v>58</v>
      </c>
      <c r="C103" s="1">
        <v>2032</v>
      </c>
      <c r="D103" s="1">
        <v>78.116039439999994</v>
      </c>
    </row>
    <row r="104" spans="1:4" x14ac:dyDescent="0.35">
      <c r="A104" s="1" t="s">
        <v>204</v>
      </c>
      <c r="B104" s="1" t="s">
        <v>58</v>
      </c>
      <c r="C104" s="1">
        <v>2033</v>
      </c>
      <c r="D104" s="1">
        <v>78.41928016</v>
      </c>
    </row>
    <row r="105" spans="1:4" x14ac:dyDescent="0.35">
      <c r="A105" s="1" t="s">
        <v>204</v>
      </c>
      <c r="B105" s="1" t="s">
        <v>58</v>
      </c>
      <c r="C105" s="1">
        <v>2034</v>
      </c>
      <c r="D105" s="1">
        <v>78.761736369999994</v>
      </c>
    </row>
    <row r="106" spans="1:4" x14ac:dyDescent="0.35">
      <c r="A106" s="1" t="s">
        <v>204</v>
      </c>
      <c r="B106" s="1" t="s">
        <v>58</v>
      </c>
      <c r="C106" s="1">
        <v>2035</v>
      </c>
      <c r="D106" s="1">
        <v>79.201849800000005</v>
      </c>
    </row>
    <row r="107" spans="1:4" x14ac:dyDescent="0.35">
      <c r="A107" s="1" t="s">
        <v>204</v>
      </c>
      <c r="B107" s="1" t="s">
        <v>58</v>
      </c>
      <c r="C107" s="1">
        <v>2036</v>
      </c>
      <c r="D107" s="1">
        <v>79.63063459</v>
      </c>
    </row>
    <row r="108" spans="1:4" x14ac:dyDescent="0.35">
      <c r="A108" s="1" t="s">
        <v>204</v>
      </c>
      <c r="B108" s="1" t="s">
        <v>58</v>
      </c>
      <c r="C108" s="1">
        <v>2037</v>
      </c>
      <c r="D108" s="1">
        <v>80.003327600000006</v>
      </c>
    </row>
    <row r="109" spans="1:4" x14ac:dyDescent="0.35">
      <c r="A109" s="1" t="s">
        <v>204</v>
      </c>
      <c r="B109" s="1" t="s">
        <v>58</v>
      </c>
      <c r="C109" s="1">
        <v>2038</v>
      </c>
      <c r="D109" s="1">
        <v>80.281824159999999</v>
      </c>
    </row>
    <row r="110" spans="1:4" x14ac:dyDescent="0.35">
      <c r="A110" s="1" t="s">
        <v>204</v>
      </c>
      <c r="B110" s="1" t="s">
        <v>58</v>
      </c>
      <c r="C110" s="1">
        <v>2039</v>
      </c>
      <c r="D110" s="1">
        <v>80.490487400000006</v>
      </c>
    </row>
    <row r="111" spans="1:4" x14ac:dyDescent="0.35">
      <c r="A111" s="1" t="s">
        <v>204</v>
      </c>
      <c r="B111" s="1" t="s">
        <v>58</v>
      </c>
      <c r="C111" s="1">
        <v>2040</v>
      </c>
      <c r="D111" s="1">
        <v>80.717606290000006</v>
      </c>
    </row>
    <row r="112" spans="1:4" x14ac:dyDescent="0.35">
      <c r="A112" s="1" t="s">
        <v>204</v>
      </c>
      <c r="B112" s="1" t="s">
        <v>58</v>
      </c>
      <c r="C112" s="1">
        <v>2041</v>
      </c>
      <c r="D112" s="1">
        <v>80.898793339999997</v>
      </c>
    </row>
    <row r="113" spans="1:4" x14ac:dyDescent="0.35">
      <c r="A113" s="1" t="s">
        <v>204</v>
      </c>
      <c r="B113" s="1" t="s">
        <v>58</v>
      </c>
      <c r="C113" s="1">
        <v>2042</v>
      </c>
      <c r="D113" s="1">
        <v>81.071567490000007</v>
      </c>
    </row>
    <row r="114" spans="1:4" x14ac:dyDescent="0.35">
      <c r="A114" s="1" t="s">
        <v>204</v>
      </c>
      <c r="B114" s="1" t="s">
        <v>58</v>
      </c>
      <c r="C114" s="1">
        <v>2043</v>
      </c>
      <c r="D114" s="1">
        <v>81.162716450000005</v>
      </c>
    </row>
    <row r="115" spans="1:4" x14ac:dyDescent="0.35">
      <c r="A115" s="1" t="s">
        <v>204</v>
      </c>
      <c r="B115" s="1" t="s">
        <v>58</v>
      </c>
      <c r="C115" s="1">
        <v>2044</v>
      </c>
      <c r="D115" s="1">
        <v>81.232858440000001</v>
      </c>
    </row>
    <row r="116" spans="1:4" x14ac:dyDescent="0.35">
      <c r="A116" s="1" t="s">
        <v>204</v>
      </c>
      <c r="B116" s="1" t="s">
        <v>58</v>
      </c>
      <c r="C116" s="1">
        <v>2045</v>
      </c>
      <c r="D116" s="1">
        <v>81.301369019999996</v>
      </c>
    </row>
    <row r="117" spans="1:4" x14ac:dyDescent="0.35">
      <c r="A117" s="1" t="s">
        <v>204</v>
      </c>
      <c r="B117" s="1" t="s">
        <v>58</v>
      </c>
      <c r="C117" s="1">
        <v>2046</v>
      </c>
      <c r="D117" s="1">
        <v>81.322572960000002</v>
      </c>
    </row>
    <row r="118" spans="1:4" x14ac:dyDescent="0.35">
      <c r="A118" s="1" t="s">
        <v>204</v>
      </c>
      <c r="B118" s="1" t="s">
        <v>58</v>
      </c>
      <c r="C118" s="1">
        <v>2047</v>
      </c>
      <c r="D118" s="1">
        <v>81.336050049999997</v>
      </c>
    </row>
    <row r="119" spans="1:4" x14ac:dyDescent="0.35">
      <c r="A119" s="1" t="s">
        <v>204</v>
      </c>
      <c r="B119" s="1" t="s">
        <v>58</v>
      </c>
      <c r="C119" s="1">
        <v>2048</v>
      </c>
      <c r="D119" s="1">
        <v>81.353589279999994</v>
      </c>
    </row>
    <row r="120" spans="1:4" x14ac:dyDescent="0.35">
      <c r="A120" s="1" t="s">
        <v>204</v>
      </c>
      <c r="B120" s="1" t="s">
        <v>58</v>
      </c>
      <c r="C120" s="1">
        <v>2049</v>
      </c>
      <c r="D120" s="1">
        <v>81.36830123</v>
      </c>
    </row>
    <row r="121" spans="1:4" x14ac:dyDescent="0.35">
      <c r="A121" s="1" t="s">
        <v>204</v>
      </c>
      <c r="B121" s="1" t="s">
        <v>58</v>
      </c>
      <c r="C121" s="1">
        <v>2050</v>
      </c>
      <c r="D121" s="1">
        <v>81.383113589999994</v>
      </c>
    </row>
    <row r="122" spans="1:4" x14ac:dyDescent="0.35">
      <c r="A122" s="1" t="s">
        <v>204</v>
      </c>
      <c r="B122" s="1" t="s">
        <v>59</v>
      </c>
      <c r="C122" s="1">
        <v>2021</v>
      </c>
      <c r="D122" s="1">
        <v>28.69720586</v>
      </c>
    </row>
    <row r="123" spans="1:4" x14ac:dyDescent="0.35">
      <c r="A123" s="1" t="s">
        <v>204</v>
      </c>
      <c r="B123" s="1" t="s">
        <v>59</v>
      </c>
      <c r="C123" s="1">
        <v>2022</v>
      </c>
      <c r="D123" s="1">
        <v>28.688276070000001</v>
      </c>
    </row>
    <row r="124" spans="1:4" x14ac:dyDescent="0.35">
      <c r="A124" s="1" t="s">
        <v>204</v>
      </c>
      <c r="B124" s="1" t="s">
        <v>59</v>
      </c>
      <c r="C124" s="1">
        <v>2023</v>
      </c>
      <c r="D124" s="1">
        <v>28.697936370000001</v>
      </c>
    </row>
    <row r="125" spans="1:4" x14ac:dyDescent="0.35">
      <c r="A125" s="1" t="s">
        <v>204</v>
      </c>
      <c r="B125" s="1" t="s">
        <v>59</v>
      </c>
      <c r="C125" s="1">
        <v>2024</v>
      </c>
      <c r="D125" s="1">
        <v>28.745839119999999</v>
      </c>
    </row>
    <row r="126" spans="1:4" x14ac:dyDescent="0.35">
      <c r="A126" s="1" t="s">
        <v>204</v>
      </c>
      <c r="B126" s="1" t="s">
        <v>59</v>
      </c>
      <c r="C126" s="1">
        <v>2025</v>
      </c>
      <c r="D126" s="1">
        <v>28.840005789999999</v>
      </c>
    </row>
    <row r="127" spans="1:4" x14ac:dyDescent="0.35">
      <c r="A127" s="1" t="s">
        <v>204</v>
      </c>
      <c r="B127" s="1" t="s">
        <v>59</v>
      </c>
      <c r="C127" s="1">
        <v>2026</v>
      </c>
      <c r="D127" s="1">
        <v>29.0017633</v>
      </c>
    </row>
    <row r="128" spans="1:4" x14ac:dyDescent="0.35">
      <c r="A128" s="1" t="s">
        <v>204</v>
      </c>
      <c r="B128" s="1" t="s">
        <v>59</v>
      </c>
      <c r="C128" s="1">
        <v>2027</v>
      </c>
      <c r="D128" s="1">
        <v>29.229195449999999</v>
      </c>
    </row>
    <row r="129" spans="1:4" x14ac:dyDescent="0.35">
      <c r="A129" s="1" t="s">
        <v>204</v>
      </c>
      <c r="B129" s="1" t="s">
        <v>59</v>
      </c>
      <c r="C129" s="1">
        <v>2028</v>
      </c>
      <c r="D129" s="1">
        <v>29.51868382</v>
      </c>
    </row>
    <row r="130" spans="1:4" x14ac:dyDescent="0.35">
      <c r="A130" s="1" t="s">
        <v>204</v>
      </c>
      <c r="B130" s="1" t="s">
        <v>59</v>
      </c>
      <c r="C130" s="1">
        <v>2029</v>
      </c>
      <c r="D130" s="1">
        <v>29.888591720000001</v>
      </c>
    </row>
    <row r="131" spans="1:4" x14ac:dyDescent="0.35">
      <c r="A131" s="1" t="s">
        <v>204</v>
      </c>
      <c r="B131" s="1" t="s">
        <v>59</v>
      </c>
      <c r="C131" s="1">
        <v>2030</v>
      </c>
      <c r="D131" s="1">
        <v>30.317287329999999</v>
      </c>
    </row>
    <row r="132" spans="1:4" x14ac:dyDescent="0.35">
      <c r="A132" s="1" t="s">
        <v>204</v>
      </c>
      <c r="B132" s="1" t="s">
        <v>59</v>
      </c>
      <c r="C132" s="1">
        <v>2031</v>
      </c>
      <c r="D132" s="1">
        <v>30.814472980000001</v>
      </c>
    </row>
    <row r="133" spans="1:4" x14ac:dyDescent="0.35">
      <c r="A133" s="1" t="s">
        <v>204</v>
      </c>
      <c r="B133" s="1" t="s">
        <v>59</v>
      </c>
      <c r="C133" s="1">
        <v>2032</v>
      </c>
      <c r="D133" s="1">
        <v>31.434251570000001</v>
      </c>
    </row>
    <row r="134" spans="1:4" x14ac:dyDescent="0.35">
      <c r="A134" s="1" t="s">
        <v>204</v>
      </c>
      <c r="B134" s="1" t="s">
        <v>59</v>
      </c>
      <c r="C134" s="1">
        <v>2033</v>
      </c>
      <c r="D134" s="1">
        <v>32.089672980000003</v>
      </c>
    </row>
    <row r="135" spans="1:4" x14ac:dyDescent="0.35">
      <c r="A135" s="1" t="s">
        <v>204</v>
      </c>
      <c r="B135" s="1" t="s">
        <v>59</v>
      </c>
      <c r="C135" s="1">
        <v>2034</v>
      </c>
      <c r="D135" s="1">
        <v>32.669533870000002</v>
      </c>
    </row>
    <row r="136" spans="1:4" x14ac:dyDescent="0.35">
      <c r="A136" s="1" t="s">
        <v>204</v>
      </c>
      <c r="B136" s="1" t="s">
        <v>59</v>
      </c>
      <c r="C136" s="1">
        <v>2035</v>
      </c>
      <c r="D136" s="1">
        <v>33.614522030000003</v>
      </c>
    </row>
    <row r="137" spans="1:4" x14ac:dyDescent="0.35">
      <c r="A137" s="1" t="s">
        <v>204</v>
      </c>
      <c r="B137" s="1" t="s">
        <v>59</v>
      </c>
      <c r="C137" s="1">
        <v>2036</v>
      </c>
      <c r="D137" s="1">
        <v>34.364643010000002</v>
      </c>
    </row>
    <row r="138" spans="1:4" x14ac:dyDescent="0.35">
      <c r="A138" s="1" t="s">
        <v>204</v>
      </c>
      <c r="B138" s="1" t="s">
        <v>59</v>
      </c>
      <c r="C138" s="1">
        <v>2037</v>
      </c>
      <c r="D138" s="1">
        <v>34.733760510000003</v>
      </c>
    </row>
    <row r="139" spans="1:4" x14ac:dyDescent="0.35">
      <c r="A139" s="1" t="s">
        <v>204</v>
      </c>
      <c r="B139" s="1" t="s">
        <v>59</v>
      </c>
      <c r="C139" s="1">
        <v>2038</v>
      </c>
      <c r="D139" s="1">
        <v>35.049431259999999</v>
      </c>
    </row>
    <row r="140" spans="1:4" x14ac:dyDescent="0.35">
      <c r="A140" s="1" t="s">
        <v>204</v>
      </c>
      <c r="B140" s="1" t="s">
        <v>59</v>
      </c>
      <c r="C140" s="1">
        <v>2039</v>
      </c>
      <c r="D140" s="1">
        <v>35.572099889999997</v>
      </c>
    </row>
    <row r="141" spans="1:4" x14ac:dyDescent="0.35">
      <c r="A141" s="1" t="s">
        <v>204</v>
      </c>
      <c r="B141" s="1" t="s">
        <v>59</v>
      </c>
      <c r="C141" s="1">
        <v>2040</v>
      </c>
      <c r="D141" s="1">
        <v>35.923168160000003</v>
      </c>
    </row>
    <row r="142" spans="1:4" x14ac:dyDescent="0.35">
      <c r="A142" s="1" t="s">
        <v>204</v>
      </c>
      <c r="B142" s="1" t="s">
        <v>59</v>
      </c>
      <c r="C142" s="1">
        <v>2041</v>
      </c>
      <c r="D142" s="1">
        <v>36.179672330000002</v>
      </c>
    </row>
    <row r="143" spans="1:4" x14ac:dyDescent="0.35">
      <c r="A143" s="1" t="s">
        <v>204</v>
      </c>
      <c r="B143" s="1" t="s">
        <v>59</v>
      </c>
      <c r="C143" s="1">
        <v>2042</v>
      </c>
      <c r="D143" s="1">
        <v>36.316268600000001</v>
      </c>
    </row>
    <row r="144" spans="1:4" x14ac:dyDescent="0.35">
      <c r="A144" s="1" t="s">
        <v>204</v>
      </c>
      <c r="B144" s="1" t="s">
        <v>59</v>
      </c>
      <c r="C144" s="1">
        <v>2043</v>
      </c>
      <c r="D144" s="1">
        <v>36.389882880000002</v>
      </c>
    </row>
    <row r="145" spans="1:4" x14ac:dyDescent="0.35">
      <c r="A145" s="1" t="s">
        <v>204</v>
      </c>
      <c r="B145" s="1" t="s">
        <v>59</v>
      </c>
      <c r="C145" s="1">
        <v>2044</v>
      </c>
      <c r="D145" s="1">
        <v>36.421582389999998</v>
      </c>
    </row>
    <row r="146" spans="1:4" x14ac:dyDescent="0.35">
      <c r="A146" s="1" t="s">
        <v>204</v>
      </c>
      <c r="B146" s="1" t="s">
        <v>59</v>
      </c>
      <c r="C146" s="1">
        <v>2045</v>
      </c>
      <c r="D146" s="1">
        <v>36.44219159</v>
      </c>
    </row>
    <row r="147" spans="1:4" x14ac:dyDescent="0.35">
      <c r="A147" s="1" t="s">
        <v>204</v>
      </c>
      <c r="B147" s="1" t="s">
        <v>59</v>
      </c>
      <c r="C147" s="1">
        <v>2046</v>
      </c>
      <c r="D147" s="1">
        <v>36.426654579999997</v>
      </c>
    </row>
    <row r="148" spans="1:4" x14ac:dyDescent="0.35">
      <c r="A148" s="1" t="s">
        <v>204</v>
      </c>
      <c r="B148" s="1" t="s">
        <v>59</v>
      </c>
      <c r="C148" s="1">
        <v>2047</v>
      </c>
      <c r="D148" s="1">
        <v>36.403811920000003</v>
      </c>
    </row>
    <row r="149" spans="1:4" x14ac:dyDescent="0.35">
      <c r="A149" s="1" t="s">
        <v>204</v>
      </c>
      <c r="B149" s="1" t="s">
        <v>59</v>
      </c>
      <c r="C149" s="1">
        <v>2048</v>
      </c>
      <c r="D149" s="1">
        <v>36.380000000000003</v>
      </c>
    </row>
    <row r="150" spans="1:4" x14ac:dyDescent="0.35">
      <c r="A150" s="1" t="s">
        <v>204</v>
      </c>
      <c r="B150" s="1" t="s">
        <v>59</v>
      </c>
      <c r="C150" s="1">
        <v>2049</v>
      </c>
      <c r="D150" s="1">
        <v>36.351195850000003</v>
      </c>
    </row>
    <row r="151" spans="1:4" x14ac:dyDescent="0.35">
      <c r="A151" s="1" t="s">
        <v>204</v>
      </c>
      <c r="B151" s="1" t="s">
        <v>59</v>
      </c>
      <c r="C151" s="1">
        <v>2050</v>
      </c>
      <c r="D151" s="1">
        <v>36.319769389999998</v>
      </c>
    </row>
    <row r="152" spans="1:4" x14ac:dyDescent="0.35">
      <c r="A152" s="1" t="s">
        <v>204</v>
      </c>
      <c r="B152" s="1" t="s">
        <v>60</v>
      </c>
      <c r="C152" s="1">
        <v>2021</v>
      </c>
      <c r="D152" s="1">
        <v>28.15147786</v>
      </c>
    </row>
    <row r="153" spans="1:4" x14ac:dyDescent="0.35">
      <c r="A153" s="1" t="s">
        <v>204</v>
      </c>
      <c r="B153" s="1" t="s">
        <v>60</v>
      </c>
      <c r="C153" s="1">
        <v>2022</v>
      </c>
      <c r="D153" s="1">
        <v>27.89493556</v>
      </c>
    </row>
    <row r="154" spans="1:4" x14ac:dyDescent="0.35">
      <c r="A154" s="1" t="s">
        <v>204</v>
      </c>
      <c r="B154" s="1" t="s">
        <v>60</v>
      </c>
      <c r="C154" s="1">
        <v>2023</v>
      </c>
      <c r="D154" s="1">
        <v>27.642137179999999</v>
      </c>
    </row>
    <row r="155" spans="1:4" x14ac:dyDescent="0.35">
      <c r="A155" s="1" t="s">
        <v>204</v>
      </c>
      <c r="B155" s="1" t="s">
        <v>60</v>
      </c>
      <c r="C155" s="1">
        <v>2024</v>
      </c>
      <c r="D155" s="1">
        <v>27.406676990000001</v>
      </c>
    </row>
    <row r="156" spans="1:4" x14ac:dyDescent="0.35">
      <c r="A156" s="1" t="s">
        <v>204</v>
      </c>
      <c r="B156" s="1" t="s">
        <v>60</v>
      </c>
      <c r="C156" s="1">
        <v>2025</v>
      </c>
      <c r="D156" s="1">
        <v>27.199430280000001</v>
      </c>
    </row>
    <row r="157" spans="1:4" x14ac:dyDescent="0.35">
      <c r="A157" s="1" t="s">
        <v>204</v>
      </c>
      <c r="B157" s="1" t="s">
        <v>60</v>
      </c>
      <c r="C157" s="1">
        <v>2026</v>
      </c>
      <c r="D157" s="1">
        <v>27.022872</v>
      </c>
    </row>
    <row r="158" spans="1:4" x14ac:dyDescent="0.35">
      <c r="A158" s="1" t="s">
        <v>204</v>
      </c>
      <c r="B158" s="1" t="s">
        <v>60</v>
      </c>
      <c r="C158" s="1">
        <v>2027</v>
      </c>
      <c r="D158" s="1">
        <v>26.89791396</v>
      </c>
    </row>
    <row r="159" spans="1:4" x14ac:dyDescent="0.35">
      <c r="A159" s="1" t="s">
        <v>204</v>
      </c>
      <c r="B159" s="1" t="s">
        <v>60</v>
      </c>
      <c r="C159" s="1">
        <v>2028</v>
      </c>
      <c r="D159" s="1">
        <v>26.815813210000002</v>
      </c>
    </row>
    <row r="160" spans="1:4" x14ac:dyDescent="0.35">
      <c r="A160" s="1" t="s">
        <v>204</v>
      </c>
      <c r="B160" s="1" t="s">
        <v>60</v>
      </c>
      <c r="C160" s="1">
        <v>2029</v>
      </c>
      <c r="D160" s="1">
        <v>26.781203080000001</v>
      </c>
    </row>
    <row r="161" spans="1:4" x14ac:dyDescent="0.35">
      <c r="A161" s="1" t="s">
        <v>204</v>
      </c>
      <c r="B161" s="1" t="s">
        <v>60</v>
      </c>
      <c r="C161" s="1">
        <v>2030</v>
      </c>
      <c r="D161" s="1">
        <v>26.782076750000002</v>
      </c>
    </row>
    <row r="162" spans="1:4" x14ac:dyDescent="0.35">
      <c r="A162" s="1" t="s">
        <v>204</v>
      </c>
      <c r="B162" s="1" t="s">
        <v>60</v>
      </c>
      <c r="C162" s="1">
        <v>2031</v>
      </c>
      <c r="D162" s="1">
        <v>26.82345943</v>
      </c>
    </row>
    <row r="163" spans="1:4" x14ac:dyDescent="0.35">
      <c r="A163" s="1" t="s">
        <v>204</v>
      </c>
      <c r="B163" s="1" t="s">
        <v>60</v>
      </c>
      <c r="C163" s="1">
        <v>2032</v>
      </c>
      <c r="D163" s="1">
        <v>26.886013999999999</v>
      </c>
    </row>
    <row r="164" spans="1:4" x14ac:dyDescent="0.35">
      <c r="A164" s="1" t="s">
        <v>204</v>
      </c>
      <c r="B164" s="1" t="s">
        <v>60</v>
      </c>
      <c r="C164" s="1">
        <v>2033</v>
      </c>
      <c r="D164" s="1">
        <v>26.959920790000002</v>
      </c>
    </row>
    <row r="165" spans="1:4" x14ac:dyDescent="0.35">
      <c r="A165" s="1" t="s">
        <v>204</v>
      </c>
      <c r="B165" s="1" t="s">
        <v>60</v>
      </c>
      <c r="C165" s="1">
        <v>2034</v>
      </c>
      <c r="D165" s="1">
        <v>26.973960730000002</v>
      </c>
    </row>
    <row r="166" spans="1:4" x14ac:dyDescent="0.35">
      <c r="A166" s="1" t="s">
        <v>204</v>
      </c>
      <c r="B166" s="1" t="s">
        <v>60</v>
      </c>
      <c r="C166" s="1">
        <v>2035</v>
      </c>
      <c r="D166" s="1">
        <v>28.443818889999999</v>
      </c>
    </row>
    <row r="167" spans="1:4" x14ac:dyDescent="0.35">
      <c r="A167" s="1" t="s">
        <v>204</v>
      </c>
      <c r="B167" s="1" t="s">
        <v>60</v>
      </c>
      <c r="C167" s="1">
        <v>2036</v>
      </c>
      <c r="D167" s="1">
        <v>30.240941889999998</v>
      </c>
    </row>
    <row r="168" spans="1:4" x14ac:dyDescent="0.35">
      <c r="A168" s="1" t="s">
        <v>204</v>
      </c>
      <c r="B168" s="1" t="s">
        <v>60</v>
      </c>
      <c r="C168" s="1">
        <v>2037</v>
      </c>
      <c r="D168" s="1">
        <v>30.35610024</v>
      </c>
    </row>
    <row r="169" spans="1:4" x14ac:dyDescent="0.35">
      <c r="A169" s="1" t="s">
        <v>204</v>
      </c>
      <c r="B169" s="1" t="s">
        <v>60</v>
      </c>
      <c r="C169" s="1">
        <v>2038</v>
      </c>
      <c r="D169" s="1">
        <v>30.40543435</v>
      </c>
    </row>
    <row r="170" spans="1:4" x14ac:dyDescent="0.35">
      <c r="A170" s="1" t="s">
        <v>204</v>
      </c>
      <c r="B170" s="1" t="s">
        <v>60</v>
      </c>
      <c r="C170" s="1">
        <v>2039</v>
      </c>
      <c r="D170" s="1">
        <v>27.144051300000001</v>
      </c>
    </row>
    <row r="171" spans="1:4" x14ac:dyDescent="0.35">
      <c r="A171" s="1" t="s">
        <v>204</v>
      </c>
      <c r="B171" s="1" t="s">
        <v>60</v>
      </c>
      <c r="C171" s="1">
        <v>2040</v>
      </c>
      <c r="D171" s="1">
        <v>34.199351640000003</v>
      </c>
    </row>
    <row r="172" spans="1:4" x14ac:dyDescent="0.35">
      <c r="A172" s="1" t="s">
        <v>204</v>
      </c>
      <c r="B172" s="1" t="s">
        <v>60</v>
      </c>
      <c r="C172" s="1">
        <v>2041</v>
      </c>
      <c r="D172" s="1">
        <v>39.148117069999998</v>
      </c>
    </row>
    <row r="173" spans="1:4" x14ac:dyDescent="0.35">
      <c r="A173" s="1" t="s">
        <v>204</v>
      </c>
      <c r="B173" s="1" t="s">
        <v>60</v>
      </c>
      <c r="C173" s="1">
        <v>2042</v>
      </c>
      <c r="D173" s="1">
        <v>39.393141870000001</v>
      </c>
    </row>
    <row r="174" spans="1:4" x14ac:dyDescent="0.35">
      <c r="A174" s="1" t="s">
        <v>204</v>
      </c>
      <c r="B174" s="1" t="s">
        <v>60</v>
      </c>
      <c r="C174" s="1">
        <v>2043</v>
      </c>
      <c r="D174" s="1">
        <v>41.045435529999999</v>
      </c>
    </row>
    <row r="175" spans="1:4" x14ac:dyDescent="0.35">
      <c r="A175" s="1" t="s">
        <v>204</v>
      </c>
      <c r="B175" s="1" t="s">
        <v>60</v>
      </c>
      <c r="C175" s="1">
        <v>2044</v>
      </c>
      <c r="D175" s="1">
        <v>41.603130700000001</v>
      </c>
    </row>
    <row r="176" spans="1:4" x14ac:dyDescent="0.35">
      <c r="A176" s="1" t="s">
        <v>204</v>
      </c>
      <c r="B176" s="1" t="s">
        <v>60</v>
      </c>
      <c r="C176" s="1">
        <v>2045</v>
      </c>
      <c r="D176" s="1">
        <v>41.774707560000003</v>
      </c>
    </row>
    <row r="177" spans="1:4" x14ac:dyDescent="0.35">
      <c r="A177" s="1" t="s">
        <v>204</v>
      </c>
      <c r="B177" s="1" t="s">
        <v>60</v>
      </c>
      <c r="C177" s="1">
        <v>2046</v>
      </c>
      <c r="D177" s="1">
        <v>41.806578469999998</v>
      </c>
    </row>
    <row r="178" spans="1:4" x14ac:dyDescent="0.35">
      <c r="A178" s="1" t="s">
        <v>204</v>
      </c>
      <c r="B178" s="1" t="s">
        <v>60</v>
      </c>
      <c r="C178" s="1">
        <v>2047</v>
      </c>
      <c r="D178" s="1">
        <v>41.810590550000001</v>
      </c>
    </row>
    <row r="179" spans="1:4" x14ac:dyDescent="0.35">
      <c r="A179" s="1" t="s">
        <v>204</v>
      </c>
      <c r="B179" s="1" t="s">
        <v>60</v>
      </c>
      <c r="C179" s="1">
        <v>2048</v>
      </c>
      <c r="D179" s="1">
        <v>41.91844949</v>
      </c>
    </row>
    <row r="180" spans="1:4" x14ac:dyDescent="0.35">
      <c r="A180" s="1" t="s">
        <v>204</v>
      </c>
      <c r="B180" s="1" t="s">
        <v>60</v>
      </c>
      <c r="C180" s="1">
        <v>2049</v>
      </c>
      <c r="D180" s="1">
        <v>41.91844949</v>
      </c>
    </row>
    <row r="181" spans="1:4" x14ac:dyDescent="0.35">
      <c r="A181" s="1" t="s">
        <v>204</v>
      </c>
      <c r="B181" s="1" t="s">
        <v>60</v>
      </c>
      <c r="C181" s="1">
        <v>2050</v>
      </c>
      <c r="D181" s="1">
        <v>41.91844949</v>
      </c>
    </row>
    <row r="182" spans="1:4" x14ac:dyDescent="0.35">
      <c r="A182" s="1" t="s">
        <v>204</v>
      </c>
      <c r="B182" s="1" t="s">
        <v>61</v>
      </c>
      <c r="C182" s="1">
        <v>2021</v>
      </c>
      <c r="D182" s="1">
        <v>27.933692310000001</v>
      </c>
    </row>
    <row r="183" spans="1:4" x14ac:dyDescent="0.35">
      <c r="A183" s="1" t="s">
        <v>204</v>
      </c>
      <c r="B183" s="1" t="s">
        <v>61</v>
      </c>
      <c r="C183" s="1">
        <v>2022</v>
      </c>
      <c r="D183" s="1">
        <v>28.394637240000002</v>
      </c>
    </row>
    <row r="184" spans="1:4" x14ac:dyDescent="0.35">
      <c r="A184" s="1" t="s">
        <v>204</v>
      </c>
      <c r="B184" s="1" t="s">
        <v>61</v>
      </c>
      <c r="C184" s="1">
        <v>2023</v>
      </c>
      <c r="D184" s="1">
        <v>28.88969015</v>
      </c>
    </row>
    <row r="185" spans="1:4" x14ac:dyDescent="0.35">
      <c r="A185" s="1" t="s">
        <v>204</v>
      </c>
      <c r="B185" s="1" t="s">
        <v>61</v>
      </c>
      <c r="C185" s="1">
        <v>2024</v>
      </c>
      <c r="D185" s="1">
        <v>29.50737449</v>
      </c>
    </row>
    <row r="186" spans="1:4" x14ac:dyDescent="0.35">
      <c r="A186" s="1" t="s">
        <v>204</v>
      </c>
      <c r="B186" s="1" t="s">
        <v>61</v>
      </c>
      <c r="C186" s="1">
        <v>2025</v>
      </c>
      <c r="D186" s="1">
        <v>30.268201399999999</v>
      </c>
    </row>
    <row r="187" spans="1:4" x14ac:dyDescent="0.35">
      <c r="A187" s="1" t="s">
        <v>204</v>
      </c>
      <c r="B187" s="1" t="s">
        <v>61</v>
      </c>
      <c r="C187" s="1">
        <v>2026</v>
      </c>
      <c r="D187" s="1">
        <v>31.248448929999999</v>
      </c>
    </row>
    <row r="188" spans="1:4" x14ac:dyDescent="0.35">
      <c r="A188" s="1" t="s">
        <v>204</v>
      </c>
      <c r="B188" s="1" t="s">
        <v>61</v>
      </c>
      <c r="C188" s="1">
        <v>2027</v>
      </c>
      <c r="D188" s="1">
        <v>32.099094260000001</v>
      </c>
    </row>
    <row r="189" spans="1:4" x14ac:dyDescent="0.35">
      <c r="A189" s="1" t="s">
        <v>204</v>
      </c>
      <c r="B189" s="1" t="s">
        <v>61</v>
      </c>
      <c r="C189" s="1">
        <v>2028</v>
      </c>
      <c r="D189" s="1">
        <v>32.633005580000003</v>
      </c>
    </row>
    <row r="190" spans="1:4" x14ac:dyDescent="0.35">
      <c r="A190" s="1" t="s">
        <v>204</v>
      </c>
      <c r="B190" s="1" t="s">
        <v>61</v>
      </c>
      <c r="C190" s="1">
        <v>2029</v>
      </c>
      <c r="D190" s="1">
        <v>32.969236739999999</v>
      </c>
    </row>
    <row r="191" spans="1:4" x14ac:dyDescent="0.35">
      <c r="A191" s="1" t="s">
        <v>204</v>
      </c>
      <c r="B191" s="1" t="s">
        <v>61</v>
      </c>
      <c r="C191" s="1">
        <v>2030</v>
      </c>
      <c r="D191" s="1">
        <v>33.232802900000003</v>
      </c>
    </row>
    <row r="192" spans="1:4" x14ac:dyDescent="0.35">
      <c r="A192" s="1" t="s">
        <v>204</v>
      </c>
      <c r="B192" s="1" t="s">
        <v>61</v>
      </c>
      <c r="C192" s="1">
        <v>2031</v>
      </c>
      <c r="D192" s="1">
        <v>33.500612740000001</v>
      </c>
    </row>
    <row r="193" spans="1:4" x14ac:dyDescent="0.35">
      <c r="A193" s="1" t="s">
        <v>204</v>
      </c>
      <c r="B193" s="1" t="s">
        <v>61</v>
      </c>
      <c r="C193" s="1">
        <v>2032</v>
      </c>
      <c r="D193" s="1">
        <v>33.768206079999999</v>
      </c>
    </row>
    <row r="194" spans="1:4" x14ac:dyDescent="0.35">
      <c r="A194" s="1" t="s">
        <v>204</v>
      </c>
      <c r="B194" s="1" t="s">
        <v>61</v>
      </c>
      <c r="C194" s="1">
        <v>2033</v>
      </c>
      <c r="D194" s="1">
        <v>34.034645619999999</v>
      </c>
    </row>
    <row r="195" spans="1:4" x14ac:dyDescent="0.35">
      <c r="A195" s="1" t="s">
        <v>204</v>
      </c>
      <c r="B195" s="1" t="s">
        <v>61</v>
      </c>
      <c r="C195" s="1">
        <v>2034</v>
      </c>
      <c r="D195" s="1">
        <v>34.245491739999999</v>
      </c>
    </row>
    <row r="196" spans="1:4" x14ac:dyDescent="0.35">
      <c r="A196" s="1" t="s">
        <v>204</v>
      </c>
      <c r="B196" s="1" t="s">
        <v>61</v>
      </c>
      <c r="C196" s="1">
        <v>2035</v>
      </c>
      <c r="D196" s="1">
        <v>34.48686197</v>
      </c>
    </row>
    <row r="197" spans="1:4" x14ac:dyDescent="0.35">
      <c r="A197" s="1" t="s">
        <v>204</v>
      </c>
      <c r="B197" s="1" t="s">
        <v>61</v>
      </c>
      <c r="C197" s="1">
        <v>2036</v>
      </c>
      <c r="D197" s="1">
        <v>34.715605400000001</v>
      </c>
    </row>
    <row r="198" spans="1:4" x14ac:dyDescent="0.35">
      <c r="A198" s="1" t="s">
        <v>204</v>
      </c>
      <c r="B198" s="1" t="s">
        <v>61</v>
      </c>
      <c r="C198" s="1">
        <v>2037</v>
      </c>
      <c r="D198" s="1">
        <v>34.910604939999999</v>
      </c>
    </row>
    <row r="199" spans="1:4" x14ac:dyDescent="0.35">
      <c r="A199" s="1" t="s">
        <v>204</v>
      </c>
      <c r="B199" s="1" t="s">
        <v>61</v>
      </c>
      <c r="C199" s="1">
        <v>2038</v>
      </c>
      <c r="D199" s="1">
        <v>35.046656429999999</v>
      </c>
    </row>
    <row r="200" spans="1:4" x14ac:dyDescent="0.35">
      <c r="A200" s="1" t="s">
        <v>204</v>
      </c>
      <c r="B200" s="1" t="s">
        <v>61</v>
      </c>
      <c r="C200" s="1">
        <v>2039</v>
      </c>
      <c r="D200" s="1">
        <v>35.139458589999997</v>
      </c>
    </row>
    <row r="201" spans="1:4" x14ac:dyDescent="0.35">
      <c r="A201" s="1" t="s">
        <v>204</v>
      </c>
      <c r="B201" s="1" t="s">
        <v>61</v>
      </c>
      <c r="C201" s="1">
        <v>2040</v>
      </c>
      <c r="D201" s="1">
        <v>35.235427250000001</v>
      </c>
    </row>
    <row r="202" spans="1:4" x14ac:dyDescent="0.35">
      <c r="A202" s="1" t="s">
        <v>204</v>
      </c>
      <c r="B202" s="1" t="s">
        <v>61</v>
      </c>
      <c r="C202" s="1">
        <v>2041</v>
      </c>
      <c r="D202" s="1">
        <v>35.305542549999998</v>
      </c>
    </row>
    <row r="203" spans="1:4" x14ac:dyDescent="0.35">
      <c r="A203" s="1" t="s">
        <v>204</v>
      </c>
      <c r="B203" s="1" t="s">
        <v>61</v>
      </c>
      <c r="C203" s="1">
        <v>2042</v>
      </c>
      <c r="D203" s="1">
        <v>35.397281739999997</v>
      </c>
    </row>
    <row r="204" spans="1:4" x14ac:dyDescent="0.35">
      <c r="A204" s="1" t="s">
        <v>204</v>
      </c>
      <c r="B204" s="1" t="s">
        <v>61</v>
      </c>
      <c r="C204" s="1">
        <v>2043</v>
      </c>
      <c r="D204" s="1">
        <v>35.426112940000003</v>
      </c>
    </row>
    <row r="205" spans="1:4" x14ac:dyDescent="0.35">
      <c r="A205" s="1" t="s">
        <v>204</v>
      </c>
      <c r="B205" s="1" t="s">
        <v>61</v>
      </c>
      <c r="C205" s="1">
        <v>2044</v>
      </c>
      <c r="D205" s="1">
        <v>35.435991090000002</v>
      </c>
    </row>
    <row r="206" spans="1:4" x14ac:dyDescent="0.35">
      <c r="A206" s="1" t="s">
        <v>204</v>
      </c>
      <c r="B206" s="1" t="s">
        <v>61</v>
      </c>
      <c r="C206" s="1">
        <v>2045</v>
      </c>
      <c r="D206" s="1">
        <v>35.438293639999998</v>
      </c>
    </row>
    <row r="207" spans="1:4" x14ac:dyDescent="0.35">
      <c r="A207" s="1" t="s">
        <v>204</v>
      </c>
      <c r="B207" s="1" t="s">
        <v>61</v>
      </c>
      <c r="C207" s="1">
        <v>2046</v>
      </c>
      <c r="D207" s="1">
        <v>35.411319689999999</v>
      </c>
    </row>
    <row r="208" spans="1:4" x14ac:dyDescent="0.35">
      <c r="A208" s="1" t="s">
        <v>204</v>
      </c>
      <c r="B208" s="1" t="s">
        <v>61</v>
      </c>
      <c r="C208" s="1">
        <v>2047</v>
      </c>
      <c r="D208" s="1">
        <v>35.379321969999999</v>
      </c>
    </row>
    <row r="209" spans="1:4" x14ac:dyDescent="0.35">
      <c r="A209" s="1" t="s">
        <v>204</v>
      </c>
      <c r="B209" s="1" t="s">
        <v>61</v>
      </c>
      <c r="C209" s="1">
        <v>2048</v>
      </c>
      <c r="D209" s="1">
        <v>35.346394750000002</v>
      </c>
    </row>
    <row r="210" spans="1:4" x14ac:dyDescent="0.35">
      <c r="A210" s="1" t="s">
        <v>204</v>
      </c>
      <c r="B210" s="1" t="s">
        <v>61</v>
      </c>
      <c r="C210" s="1">
        <v>2049</v>
      </c>
      <c r="D210" s="1">
        <v>35.30904151</v>
      </c>
    </row>
    <row r="211" spans="1:4" x14ac:dyDescent="0.35">
      <c r="A211" s="1" t="s">
        <v>204</v>
      </c>
      <c r="B211" s="1" t="s">
        <v>61</v>
      </c>
      <c r="C211" s="1">
        <v>2050</v>
      </c>
      <c r="D211" s="1">
        <v>35.269476169999997</v>
      </c>
    </row>
    <row r="212" spans="1:4" x14ac:dyDescent="0.35">
      <c r="A212" s="1" t="s">
        <v>204</v>
      </c>
      <c r="B212" s="1" t="s">
        <v>62</v>
      </c>
      <c r="C212" s="1">
        <v>2021</v>
      </c>
      <c r="D212" s="1">
        <v>43.107237159999997</v>
      </c>
    </row>
    <row r="213" spans="1:4" x14ac:dyDescent="0.35">
      <c r="A213" s="1" t="s">
        <v>204</v>
      </c>
      <c r="B213" s="1" t="s">
        <v>62</v>
      </c>
      <c r="C213" s="1">
        <v>2022</v>
      </c>
      <c r="D213" s="1">
        <v>44.015375810000002</v>
      </c>
    </row>
    <row r="214" spans="1:4" x14ac:dyDescent="0.35">
      <c r="A214" s="1" t="s">
        <v>204</v>
      </c>
      <c r="B214" s="1" t="s">
        <v>62</v>
      </c>
      <c r="C214" s="1">
        <v>2023</v>
      </c>
      <c r="D214" s="1">
        <v>44.841266679999997</v>
      </c>
    </row>
    <row r="215" spans="1:4" x14ac:dyDescent="0.35">
      <c r="A215" s="1" t="s">
        <v>204</v>
      </c>
      <c r="B215" s="1" t="s">
        <v>62</v>
      </c>
      <c r="C215" s="1">
        <v>2024</v>
      </c>
      <c r="D215" s="1">
        <v>45.563261130000001</v>
      </c>
    </row>
    <row r="216" spans="1:4" x14ac:dyDescent="0.35">
      <c r="A216" s="1" t="s">
        <v>204</v>
      </c>
      <c r="B216" s="1" t="s">
        <v>62</v>
      </c>
      <c r="C216" s="1">
        <v>2025</v>
      </c>
      <c r="D216" s="1">
        <v>46.248355119999999</v>
      </c>
    </row>
    <row r="217" spans="1:4" x14ac:dyDescent="0.35">
      <c r="A217" s="1" t="s">
        <v>204</v>
      </c>
      <c r="B217" s="1" t="s">
        <v>62</v>
      </c>
      <c r="C217" s="1">
        <v>2026</v>
      </c>
      <c r="D217" s="1">
        <v>46.91308815</v>
      </c>
    </row>
    <row r="218" spans="1:4" x14ac:dyDescent="0.35">
      <c r="A218" s="1" t="s">
        <v>204</v>
      </c>
      <c r="B218" s="1" t="s">
        <v>62</v>
      </c>
      <c r="C218" s="1">
        <v>2027</v>
      </c>
      <c r="D218" s="1">
        <v>47.532745720000001</v>
      </c>
    </row>
    <row r="219" spans="1:4" x14ac:dyDescent="0.35">
      <c r="A219" s="1" t="s">
        <v>204</v>
      </c>
      <c r="B219" s="1" t="s">
        <v>62</v>
      </c>
      <c r="C219" s="1">
        <v>2028</v>
      </c>
      <c r="D219" s="1">
        <v>48.114637430000002</v>
      </c>
    </row>
    <row r="220" spans="1:4" x14ac:dyDescent="0.35">
      <c r="A220" s="1" t="s">
        <v>204</v>
      </c>
      <c r="B220" s="1" t="s">
        <v>62</v>
      </c>
      <c r="C220" s="1">
        <v>2029</v>
      </c>
      <c r="D220" s="1">
        <v>48.691613369999999</v>
      </c>
    </row>
    <row r="221" spans="1:4" x14ac:dyDescent="0.35">
      <c r="A221" s="1" t="s">
        <v>204</v>
      </c>
      <c r="B221" s="1" t="s">
        <v>62</v>
      </c>
      <c r="C221" s="1">
        <v>2030</v>
      </c>
      <c r="D221" s="1">
        <v>49.24853186</v>
      </c>
    </row>
    <row r="222" spans="1:4" x14ac:dyDescent="0.35">
      <c r="A222" s="1" t="s">
        <v>204</v>
      </c>
      <c r="B222" s="1" t="s">
        <v>62</v>
      </c>
      <c r="C222" s="1">
        <v>2031</v>
      </c>
      <c r="D222" s="1">
        <v>49.793239130000003</v>
      </c>
    </row>
    <row r="223" spans="1:4" x14ac:dyDescent="0.35">
      <c r="A223" s="1" t="s">
        <v>204</v>
      </c>
      <c r="B223" s="1" t="s">
        <v>62</v>
      </c>
      <c r="C223" s="1">
        <v>2032</v>
      </c>
      <c r="D223" s="1">
        <v>50.33789831</v>
      </c>
    </row>
    <row r="224" spans="1:4" x14ac:dyDescent="0.35">
      <c r="A224" s="1" t="s">
        <v>204</v>
      </c>
      <c r="B224" s="1" t="s">
        <v>62</v>
      </c>
      <c r="C224" s="1">
        <v>2033</v>
      </c>
      <c r="D224" s="1">
        <v>50.848244010000002</v>
      </c>
    </row>
    <row r="225" spans="1:4" x14ac:dyDescent="0.35">
      <c r="A225" s="1" t="s">
        <v>204</v>
      </c>
      <c r="B225" s="1" t="s">
        <v>62</v>
      </c>
      <c r="C225" s="1">
        <v>2034</v>
      </c>
      <c r="D225" s="1">
        <v>51.334480880000001</v>
      </c>
    </row>
    <row r="226" spans="1:4" x14ac:dyDescent="0.35">
      <c r="A226" s="1" t="s">
        <v>204</v>
      </c>
      <c r="B226" s="1" t="s">
        <v>62</v>
      </c>
      <c r="C226" s="1">
        <v>2035</v>
      </c>
      <c r="D226" s="1">
        <v>51.836282650000001</v>
      </c>
    </row>
    <row r="227" spans="1:4" x14ac:dyDescent="0.35">
      <c r="A227" s="1" t="s">
        <v>204</v>
      </c>
      <c r="B227" s="1" t="s">
        <v>62</v>
      </c>
      <c r="C227" s="1">
        <v>2036</v>
      </c>
      <c r="D227" s="1">
        <v>52.292152059999999</v>
      </c>
    </row>
    <row r="228" spans="1:4" x14ac:dyDescent="0.35">
      <c r="A228" s="1" t="s">
        <v>204</v>
      </c>
      <c r="B228" s="1" t="s">
        <v>62</v>
      </c>
      <c r="C228" s="1">
        <v>2037</v>
      </c>
      <c r="D228" s="1">
        <v>52.778283510000001</v>
      </c>
    </row>
    <row r="229" spans="1:4" x14ac:dyDescent="0.35">
      <c r="A229" s="1" t="s">
        <v>204</v>
      </c>
      <c r="B229" s="1" t="s">
        <v>62</v>
      </c>
      <c r="C229" s="1">
        <v>2038</v>
      </c>
      <c r="D229" s="1">
        <v>53.069786309999998</v>
      </c>
    </row>
    <row r="230" spans="1:4" x14ac:dyDescent="0.35">
      <c r="A230" s="1" t="s">
        <v>204</v>
      </c>
      <c r="B230" s="1" t="s">
        <v>62</v>
      </c>
      <c r="C230" s="1">
        <v>2039</v>
      </c>
      <c r="D230" s="1">
        <v>53.284188069999999</v>
      </c>
    </row>
    <row r="231" spans="1:4" x14ac:dyDescent="0.35">
      <c r="A231" s="1" t="s">
        <v>204</v>
      </c>
      <c r="B231" s="1" t="s">
        <v>62</v>
      </c>
      <c r="C231" s="1">
        <v>2040</v>
      </c>
      <c r="D231" s="1">
        <v>53.494748979999997</v>
      </c>
    </row>
    <row r="232" spans="1:4" x14ac:dyDescent="0.35">
      <c r="A232" s="1" t="s">
        <v>204</v>
      </c>
      <c r="B232" s="1" t="s">
        <v>62</v>
      </c>
      <c r="C232" s="1">
        <v>2041</v>
      </c>
      <c r="D232" s="1">
        <v>53.629712769999998</v>
      </c>
    </row>
    <row r="233" spans="1:4" x14ac:dyDescent="0.35">
      <c r="A233" s="1" t="s">
        <v>204</v>
      </c>
      <c r="B233" s="1" t="s">
        <v>62</v>
      </c>
      <c r="C233" s="1">
        <v>2042</v>
      </c>
      <c r="D233" s="1">
        <v>53.721450079999997</v>
      </c>
    </row>
    <row r="234" spans="1:4" x14ac:dyDescent="0.35">
      <c r="A234" s="1" t="s">
        <v>204</v>
      </c>
      <c r="B234" s="1" t="s">
        <v>62</v>
      </c>
      <c r="C234" s="1">
        <v>2043</v>
      </c>
      <c r="D234" s="1">
        <v>53.749342009999999</v>
      </c>
    </row>
    <row r="235" spans="1:4" x14ac:dyDescent="0.35">
      <c r="A235" s="1" t="s">
        <v>204</v>
      </c>
      <c r="B235" s="1" t="s">
        <v>62</v>
      </c>
      <c r="C235" s="1">
        <v>2044</v>
      </c>
      <c r="D235" s="1">
        <v>53.749913429999999</v>
      </c>
    </row>
    <row r="236" spans="1:4" x14ac:dyDescent="0.35">
      <c r="A236" s="1" t="s">
        <v>204</v>
      </c>
      <c r="B236" s="1" t="s">
        <v>62</v>
      </c>
      <c r="C236" s="1">
        <v>2045</v>
      </c>
      <c r="D236" s="1">
        <v>53.750839020000001</v>
      </c>
    </row>
    <row r="237" spans="1:4" x14ac:dyDescent="0.35">
      <c r="A237" s="1" t="s">
        <v>204</v>
      </c>
      <c r="B237" s="1" t="s">
        <v>62</v>
      </c>
      <c r="C237" s="1">
        <v>2046</v>
      </c>
      <c r="D237" s="1">
        <v>53.704600689999999</v>
      </c>
    </row>
    <row r="238" spans="1:4" x14ac:dyDescent="0.35">
      <c r="A238" s="1" t="s">
        <v>204</v>
      </c>
      <c r="B238" s="1" t="s">
        <v>62</v>
      </c>
      <c r="C238" s="1">
        <v>2047</v>
      </c>
      <c r="D238" s="1">
        <v>53.651452159999998</v>
      </c>
    </row>
    <row r="239" spans="1:4" x14ac:dyDescent="0.35">
      <c r="A239" s="1" t="s">
        <v>204</v>
      </c>
      <c r="B239" s="1" t="s">
        <v>62</v>
      </c>
      <c r="C239" s="1">
        <v>2048</v>
      </c>
      <c r="D239" s="1">
        <v>53.599888</v>
      </c>
    </row>
    <row r="240" spans="1:4" x14ac:dyDescent="0.35">
      <c r="A240" s="1" t="s">
        <v>204</v>
      </c>
      <c r="B240" s="1" t="s">
        <v>62</v>
      </c>
      <c r="C240" s="1">
        <v>2049</v>
      </c>
      <c r="D240" s="1">
        <v>53.543081729999997</v>
      </c>
    </row>
    <row r="241" spans="1:4" x14ac:dyDescent="0.35">
      <c r="A241" s="1" t="s">
        <v>204</v>
      </c>
      <c r="B241" s="1" t="s">
        <v>62</v>
      </c>
      <c r="C241" s="1">
        <v>2050</v>
      </c>
      <c r="D241" s="1">
        <v>53.482245800000001</v>
      </c>
    </row>
    <row r="242" spans="1:4" x14ac:dyDescent="0.35">
      <c r="A242" s="1" t="s">
        <v>204</v>
      </c>
      <c r="B242" s="1" t="s">
        <v>63</v>
      </c>
      <c r="C242" s="1">
        <v>2021</v>
      </c>
      <c r="D242" s="1">
        <v>48.611403240000001</v>
      </c>
    </row>
    <row r="243" spans="1:4" x14ac:dyDescent="0.35">
      <c r="A243" s="1" t="s">
        <v>204</v>
      </c>
      <c r="B243" s="1" t="s">
        <v>63</v>
      </c>
      <c r="C243" s="1">
        <v>2022</v>
      </c>
      <c r="D243" s="1">
        <v>49.364684760000003</v>
      </c>
    </row>
    <row r="244" spans="1:4" x14ac:dyDescent="0.35">
      <c r="A244" s="1" t="s">
        <v>204</v>
      </c>
      <c r="B244" s="1" t="s">
        <v>63</v>
      </c>
      <c r="C244" s="1">
        <v>2023</v>
      </c>
      <c r="D244" s="1">
        <v>49.674078790000003</v>
      </c>
    </row>
    <row r="245" spans="1:4" x14ac:dyDescent="0.35">
      <c r="A245" s="1" t="s">
        <v>204</v>
      </c>
      <c r="B245" s="1" t="s">
        <v>63</v>
      </c>
      <c r="C245" s="1">
        <v>2024</v>
      </c>
      <c r="D245" s="1">
        <v>49.847226409999998</v>
      </c>
    </row>
    <row r="246" spans="1:4" x14ac:dyDescent="0.35">
      <c r="A246" s="1" t="s">
        <v>204</v>
      </c>
      <c r="B246" s="1" t="s">
        <v>63</v>
      </c>
      <c r="C246" s="1">
        <v>2025</v>
      </c>
      <c r="D246" s="1">
        <v>50.054982889999998</v>
      </c>
    </row>
    <row r="247" spans="1:4" x14ac:dyDescent="0.35">
      <c r="A247" s="1" t="s">
        <v>204</v>
      </c>
      <c r="B247" s="1" t="s">
        <v>63</v>
      </c>
      <c r="C247" s="1">
        <v>2026</v>
      </c>
      <c r="D247" s="1">
        <v>50.310790859999997</v>
      </c>
    </row>
    <row r="248" spans="1:4" x14ac:dyDescent="0.35">
      <c r="A248" s="1" t="s">
        <v>204</v>
      </c>
      <c r="B248" s="1" t="s">
        <v>63</v>
      </c>
      <c r="C248" s="1">
        <v>2027</v>
      </c>
      <c r="D248" s="1">
        <v>50.58640716</v>
      </c>
    </row>
    <row r="249" spans="1:4" x14ac:dyDescent="0.35">
      <c r="A249" s="1" t="s">
        <v>204</v>
      </c>
      <c r="B249" s="1" t="s">
        <v>63</v>
      </c>
      <c r="C249" s="1">
        <v>2028</v>
      </c>
      <c r="D249" s="1">
        <v>50.86770302</v>
      </c>
    </row>
    <row r="250" spans="1:4" x14ac:dyDescent="0.35">
      <c r="A250" s="1" t="s">
        <v>204</v>
      </c>
      <c r="B250" s="1" t="s">
        <v>63</v>
      </c>
      <c r="C250" s="1">
        <v>2029</v>
      </c>
      <c r="D250" s="1">
        <v>51.185939679999997</v>
      </c>
    </row>
    <row r="251" spans="1:4" x14ac:dyDescent="0.35">
      <c r="A251" s="1" t="s">
        <v>204</v>
      </c>
      <c r="B251" s="1" t="s">
        <v>63</v>
      </c>
      <c r="C251" s="1">
        <v>2030</v>
      </c>
      <c r="D251" s="1">
        <v>51.521815459999999</v>
      </c>
    </row>
    <row r="252" spans="1:4" x14ac:dyDescent="0.35">
      <c r="A252" s="1" t="s">
        <v>204</v>
      </c>
      <c r="B252" s="1" t="s">
        <v>63</v>
      </c>
      <c r="C252" s="1">
        <v>2031</v>
      </c>
      <c r="D252" s="1">
        <v>51.88546229</v>
      </c>
    </row>
    <row r="253" spans="1:4" x14ac:dyDescent="0.35">
      <c r="A253" s="1" t="s">
        <v>204</v>
      </c>
      <c r="B253" s="1" t="s">
        <v>63</v>
      </c>
      <c r="C253" s="1">
        <v>2032</v>
      </c>
      <c r="D253" s="1">
        <v>52.279140390000002</v>
      </c>
    </row>
    <row r="254" spans="1:4" x14ac:dyDescent="0.35">
      <c r="A254" s="1" t="s">
        <v>204</v>
      </c>
      <c r="B254" s="1" t="s">
        <v>63</v>
      </c>
      <c r="C254" s="1">
        <v>2033</v>
      </c>
      <c r="D254" s="1">
        <v>52.671177479999997</v>
      </c>
    </row>
    <row r="255" spans="1:4" x14ac:dyDescent="0.35">
      <c r="A255" s="1" t="s">
        <v>204</v>
      </c>
      <c r="B255" s="1" t="s">
        <v>63</v>
      </c>
      <c r="C255" s="1">
        <v>2034</v>
      </c>
      <c r="D255" s="1">
        <v>53.058382229999999</v>
      </c>
    </row>
    <row r="256" spans="1:4" x14ac:dyDescent="0.35">
      <c r="A256" s="1" t="s">
        <v>204</v>
      </c>
      <c r="B256" s="1" t="s">
        <v>63</v>
      </c>
      <c r="C256" s="1">
        <v>2035</v>
      </c>
      <c r="D256" s="1">
        <v>53.482701030000001</v>
      </c>
    </row>
    <row r="257" spans="1:4" x14ac:dyDescent="0.35">
      <c r="A257" s="1" t="s">
        <v>204</v>
      </c>
      <c r="B257" s="1" t="s">
        <v>63</v>
      </c>
      <c r="C257" s="1">
        <v>2036</v>
      </c>
      <c r="D257" s="1">
        <v>53.874939230000003</v>
      </c>
    </row>
    <row r="258" spans="1:4" x14ac:dyDescent="0.35">
      <c r="A258" s="1" t="s">
        <v>204</v>
      </c>
      <c r="B258" s="1" t="s">
        <v>63</v>
      </c>
      <c r="C258" s="1">
        <v>2037</v>
      </c>
      <c r="D258" s="1">
        <v>54.240209849999999</v>
      </c>
    </row>
    <row r="259" spans="1:4" x14ac:dyDescent="0.35">
      <c r="A259" s="1" t="s">
        <v>204</v>
      </c>
      <c r="B259" s="1" t="s">
        <v>63</v>
      </c>
      <c r="C259" s="1">
        <v>2038</v>
      </c>
      <c r="D259" s="1">
        <v>54.495625599999997</v>
      </c>
    </row>
    <row r="260" spans="1:4" x14ac:dyDescent="0.35">
      <c r="A260" s="1" t="s">
        <v>204</v>
      </c>
      <c r="B260" s="1" t="s">
        <v>63</v>
      </c>
      <c r="C260" s="1">
        <v>2039</v>
      </c>
      <c r="D260" s="1">
        <v>54.688861879999997</v>
      </c>
    </row>
    <row r="261" spans="1:4" x14ac:dyDescent="0.35">
      <c r="A261" s="1" t="s">
        <v>204</v>
      </c>
      <c r="B261" s="1" t="s">
        <v>63</v>
      </c>
      <c r="C261" s="1">
        <v>2040</v>
      </c>
      <c r="D261" s="1">
        <v>54.871040999999998</v>
      </c>
    </row>
    <row r="262" spans="1:4" x14ac:dyDescent="0.35">
      <c r="A262" s="1" t="s">
        <v>204</v>
      </c>
      <c r="B262" s="1" t="s">
        <v>63</v>
      </c>
      <c r="C262" s="1">
        <v>2041</v>
      </c>
      <c r="D262" s="1">
        <v>55.012659399999997</v>
      </c>
    </row>
    <row r="263" spans="1:4" x14ac:dyDescent="0.35">
      <c r="A263" s="1" t="s">
        <v>204</v>
      </c>
      <c r="B263" s="1" t="s">
        <v>63</v>
      </c>
      <c r="C263" s="1">
        <v>2042</v>
      </c>
      <c r="D263" s="1">
        <v>55.119380450000001</v>
      </c>
    </row>
    <row r="264" spans="1:4" x14ac:dyDescent="0.35">
      <c r="A264" s="1" t="s">
        <v>204</v>
      </c>
      <c r="B264" s="1" t="s">
        <v>63</v>
      </c>
      <c r="C264" s="1">
        <v>2043</v>
      </c>
      <c r="D264" s="1">
        <v>55.162180589999998</v>
      </c>
    </row>
    <row r="265" spans="1:4" x14ac:dyDescent="0.35">
      <c r="A265" s="1" t="s">
        <v>204</v>
      </c>
      <c r="B265" s="1" t="s">
        <v>63</v>
      </c>
      <c r="C265" s="1">
        <v>2044</v>
      </c>
      <c r="D265" s="1">
        <v>55.191935970000003</v>
      </c>
    </row>
    <row r="266" spans="1:4" x14ac:dyDescent="0.35">
      <c r="A266" s="1" t="s">
        <v>204</v>
      </c>
      <c r="B266" s="1" t="s">
        <v>63</v>
      </c>
      <c r="C266" s="1">
        <v>2045</v>
      </c>
      <c r="D266" s="1">
        <v>55.215387560000003</v>
      </c>
    </row>
    <row r="267" spans="1:4" x14ac:dyDescent="0.35">
      <c r="A267" s="1" t="s">
        <v>204</v>
      </c>
      <c r="B267" s="1" t="s">
        <v>63</v>
      </c>
      <c r="C267" s="1">
        <v>2046</v>
      </c>
      <c r="D267" s="1">
        <v>55.191552819999998</v>
      </c>
    </row>
    <row r="268" spans="1:4" x14ac:dyDescent="0.35">
      <c r="A268" s="1" t="s">
        <v>204</v>
      </c>
      <c r="B268" s="1" t="s">
        <v>63</v>
      </c>
      <c r="C268" s="1">
        <v>2047</v>
      </c>
      <c r="D268" s="1">
        <v>55.154466290000002</v>
      </c>
    </row>
    <row r="269" spans="1:4" x14ac:dyDescent="0.35">
      <c r="A269" s="1" t="s">
        <v>204</v>
      </c>
      <c r="B269" s="1" t="s">
        <v>63</v>
      </c>
      <c r="C269" s="1">
        <v>2048</v>
      </c>
      <c r="D269" s="1">
        <v>55.118605010000003</v>
      </c>
    </row>
    <row r="270" spans="1:4" x14ac:dyDescent="0.35">
      <c r="A270" s="1" t="s">
        <v>204</v>
      </c>
      <c r="B270" s="1" t="s">
        <v>63</v>
      </c>
      <c r="C270" s="1">
        <v>2049</v>
      </c>
      <c r="D270" s="1">
        <v>55.078773859999998</v>
      </c>
    </row>
    <row r="271" spans="1:4" x14ac:dyDescent="0.35">
      <c r="A271" s="1" t="s">
        <v>204</v>
      </c>
      <c r="B271" s="1" t="s">
        <v>63</v>
      </c>
      <c r="C271" s="1">
        <v>2050</v>
      </c>
      <c r="D271" s="1">
        <v>55.035741020000003</v>
      </c>
    </row>
    <row r="272" spans="1:4" x14ac:dyDescent="0.35">
      <c r="A272" s="1" t="s">
        <v>204</v>
      </c>
      <c r="B272" s="1" t="s">
        <v>64</v>
      </c>
      <c r="C272" s="1">
        <v>2021</v>
      </c>
      <c r="D272" s="1">
        <v>61.794917030000001</v>
      </c>
    </row>
    <row r="273" spans="1:4" x14ac:dyDescent="0.35">
      <c r="A273" s="1" t="s">
        <v>204</v>
      </c>
      <c r="B273" s="1" t="s">
        <v>64</v>
      </c>
      <c r="C273" s="1">
        <v>2022</v>
      </c>
      <c r="D273" s="1">
        <v>61.449825089999997</v>
      </c>
    </row>
    <row r="274" spans="1:4" x14ac:dyDescent="0.35">
      <c r="A274" s="1" t="s">
        <v>204</v>
      </c>
      <c r="B274" s="1" t="s">
        <v>64</v>
      </c>
      <c r="C274" s="1">
        <v>2023</v>
      </c>
      <c r="D274" s="1">
        <v>61.128352319999998</v>
      </c>
    </row>
    <row r="275" spans="1:4" x14ac:dyDescent="0.35">
      <c r="A275" s="1" t="s">
        <v>204</v>
      </c>
      <c r="B275" s="1" t="s">
        <v>64</v>
      </c>
      <c r="C275" s="1">
        <v>2024</v>
      </c>
      <c r="D275" s="1">
        <v>60.87293365</v>
      </c>
    </row>
    <row r="276" spans="1:4" x14ac:dyDescent="0.35">
      <c r="A276" s="1" t="s">
        <v>204</v>
      </c>
      <c r="B276" s="1" t="s">
        <v>64</v>
      </c>
      <c r="C276" s="1">
        <v>2025</v>
      </c>
      <c r="D276" s="1">
        <v>60.722217739999998</v>
      </c>
    </row>
    <row r="277" spans="1:4" x14ac:dyDescent="0.35">
      <c r="A277" s="1" t="s">
        <v>204</v>
      </c>
      <c r="B277" s="1" t="s">
        <v>64</v>
      </c>
      <c r="C277" s="1">
        <v>2026</v>
      </c>
      <c r="D277" s="1">
        <v>60.722494930000003</v>
      </c>
    </row>
    <row r="278" spans="1:4" x14ac:dyDescent="0.35">
      <c r="A278" s="1" t="s">
        <v>204</v>
      </c>
      <c r="B278" s="1" t="s">
        <v>64</v>
      </c>
      <c r="C278" s="1">
        <v>2027</v>
      </c>
      <c r="D278" s="1">
        <v>60.895016490000003</v>
      </c>
    </row>
    <row r="279" spans="1:4" x14ac:dyDescent="0.35">
      <c r="A279" s="1" t="s">
        <v>204</v>
      </c>
      <c r="B279" s="1" t="s">
        <v>64</v>
      </c>
      <c r="C279" s="1">
        <v>2028</v>
      </c>
      <c r="D279" s="1">
        <v>61.23660718</v>
      </c>
    </row>
    <row r="280" spans="1:4" x14ac:dyDescent="0.35">
      <c r="A280" s="1" t="s">
        <v>204</v>
      </c>
      <c r="B280" s="1" t="s">
        <v>64</v>
      </c>
      <c r="C280" s="1">
        <v>2029</v>
      </c>
      <c r="D280" s="1">
        <v>61.774234540000002</v>
      </c>
    </row>
    <row r="281" spans="1:4" x14ac:dyDescent="0.35">
      <c r="A281" s="1" t="s">
        <v>204</v>
      </c>
      <c r="B281" s="1" t="s">
        <v>64</v>
      </c>
      <c r="C281" s="1">
        <v>2030</v>
      </c>
      <c r="D281" s="1">
        <v>62.473012199999999</v>
      </c>
    </row>
    <row r="282" spans="1:4" x14ac:dyDescent="0.35">
      <c r="A282" s="1" t="s">
        <v>204</v>
      </c>
      <c r="B282" s="1" t="s">
        <v>64</v>
      </c>
      <c r="C282" s="1">
        <v>2031</v>
      </c>
      <c r="D282" s="1">
        <v>63.333121249999998</v>
      </c>
    </row>
    <row r="283" spans="1:4" x14ac:dyDescent="0.35">
      <c r="A283" s="1" t="s">
        <v>204</v>
      </c>
      <c r="B283" s="1" t="s">
        <v>64</v>
      </c>
      <c r="C283" s="1">
        <v>2032</v>
      </c>
      <c r="D283" s="1">
        <v>64.340867579999994</v>
      </c>
    </row>
    <row r="284" spans="1:4" x14ac:dyDescent="0.35">
      <c r="A284" s="1" t="s">
        <v>204</v>
      </c>
      <c r="B284" s="1" t="s">
        <v>64</v>
      </c>
      <c r="C284" s="1">
        <v>2033</v>
      </c>
      <c r="D284" s="1">
        <v>65.443008480000003</v>
      </c>
    </row>
    <row r="285" spans="1:4" x14ac:dyDescent="0.35">
      <c r="A285" s="1" t="s">
        <v>204</v>
      </c>
      <c r="B285" s="1" t="s">
        <v>64</v>
      </c>
      <c r="C285" s="1">
        <v>2034</v>
      </c>
      <c r="D285" s="1">
        <v>66.604120179999995</v>
      </c>
    </row>
    <row r="286" spans="1:4" x14ac:dyDescent="0.35">
      <c r="A286" s="1" t="s">
        <v>204</v>
      </c>
      <c r="B286" s="1" t="s">
        <v>64</v>
      </c>
      <c r="C286" s="1">
        <v>2035</v>
      </c>
      <c r="D286" s="1">
        <v>67.850679450000001</v>
      </c>
    </row>
    <row r="287" spans="1:4" x14ac:dyDescent="0.35">
      <c r="A287" s="1" t="s">
        <v>204</v>
      </c>
      <c r="B287" s="1" t="s">
        <v>64</v>
      </c>
      <c r="C287" s="1">
        <v>2036</v>
      </c>
      <c r="D287" s="1">
        <v>69.084526299999993</v>
      </c>
    </row>
    <row r="288" spans="1:4" x14ac:dyDescent="0.35">
      <c r="A288" s="1" t="s">
        <v>204</v>
      </c>
      <c r="B288" s="1" t="s">
        <v>64</v>
      </c>
      <c r="C288" s="1">
        <v>2037</v>
      </c>
      <c r="D288" s="1">
        <v>70.519563640000001</v>
      </c>
    </row>
    <row r="289" spans="1:4" x14ac:dyDescent="0.35">
      <c r="A289" s="1" t="s">
        <v>204</v>
      </c>
      <c r="B289" s="1" t="s">
        <v>64</v>
      </c>
      <c r="C289" s="1">
        <v>2038</v>
      </c>
      <c r="D289" s="1">
        <v>71.530046949999999</v>
      </c>
    </row>
    <row r="290" spans="1:4" x14ac:dyDescent="0.35">
      <c r="A290" s="1" t="s">
        <v>204</v>
      </c>
      <c r="B290" s="1" t="s">
        <v>64</v>
      </c>
      <c r="C290" s="1">
        <v>2039</v>
      </c>
      <c r="D290" s="1">
        <v>72.389127869999996</v>
      </c>
    </row>
    <row r="291" spans="1:4" x14ac:dyDescent="0.35">
      <c r="A291" s="1" t="s">
        <v>204</v>
      </c>
      <c r="B291" s="1" t="s">
        <v>64</v>
      </c>
      <c r="C291" s="1">
        <v>2040</v>
      </c>
      <c r="D291" s="1">
        <v>73.256275509999995</v>
      </c>
    </row>
    <row r="292" spans="1:4" x14ac:dyDescent="0.35">
      <c r="A292" s="1" t="s">
        <v>204</v>
      </c>
      <c r="B292" s="1" t="s">
        <v>64</v>
      </c>
      <c r="C292" s="1">
        <v>2041</v>
      </c>
      <c r="D292" s="1">
        <v>74.060610429999997</v>
      </c>
    </row>
    <row r="293" spans="1:4" x14ac:dyDescent="0.35">
      <c r="A293" s="1" t="s">
        <v>204</v>
      </c>
      <c r="B293" s="1" t="s">
        <v>64</v>
      </c>
      <c r="C293" s="1">
        <v>2042</v>
      </c>
      <c r="D293" s="1">
        <v>74.620679980000006</v>
      </c>
    </row>
    <row r="294" spans="1:4" x14ac:dyDescent="0.35">
      <c r="A294" s="1" t="s">
        <v>204</v>
      </c>
      <c r="B294" s="1" t="s">
        <v>64</v>
      </c>
      <c r="C294" s="1">
        <v>2043</v>
      </c>
      <c r="D294" s="1">
        <v>75.174989859999997</v>
      </c>
    </row>
    <row r="295" spans="1:4" x14ac:dyDescent="0.35">
      <c r="A295" s="1" t="s">
        <v>204</v>
      </c>
      <c r="B295" s="1" t="s">
        <v>64</v>
      </c>
      <c r="C295" s="1">
        <v>2044</v>
      </c>
      <c r="D295" s="1">
        <v>75.314462599999999</v>
      </c>
    </row>
    <row r="296" spans="1:4" x14ac:dyDescent="0.35">
      <c r="A296" s="1" t="s">
        <v>204</v>
      </c>
      <c r="B296" s="1" t="s">
        <v>64</v>
      </c>
      <c r="C296" s="1">
        <v>2045</v>
      </c>
      <c r="D296" s="1">
        <v>75.409400559999995</v>
      </c>
    </row>
    <row r="297" spans="1:4" x14ac:dyDescent="0.35">
      <c r="A297" s="1" t="s">
        <v>204</v>
      </c>
      <c r="B297" s="1" t="s">
        <v>64</v>
      </c>
      <c r="C297" s="1">
        <v>2046</v>
      </c>
      <c r="D297" s="1">
        <v>75.379855430000006</v>
      </c>
    </row>
    <row r="298" spans="1:4" x14ac:dyDescent="0.35">
      <c r="A298" s="1" t="s">
        <v>204</v>
      </c>
      <c r="B298" s="1" t="s">
        <v>64</v>
      </c>
      <c r="C298" s="1">
        <v>2047</v>
      </c>
      <c r="D298" s="1">
        <v>75.33949518</v>
      </c>
    </row>
    <row r="299" spans="1:4" x14ac:dyDescent="0.35">
      <c r="A299" s="1" t="s">
        <v>204</v>
      </c>
      <c r="B299" s="1" t="s">
        <v>64</v>
      </c>
      <c r="C299" s="1">
        <v>2048</v>
      </c>
      <c r="D299" s="1">
        <v>75.302110529999993</v>
      </c>
    </row>
    <row r="300" spans="1:4" x14ac:dyDescent="0.35">
      <c r="A300" s="1" t="s">
        <v>204</v>
      </c>
      <c r="B300" s="1" t="s">
        <v>64</v>
      </c>
      <c r="C300" s="1">
        <v>2049</v>
      </c>
      <c r="D300" s="1">
        <v>75.261490260000002</v>
      </c>
    </row>
    <row r="301" spans="1:4" x14ac:dyDescent="0.35">
      <c r="A301" s="1" t="s">
        <v>204</v>
      </c>
      <c r="B301" s="1" t="s">
        <v>64</v>
      </c>
      <c r="C301" s="1">
        <v>2050</v>
      </c>
      <c r="D301" s="1">
        <v>75.219242440000002</v>
      </c>
    </row>
    <row r="302" spans="1:4" x14ac:dyDescent="0.35">
      <c r="A302" s="1" t="s">
        <v>204</v>
      </c>
      <c r="B302" s="1" t="s">
        <v>65</v>
      </c>
      <c r="C302" s="1">
        <v>2021</v>
      </c>
      <c r="D302" s="1">
        <v>45.980129320000003</v>
      </c>
    </row>
    <row r="303" spans="1:4" x14ac:dyDescent="0.35">
      <c r="A303" s="1" t="s">
        <v>204</v>
      </c>
      <c r="B303" s="1" t="s">
        <v>65</v>
      </c>
      <c r="C303" s="1">
        <v>2022</v>
      </c>
      <c r="D303" s="1">
        <v>45.622909900000003</v>
      </c>
    </row>
    <row r="304" spans="1:4" x14ac:dyDescent="0.35">
      <c r="A304" s="1" t="s">
        <v>204</v>
      </c>
      <c r="B304" s="1" t="s">
        <v>65</v>
      </c>
      <c r="C304" s="1">
        <v>2023</v>
      </c>
      <c r="D304" s="1">
        <v>45.236773820000003</v>
      </c>
    </row>
    <row r="305" spans="1:4" x14ac:dyDescent="0.35">
      <c r="A305" s="1" t="s">
        <v>204</v>
      </c>
      <c r="B305" s="1" t="s">
        <v>65</v>
      </c>
      <c r="C305" s="1">
        <v>2024</v>
      </c>
      <c r="D305" s="1">
        <v>44.854364429999997</v>
      </c>
    </row>
    <row r="306" spans="1:4" x14ac:dyDescent="0.35">
      <c r="A306" s="1" t="s">
        <v>204</v>
      </c>
      <c r="B306" s="1" t="s">
        <v>65</v>
      </c>
      <c r="C306" s="1">
        <v>2025</v>
      </c>
      <c r="D306" s="1">
        <v>44.520831719999997</v>
      </c>
    </row>
    <row r="307" spans="1:4" x14ac:dyDescent="0.35">
      <c r="A307" s="1" t="s">
        <v>204</v>
      </c>
      <c r="B307" s="1" t="s">
        <v>65</v>
      </c>
      <c r="C307" s="1">
        <v>2026</v>
      </c>
      <c r="D307" s="1">
        <v>44.254403979999999</v>
      </c>
    </row>
    <row r="308" spans="1:4" x14ac:dyDescent="0.35">
      <c r="A308" s="1" t="s">
        <v>204</v>
      </c>
      <c r="B308" s="1" t="s">
        <v>65</v>
      </c>
      <c r="C308" s="1">
        <v>2027</v>
      </c>
      <c r="D308" s="1">
        <v>44.047114579999999</v>
      </c>
    </row>
    <row r="309" spans="1:4" x14ac:dyDescent="0.35">
      <c r="A309" s="1" t="s">
        <v>204</v>
      </c>
      <c r="B309" s="1" t="s">
        <v>65</v>
      </c>
      <c r="C309" s="1">
        <v>2028</v>
      </c>
      <c r="D309" s="1">
        <v>43.905413959999997</v>
      </c>
    </row>
    <row r="310" spans="1:4" x14ac:dyDescent="0.35">
      <c r="A310" s="1" t="s">
        <v>204</v>
      </c>
      <c r="B310" s="1" t="s">
        <v>65</v>
      </c>
      <c r="C310" s="1">
        <v>2029</v>
      </c>
      <c r="D310" s="1">
        <v>43.843899739999998</v>
      </c>
    </row>
    <row r="311" spans="1:4" x14ac:dyDescent="0.35">
      <c r="A311" s="1" t="s">
        <v>204</v>
      </c>
      <c r="B311" s="1" t="s">
        <v>65</v>
      </c>
      <c r="C311" s="1">
        <v>2030</v>
      </c>
      <c r="D311" s="1">
        <v>43.834669220000002</v>
      </c>
    </row>
    <row r="312" spans="1:4" x14ac:dyDescent="0.35">
      <c r="A312" s="1" t="s">
        <v>204</v>
      </c>
      <c r="B312" s="1" t="s">
        <v>65</v>
      </c>
      <c r="C312" s="1">
        <v>2031</v>
      </c>
      <c r="D312" s="1">
        <v>43.880024679999998</v>
      </c>
    </row>
    <row r="313" spans="1:4" x14ac:dyDescent="0.35">
      <c r="A313" s="1" t="s">
        <v>204</v>
      </c>
      <c r="B313" s="1" t="s">
        <v>65</v>
      </c>
      <c r="C313" s="1">
        <v>2032</v>
      </c>
      <c r="D313" s="1">
        <v>43.98348163</v>
      </c>
    </row>
    <row r="314" spans="1:4" x14ac:dyDescent="0.35">
      <c r="A314" s="1" t="s">
        <v>204</v>
      </c>
      <c r="B314" s="1" t="s">
        <v>65</v>
      </c>
      <c r="C314" s="1">
        <v>2033</v>
      </c>
      <c r="D314" s="1">
        <v>44.11628528</v>
      </c>
    </row>
    <row r="315" spans="1:4" x14ac:dyDescent="0.35">
      <c r="A315" s="1" t="s">
        <v>204</v>
      </c>
      <c r="B315" s="1" t="s">
        <v>65</v>
      </c>
      <c r="C315" s="1">
        <v>2034</v>
      </c>
      <c r="D315" s="1">
        <v>44.275496820000001</v>
      </c>
    </row>
    <row r="316" spans="1:4" x14ac:dyDescent="0.35">
      <c r="A316" s="1" t="s">
        <v>204</v>
      </c>
      <c r="B316" s="1" t="s">
        <v>65</v>
      </c>
      <c r="C316" s="1">
        <v>2035</v>
      </c>
      <c r="D316" s="1">
        <v>44.493525120000001</v>
      </c>
    </row>
    <row r="317" spans="1:4" x14ac:dyDescent="0.35">
      <c r="A317" s="1" t="s">
        <v>204</v>
      </c>
      <c r="B317" s="1" t="s">
        <v>65</v>
      </c>
      <c r="C317" s="1">
        <v>2036</v>
      </c>
      <c r="D317" s="1">
        <v>44.708556379999997</v>
      </c>
    </row>
    <row r="318" spans="1:4" x14ac:dyDescent="0.35">
      <c r="A318" s="1" t="s">
        <v>204</v>
      </c>
      <c r="B318" s="1" t="s">
        <v>65</v>
      </c>
      <c r="C318" s="1">
        <v>2037</v>
      </c>
      <c r="D318" s="1">
        <v>44.894964569999999</v>
      </c>
    </row>
    <row r="319" spans="1:4" x14ac:dyDescent="0.35">
      <c r="A319" s="1" t="s">
        <v>204</v>
      </c>
      <c r="B319" s="1" t="s">
        <v>65</v>
      </c>
      <c r="C319" s="1">
        <v>2038</v>
      </c>
      <c r="D319" s="1">
        <v>45.031346210000002</v>
      </c>
    </row>
    <row r="320" spans="1:4" x14ac:dyDescent="0.35">
      <c r="A320" s="1" t="s">
        <v>204</v>
      </c>
      <c r="B320" s="1" t="s">
        <v>65</v>
      </c>
      <c r="C320" s="1">
        <v>2039</v>
      </c>
      <c r="D320" s="1">
        <v>45.130381219999997</v>
      </c>
    </row>
    <row r="321" spans="1:4" x14ac:dyDescent="0.35">
      <c r="A321" s="1" t="s">
        <v>204</v>
      </c>
      <c r="B321" s="1" t="s">
        <v>65</v>
      </c>
      <c r="C321" s="1">
        <v>2040</v>
      </c>
      <c r="D321" s="1">
        <v>45.241526409999999</v>
      </c>
    </row>
    <row r="322" spans="1:4" x14ac:dyDescent="0.35">
      <c r="A322" s="1" t="s">
        <v>204</v>
      </c>
      <c r="B322" s="1" t="s">
        <v>65</v>
      </c>
      <c r="C322" s="1">
        <v>2041</v>
      </c>
      <c r="D322" s="1">
        <v>45.326862349999999</v>
      </c>
    </row>
    <row r="323" spans="1:4" x14ac:dyDescent="0.35">
      <c r="A323" s="1" t="s">
        <v>204</v>
      </c>
      <c r="B323" s="1" t="s">
        <v>65</v>
      </c>
      <c r="C323" s="1">
        <v>2042</v>
      </c>
      <c r="D323" s="1">
        <v>45.41134074</v>
      </c>
    </row>
    <row r="324" spans="1:4" x14ac:dyDescent="0.35">
      <c r="A324" s="1" t="s">
        <v>204</v>
      </c>
      <c r="B324" s="1" t="s">
        <v>65</v>
      </c>
      <c r="C324" s="1">
        <v>2043</v>
      </c>
      <c r="D324" s="1">
        <v>45.450009379999997</v>
      </c>
    </row>
    <row r="325" spans="1:4" x14ac:dyDescent="0.35">
      <c r="A325" s="1" t="s">
        <v>204</v>
      </c>
      <c r="B325" s="1" t="s">
        <v>65</v>
      </c>
      <c r="C325" s="1">
        <v>2044</v>
      </c>
      <c r="D325" s="1">
        <v>45.481184159999998</v>
      </c>
    </row>
    <row r="326" spans="1:4" x14ac:dyDescent="0.35">
      <c r="A326" s="1" t="s">
        <v>204</v>
      </c>
      <c r="B326" s="1" t="s">
        <v>65</v>
      </c>
      <c r="C326" s="1">
        <v>2045</v>
      </c>
      <c r="D326" s="1">
        <v>45.51375926</v>
      </c>
    </row>
    <row r="327" spans="1:4" x14ac:dyDescent="0.35">
      <c r="A327" s="1" t="s">
        <v>204</v>
      </c>
      <c r="B327" s="1" t="s">
        <v>65</v>
      </c>
      <c r="C327" s="1">
        <v>2046</v>
      </c>
      <c r="D327" s="1">
        <v>45.513372050000001</v>
      </c>
    </row>
    <row r="328" spans="1:4" x14ac:dyDescent="0.35">
      <c r="A328" s="1" t="s">
        <v>204</v>
      </c>
      <c r="B328" s="1" t="s">
        <v>65</v>
      </c>
      <c r="C328" s="1">
        <v>2047</v>
      </c>
      <c r="D328" s="1">
        <v>45.510187070000001</v>
      </c>
    </row>
    <row r="329" spans="1:4" x14ac:dyDescent="0.35">
      <c r="A329" s="1" t="s">
        <v>204</v>
      </c>
      <c r="B329" s="1" t="s">
        <v>65</v>
      </c>
      <c r="C329" s="1">
        <v>2048</v>
      </c>
      <c r="D329" s="1">
        <v>45.510779829999997</v>
      </c>
    </row>
    <row r="330" spans="1:4" x14ac:dyDescent="0.35">
      <c r="A330" s="1" t="s">
        <v>204</v>
      </c>
      <c r="B330" s="1" t="s">
        <v>65</v>
      </c>
      <c r="C330" s="1">
        <v>2049</v>
      </c>
      <c r="D330" s="1">
        <v>45.511359030000001</v>
      </c>
    </row>
    <row r="331" spans="1:4" x14ac:dyDescent="0.35">
      <c r="A331" s="1" t="s">
        <v>204</v>
      </c>
      <c r="B331" s="1" t="s">
        <v>65</v>
      </c>
      <c r="C331" s="1">
        <v>2050</v>
      </c>
      <c r="D331" s="1">
        <v>45.513153000000003</v>
      </c>
    </row>
    <row r="332" spans="1:4" x14ac:dyDescent="0.35">
      <c r="A332" s="1" t="s">
        <v>192</v>
      </c>
      <c r="B332" s="1" t="s">
        <v>55</v>
      </c>
      <c r="C332" s="1">
        <v>2021</v>
      </c>
      <c r="D332" s="1">
        <v>20.562302410000001</v>
      </c>
    </row>
    <row r="333" spans="1:4" x14ac:dyDescent="0.35">
      <c r="A333" s="1" t="s">
        <v>192</v>
      </c>
      <c r="B333" s="1" t="s">
        <v>55</v>
      </c>
      <c r="C333" s="1">
        <v>2022</v>
      </c>
      <c r="D333" s="1">
        <v>21.029062639999999</v>
      </c>
    </row>
    <row r="334" spans="1:4" x14ac:dyDescent="0.35">
      <c r="A334" s="1" t="s">
        <v>192</v>
      </c>
      <c r="B334" s="1" t="s">
        <v>55</v>
      </c>
      <c r="C334" s="1">
        <v>2023</v>
      </c>
      <c r="D334" s="1">
        <v>21.493320799999999</v>
      </c>
    </row>
    <row r="335" spans="1:4" x14ac:dyDescent="0.35">
      <c r="A335" s="1" t="s">
        <v>192</v>
      </c>
      <c r="B335" s="1" t="s">
        <v>55</v>
      </c>
      <c r="C335" s="1">
        <v>2024</v>
      </c>
      <c r="D335" s="1">
        <v>21.962057389999998</v>
      </c>
    </row>
    <row r="336" spans="1:4" x14ac:dyDescent="0.35">
      <c r="A336" s="1" t="s">
        <v>192</v>
      </c>
      <c r="B336" s="1" t="s">
        <v>55</v>
      </c>
      <c r="C336" s="1">
        <v>2025</v>
      </c>
      <c r="D336" s="1">
        <v>22.42905695</v>
      </c>
    </row>
    <row r="337" spans="1:4" x14ac:dyDescent="0.35">
      <c r="A337" s="1" t="s">
        <v>192</v>
      </c>
      <c r="B337" s="1" t="s">
        <v>55</v>
      </c>
      <c r="C337" s="1">
        <v>2026</v>
      </c>
      <c r="D337" s="1">
        <v>22.874106529999999</v>
      </c>
    </row>
    <row r="338" spans="1:4" x14ac:dyDescent="0.35">
      <c r="A338" s="1" t="s">
        <v>192</v>
      </c>
      <c r="B338" s="1" t="s">
        <v>55</v>
      </c>
      <c r="C338" s="1">
        <v>2027</v>
      </c>
      <c r="D338" s="1">
        <v>23.288964849999999</v>
      </c>
    </row>
    <row r="339" spans="1:4" x14ac:dyDescent="0.35">
      <c r="A339" s="1" t="s">
        <v>192</v>
      </c>
      <c r="B339" s="1" t="s">
        <v>55</v>
      </c>
      <c r="C339" s="1">
        <v>2028</v>
      </c>
      <c r="D339" s="1">
        <v>23.675874879999999</v>
      </c>
    </row>
    <row r="340" spans="1:4" x14ac:dyDescent="0.35">
      <c r="A340" s="1" t="s">
        <v>192</v>
      </c>
      <c r="B340" s="1" t="s">
        <v>55</v>
      </c>
      <c r="C340" s="1">
        <v>2029</v>
      </c>
      <c r="D340" s="1">
        <v>24.02686229</v>
      </c>
    </row>
    <row r="341" spans="1:4" x14ac:dyDescent="0.35">
      <c r="A341" s="1" t="s">
        <v>192</v>
      </c>
      <c r="B341" s="1" t="s">
        <v>55</v>
      </c>
      <c r="C341" s="1">
        <v>2030</v>
      </c>
      <c r="D341" s="1">
        <v>24.33791304</v>
      </c>
    </row>
    <row r="342" spans="1:4" x14ac:dyDescent="0.35">
      <c r="A342" s="1" t="s">
        <v>192</v>
      </c>
      <c r="B342" s="1" t="s">
        <v>55</v>
      </c>
      <c r="C342" s="1">
        <v>2031</v>
      </c>
      <c r="D342" s="1">
        <v>24.608433089999998</v>
      </c>
    </row>
    <row r="343" spans="1:4" x14ac:dyDescent="0.35">
      <c r="A343" s="1" t="s">
        <v>192</v>
      </c>
      <c r="B343" s="1" t="s">
        <v>55</v>
      </c>
      <c r="C343" s="1">
        <v>2032</v>
      </c>
      <c r="D343" s="1">
        <v>24.845729259999999</v>
      </c>
    </row>
    <row r="344" spans="1:4" x14ac:dyDescent="0.35">
      <c r="A344" s="1" t="s">
        <v>192</v>
      </c>
      <c r="B344" s="1" t="s">
        <v>55</v>
      </c>
      <c r="C344" s="1">
        <v>2033</v>
      </c>
      <c r="D344" s="1">
        <v>25.04203768</v>
      </c>
    </row>
    <row r="345" spans="1:4" x14ac:dyDescent="0.35">
      <c r="A345" s="1" t="s">
        <v>192</v>
      </c>
      <c r="B345" s="1" t="s">
        <v>55</v>
      </c>
      <c r="C345" s="1">
        <v>2034</v>
      </c>
      <c r="D345" s="1">
        <v>25.204680499999998</v>
      </c>
    </row>
    <row r="346" spans="1:4" x14ac:dyDescent="0.35">
      <c r="A346" s="1" t="s">
        <v>192</v>
      </c>
      <c r="B346" s="1" t="s">
        <v>55</v>
      </c>
      <c r="C346" s="1">
        <v>2035</v>
      </c>
      <c r="D346" s="1">
        <v>25.35474778</v>
      </c>
    </row>
    <row r="347" spans="1:4" x14ac:dyDescent="0.35">
      <c r="A347" s="1" t="s">
        <v>192</v>
      </c>
      <c r="B347" s="1" t="s">
        <v>55</v>
      </c>
      <c r="C347" s="1">
        <v>2036</v>
      </c>
      <c r="D347" s="1">
        <v>25.48611154</v>
      </c>
    </row>
    <row r="348" spans="1:4" x14ac:dyDescent="0.35">
      <c r="A348" s="1" t="s">
        <v>192</v>
      </c>
      <c r="B348" s="1" t="s">
        <v>55</v>
      </c>
      <c r="C348" s="1">
        <v>2037</v>
      </c>
      <c r="D348" s="1">
        <v>25.59710724</v>
      </c>
    </row>
    <row r="349" spans="1:4" x14ac:dyDescent="0.35">
      <c r="A349" s="1" t="s">
        <v>192</v>
      </c>
      <c r="B349" s="1" t="s">
        <v>55</v>
      </c>
      <c r="C349" s="1">
        <v>2038</v>
      </c>
      <c r="D349" s="1">
        <v>25.692661439999998</v>
      </c>
    </row>
    <row r="350" spans="1:4" x14ac:dyDescent="0.35">
      <c r="A350" s="1" t="s">
        <v>192</v>
      </c>
      <c r="B350" s="1" t="s">
        <v>55</v>
      </c>
      <c r="C350" s="1">
        <v>2039</v>
      </c>
      <c r="D350" s="1">
        <v>25.775467190000001</v>
      </c>
    </row>
    <row r="351" spans="1:4" x14ac:dyDescent="0.35">
      <c r="A351" s="1" t="s">
        <v>192</v>
      </c>
      <c r="B351" s="1" t="s">
        <v>55</v>
      </c>
      <c r="C351" s="1">
        <v>2040</v>
      </c>
      <c r="D351" s="1">
        <v>25.84079264</v>
      </c>
    </row>
    <row r="352" spans="1:4" x14ac:dyDescent="0.35">
      <c r="A352" s="1" t="s">
        <v>192</v>
      </c>
      <c r="B352" s="1" t="s">
        <v>55</v>
      </c>
      <c r="C352" s="1">
        <v>2041</v>
      </c>
      <c r="D352" s="1">
        <v>25.89244338</v>
      </c>
    </row>
    <row r="353" spans="1:4" x14ac:dyDescent="0.35">
      <c r="A353" s="1" t="s">
        <v>192</v>
      </c>
      <c r="B353" s="1" t="s">
        <v>55</v>
      </c>
      <c r="C353" s="1">
        <v>2042</v>
      </c>
      <c r="D353" s="1">
        <v>25.938147669999999</v>
      </c>
    </row>
    <row r="354" spans="1:4" x14ac:dyDescent="0.35">
      <c r="A354" s="1" t="s">
        <v>192</v>
      </c>
      <c r="B354" s="1" t="s">
        <v>55</v>
      </c>
      <c r="C354" s="1">
        <v>2043</v>
      </c>
      <c r="D354" s="1">
        <v>25.9728587</v>
      </c>
    </row>
    <row r="355" spans="1:4" x14ac:dyDescent="0.35">
      <c r="A355" s="1" t="s">
        <v>192</v>
      </c>
      <c r="B355" s="1" t="s">
        <v>55</v>
      </c>
      <c r="C355" s="1">
        <v>2044</v>
      </c>
      <c r="D355" s="1">
        <v>25.992601690000001</v>
      </c>
    </row>
    <row r="356" spans="1:4" x14ac:dyDescent="0.35">
      <c r="A356" s="1" t="s">
        <v>192</v>
      </c>
      <c r="B356" s="1" t="s">
        <v>55</v>
      </c>
      <c r="C356" s="1">
        <v>2045</v>
      </c>
      <c r="D356" s="1">
        <v>26.000033340000002</v>
      </c>
    </row>
    <row r="357" spans="1:4" x14ac:dyDescent="0.35">
      <c r="A357" s="1" t="s">
        <v>192</v>
      </c>
      <c r="B357" s="1" t="s">
        <v>55</v>
      </c>
      <c r="C357" s="1">
        <v>2046</v>
      </c>
      <c r="D357" s="1">
        <v>25.996132230000001</v>
      </c>
    </row>
    <row r="358" spans="1:4" x14ac:dyDescent="0.35">
      <c r="A358" s="1" t="s">
        <v>192</v>
      </c>
      <c r="B358" s="1" t="s">
        <v>55</v>
      </c>
      <c r="C358" s="1">
        <v>2047</v>
      </c>
      <c r="D358" s="1">
        <v>25.9889689</v>
      </c>
    </row>
    <row r="359" spans="1:4" x14ac:dyDescent="0.35">
      <c r="A359" s="1" t="s">
        <v>192</v>
      </c>
      <c r="B359" s="1" t="s">
        <v>55</v>
      </c>
      <c r="C359" s="1">
        <v>2048</v>
      </c>
      <c r="D359" s="1">
        <v>25.97855242</v>
      </c>
    </row>
    <row r="360" spans="1:4" x14ac:dyDescent="0.35">
      <c r="A360" s="1" t="s">
        <v>192</v>
      </c>
      <c r="B360" s="1" t="s">
        <v>55</v>
      </c>
      <c r="C360" s="1">
        <v>2049</v>
      </c>
      <c r="D360" s="1">
        <v>25.96455731</v>
      </c>
    </row>
    <row r="361" spans="1:4" x14ac:dyDescent="0.35">
      <c r="A361" s="1" t="s">
        <v>192</v>
      </c>
      <c r="B361" s="1" t="s">
        <v>55</v>
      </c>
      <c r="C361" s="1">
        <v>2050</v>
      </c>
      <c r="D361" s="1">
        <v>25.948024419999999</v>
      </c>
    </row>
    <row r="362" spans="1:4" x14ac:dyDescent="0.35">
      <c r="A362" s="1" t="s">
        <v>192</v>
      </c>
      <c r="B362" s="1" t="s">
        <v>56</v>
      </c>
      <c r="C362" s="1">
        <v>2021</v>
      </c>
      <c r="D362" s="1">
        <v>55.4232017</v>
      </c>
    </row>
    <row r="363" spans="1:4" x14ac:dyDescent="0.35">
      <c r="A363" s="1" t="s">
        <v>192</v>
      </c>
      <c r="B363" s="1" t="s">
        <v>56</v>
      </c>
      <c r="C363" s="1">
        <v>2022</v>
      </c>
      <c r="D363" s="1">
        <v>55.60462991</v>
      </c>
    </row>
    <row r="364" spans="1:4" x14ac:dyDescent="0.35">
      <c r="A364" s="1" t="s">
        <v>192</v>
      </c>
      <c r="B364" s="1" t="s">
        <v>56</v>
      </c>
      <c r="C364" s="1">
        <v>2023</v>
      </c>
      <c r="D364" s="1">
        <v>55.85215642</v>
      </c>
    </row>
    <row r="365" spans="1:4" x14ac:dyDescent="0.35">
      <c r="A365" s="1" t="s">
        <v>192</v>
      </c>
      <c r="B365" s="1" t="s">
        <v>56</v>
      </c>
      <c r="C365" s="1">
        <v>2024</v>
      </c>
      <c r="D365" s="1">
        <v>56.236997850000002</v>
      </c>
    </row>
    <row r="366" spans="1:4" x14ac:dyDescent="0.35">
      <c r="A366" s="1" t="s">
        <v>192</v>
      </c>
      <c r="B366" s="1" t="s">
        <v>56</v>
      </c>
      <c r="C366" s="1">
        <v>2025</v>
      </c>
      <c r="D366" s="1">
        <v>56.73048687</v>
      </c>
    </row>
    <row r="367" spans="1:4" x14ac:dyDescent="0.35">
      <c r="A367" s="1" t="s">
        <v>192</v>
      </c>
      <c r="B367" s="1" t="s">
        <v>56</v>
      </c>
      <c r="C367" s="1">
        <v>2026</v>
      </c>
      <c r="D367" s="1">
        <v>57.250544519999998</v>
      </c>
    </row>
    <row r="368" spans="1:4" x14ac:dyDescent="0.35">
      <c r="A368" s="1" t="s">
        <v>192</v>
      </c>
      <c r="B368" s="1" t="s">
        <v>56</v>
      </c>
      <c r="C368" s="1">
        <v>2027</v>
      </c>
      <c r="D368" s="1">
        <v>57.769953039999997</v>
      </c>
    </row>
    <row r="369" spans="1:4" x14ac:dyDescent="0.35">
      <c r="A369" s="1" t="s">
        <v>192</v>
      </c>
      <c r="B369" s="1" t="s">
        <v>56</v>
      </c>
      <c r="C369" s="1">
        <v>2028</v>
      </c>
      <c r="D369" s="1">
        <v>58.284515040000002</v>
      </c>
    </row>
    <row r="370" spans="1:4" x14ac:dyDescent="0.35">
      <c r="A370" s="1" t="s">
        <v>192</v>
      </c>
      <c r="B370" s="1" t="s">
        <v>56</v>
      </c>
      <c r="C370" s="1">
        <v>2029</v>
      </c>
      <c r="D370" s="1">
        <v>58.762738329999998</v>
      </c>
    </row>
    <row r="371" spans="1:4" x14ac:dyDescent="0.35">
      <c r="A371" s="1" t="s">
        <v>192</v>
      </c>
      <c r="B371" s="1" t="s">
        <v>56</v>
      </c>
      <c r="C371" s="1">
        <v>2030</v>
      </c>
      <c r="D371" s="1">
        <v>59.207703690000002</v>
      </c>
    </row>
    <row r="372" spans="1:4" x14ac:dyDescent="0.35">
      <c r="A372" s="1" t="s">
        <v>192</v>
      </c>
      <c r="B372" s="1" t="s">
        <v>56</v>
      </c>
      <c r="C372" s="1">
        <v>2031</v>
      </c>
      <c r="D372" s="1">
        <v>59.623391740000002</v>
      </c>
    </row>
    <row r="373" spans="1:4" x14ac:dyDescent="0.35">
      <c r="A373" s="1" t="s">
        <v>192</v>
      </c>
      <c r="B373" s="1" t="s">
        <v>56</v>
      </c>
      <c r="C373" s="1">
        <v>2032</v>
      </c>
      <c r="D373" s="1">
        <v>60.001735009999997</v>
      </c>
    </row>
    <row r="374" spans="1:4" x14ac:dyDescent="0.35">
      <c r="A374" s="1" t="s">
        <v>192</v>
      </c>
      <c r="B374" s="1" t="s">
        <v>56</v>
      </c>
      <c r="C374" s="1">
        <v>2033</v>
      </c>
      <c r="D374" s="1">
        <v>60.294401370000003</v>
      </c>
    </row>
    <row r="375" spans="1:4" x14ac:dyDescent="0.35">
      <c r="A375" s="1" t="s">
        <v>192</v>
      </c>
      <c r="B375" s="1" t="s">
        <v>56</v>
      </c>
      <c r="C375" s="1">
        <v>2034</v>
      </c>
      <c r="D375" s="1">
        <v>60.630233910000001</v>
      </c>
    </row>
    <row r="376" spans="1:4" x14ac:dyDescent="0.35">
      <c r="A376" s="1" t="s">
        <v>192</v>
      </c>
      <c r="B376" s="1" t="s">
        <v>56</v>
      </c>
      <c r="C376" s="1">
        <v>2035</v>
      </c>
      <c r="D376" s="1">
        <v>60.973822120000001</v>
      </c>
    </row>
    <row r="377" spans="1:4" x14ac:dyDescent="0.35">
      <c r="A377" s="1" t="s">
        <v>192</v>
      </c>
      <c r="B377" s="1" t="s">
        <v>56</v>
      </c>
      <c r="C377" s="1">
        <v>2036</v>
      </c>
      <c r="D377" s="1">
        <v>61.287416010000001</v>
      </c>
    </row>
    <row r="378" spans="1:4" x14ac:dyDescent="0.35">
      <c r="A378" s="1" t="s">
        <v>192</v>
      </c>
      <c r="B378" s="1" t="s">
        <v>56</v>
      </c>
      <c r="C378" s="1">
        <v>2037</v>
      </c>
      <c r="D378" s="1">
        <v>61.433935030000001</v>
      </c>
    </row>
    <row r="379" spans="1:4" x14ac:dyDescent="0.35">
      <c r="A379" s="1" t="s">
        <v>192</v>
      </c>
      <c r="B379" s="1" t="s">
        <v>56</v>
      </c>
      <c r="C379" s="1">
        <v>2038</v>
      </c>
      <c r="D379" s="1">
        <v>61.518492129999998</v>
      </c>
    </row>
    <row r="380" spans="1:4" x14ac:dyDescent="0.35">
      <c r="A380" s="1" t="s">
        <v>192</v>
      </c>
      <c r="B380" s="1" t="s">
        <v>56</v>
      </c>
      <c r="C380" s="1">
        <v>2039</v>
      </c>
      <c r="D380" s="1">
        <v>62.792039870000004</v>
      </c>
    </row>
    <row r="381" spans="1:4" x14ac:dyDescent="0.35">
      <c r="A381" s="1" t="s">
        <v>192</v>
      </c>
      <c r="B381" s="1" t="s">
        <v>56</v>
      </c>
      <c r="C381" s="1">
        <v>2040</v>
      </c>
      <c r="D381" s="1">
        <v>63.131186990000003</v>
      </c>
    </row>
    <row r="382" spans="1:4" x14ac:dyDescent="0.35">
      <c r="A382" s="1" t="s">
        <v>192</v>
      </c>
      <c r="B382" s="1" t="s">
        <v>56</v>
      </c>
      <c r="C382" s="1">
        <v>2041</v>
      </c>
      <c r="D382" s="1">
        <v>63.142372799999997</v>
      </c>
    </row>
    <row r="383" spans="1:4" x14ac:dyDescent="0.35">
      <c r="A383" s="1" t="s">
        <v>192</v>
      </c>
      <c r="B383" s="1" t="s">
        <v>56</v>
      </c>
      <c r="C383" s="1">
        <v>2042</v>
      </c>
      <c r="D383" s="1">
        <v>62.942232740000001</v>
      </c>
    </row>
    <row r="384" spans="1:4" x14ac:dyDescent="0.35">
      <c r="A384" s="1" t="s">
        <v>192</v>
      </c>
      <c r="B384" s="1" t="s">
        <v>56</v>
      </c>
      <c r="C384" s="1">
        <v>2043</v>
      </c>
      <c r="D384" s="1">
        <v>62.974571470000001</v>
      </c>
    </row>
    <row r="385" spans="1:4" x14ac:dyDescent="0.35">
      <c r="A385" s="1" t="s">
        <v>192</v>
      </c>
      <c r="B385" s="1" t="s">
        <v>56</v>
      </c>
      <c r="C385" s="1">
        <v>2044</v>
      </c>
      <c r="D385" s="1">
        <v>63.025280520000003</v>
      </c>
    </row>
    <row r="386" spans="1:4" x14ac:dyDescent="0.35">
      <c r="A386" s="1" t="s">
        <v>192</v>
      </c>
      <c r="B386" s="1" t="s">
        <v>56</v>
      </c>
      <c r="C386" s="1">
        <v>2045</v>
      </c>
      <c r="D386" s="1">
        <v>63.065547340000002</v>
      </c>
    </row>
    <row r="387" spans="1:4" x14ac:dyDescent="0.35">
      <c r="A387" s="1" t="s">
        <v>192</v>
      </c>
      <c r="B387" s="1" t="s">
        <v>56</v>
      </c>
      <c r="C387" s="1">
        <v>2046</v>
      </c>
      <c r="D387" s="1">
        <v>62.999914510000004</v>
      </c>
    </row>
    <row r="388" spans="1:4" x14ac:dyDescent="0.35">
      <c r="A388" s="1" t="s">
        <v>192</v>
      </c>
      <c r="B388" s="1" t="s">
        <v>56</v>
      </c>
      <c r="C388" s="1">
        <v>2047</v>
      </c>
      <c r="D388" s="1">
        <v>63.072733640000003</v>
      </c>
    </row>
    <row r="389" spans="1:4" x14ac:dyDescent="0.35">
      <c r="A389" s="1" t="s">
        <v>192</v>
      </c>
      <c r="B389" s="1" t="s">
        <v>56</v>
      </c>
      <c r="C389" s="1">
        <v>2048</v>
      </c>
      <c r="D389" s="1">
        <v>63.128760630000002</v>
      </c>
    </row>
    <row r="390" spans="1:4" x14ac:dyDescent="0.35">
      <c r="A390" s="1" t="s">
        <v>192</v>
      </c>
      <c r="B390" s="1" t="s">
        <v>56</v>
      </c>
      <c r="C390" s="1">
        <v>2049</v>
      </c>
      <c r="D390" s="1">
        <v>63.1504628</v>
      </c>
    </row>
    <row r="391" spans="1:4" x14ac:dyDescent="0.35">
      <c r="A391" s="1" t="s">
        <v>192</v>
      </c>
      <c r="B391" s="1" t="s">
        <v>56</v>
      </c>
      <c r="C391" s="1">
        <v>2050</v>
      </c>
      <c r="D391" s="1">
        <v>63.147450810000002</v>
      </c>
    </row>
    <row r="392" spans="1:4" x14ac:dyDescent="0.35">
      <c r="A392" s="1" t="s">
        <v>192</v>
      </c>
      <c r="B392" s="1" t="s">
        <v>57</v>
      </c>
      <c r="C392" s="1">
        <v>2021</v>
      </c>
      <c r="D392" s="1">
        <v>63.225857339999997</v>
      </c>
    </row>
    <row r="393" spans="1:4" x14ac:dyDescent="0.35">
      <c r="A393" s="1" t="s">
        <v>192</v>
      </c>
      <c r="B393" s="1" t="s">
        <v>57</v>
      </c>
      <c r="C393" s="1">
        <v>2022</v>
      </c>
      <c r="D393" s="1">
        <v>61.273997829999999</v>
      </c>
    </row>
    <row r="394" spans="1:4" x14ac:dyDescent="0.35">
      <c r="A394" s="1" t="s">
        <v>192</v>
      </c>
      <c r="B394" s="1" t="s">
        <v>57</v>
      </c>
      <c r="C394" s="1">
        <v>2023</v>
      </c>
      <c r="D394" s="1">
        <v>59.86739584</v>
      </c>
    </row>
    <row r="395" spans="1:4" x14ac:dyDescent="0.35">
      <c r="A395" s="1" t="s">
        <v>192</v>
      </c>
      <c r="B395" s="1" t="s">
        <v>57</v>
      </c>
      <c r="C395" s="1">
        <v>2024</v>
      </c>
      <c r="D395" s="1">
        <v>58.95560399</v>
      </c>
    </row>
    <row r="396" spans="1:4" x14ac:dyDescent="0.35">
      <c r="A396" s="1" t="s">
        <v>192</v>
      </c>
      <c r="B396" s="1" t="s">
        <v>57</v>
      </c>
      <c r="C396" s="1">
        <v>2025</v>
      </c>
      <c r="D396" s="1">
        <v>58.405060919999997</v>
      </c>
    </row>
    <row r="397" spans="1:4" x14ac:dyDescent="0.35">
      <c r="A397" s="1" t="s">
        <v>192</v>
      </c>
      <c r="B397" s="1" t="s">
        <v>57</v>
      </c>
      <c r="C397" s="1">
        <v>2026</v>
      </c>
      <c r="D397" s="1">
        <v>58.053695050000002</v>
      </c>
    </row>
    <row r="398" spans="1:4" x14ac:dyDescent="0.35">
      <c r="A398" s="1" t="s">
        <v>192</v>
      </c>
      <c r="B398" s="1" t="s">
        <v>57</v>
      </c>
      <c r="C398" s="1">
        <v>2027</v>
      </c>
      <c r="D398" s="1">
        <v>57.779347430000001</v>
      </c>
    </row>
    <row r="399" spans="1:4" x14ac:dyDescent="0.35">
      <c r="A399" s="1" t="s">
        <v>192</v>
      </c>
      <c r="B399" s="1" t="s">
        <v>57</v>
      </c>
      <c r="C399" s="1">
        <v>2028</v>
      </c>
      <c r="D399" s="1">
        <v>57.565699950000003</v>
      </c>
    </row>
    <row r="400" spans="1:4" x14ac:dyDescent="0.35">
      <c r="A400" s="1" t="s">
        <v>192</v>
      </c>
      <c r="B400" s="1" t="s">
        <v>57</v>
      </c>
      <c r="C400" s="1">
        <v>2029</v>
      </c>
      <c r="D400" s="1">
        <v>57.367579569999997</v>
      </c>
    </row>
    <row r="401" spans="1:4" x14ac:dyDescent="0.35">
      <c r="A401" s="1" t="s">
        <v>192</v>
      </c>
      <c r="B401" s="1" t="s">
        <v>57</v>
      </c>
      <c r="C401" s="1">
        <v>2030</v>
      </c>
      <c r="D401" s="1">
        <v>57.17399262</v>
      </c>
    </row>
    <row r="402" spans="1:4" x14ac:dyDescent="0.35">
      <c r="A402" s="1" t="s">
        <v>192</v>
      </c>
      <c r="B402" s="1" t="s">
        <v>57</v>
      </c>
      <c r="C402" s="1">
        <v>2031</v>
      </c>
      <c r="D402" s="1">
        <v>56.99286378</v>
      </c>
    </row>
    <row r="403" spans="1:4" x14ac:dyDescent="0.35">
      <c r="A403" s="1" t="s">
        <v>192</v>
      </c>
      <c r="B403" s="1" t="s">
        <v>57</v>
      </c>
      <c r="C403" s="1">
        <v>2032</v>
      </c>
      <c r="D403" s="1">
        <v>56.815234230000002</v>
      </c>
    </row>
    <row r="404" spans="1:4" x14ac:dyDescent="0.35">
      <c r="A404" s="1" t="s">
        <v>192</v>
      </c>
      <c r="B404" s="1" t="s">
        <v>57</v>
      </c>
      <c r="C404" s="1">
        <v>2033</v>
      </c>
      <c r="D404" s="1">
        <v>56.644329149999997</v>
      </c>
    </row>
    <row r="405" spans="1:4" x14ac:dyDescent="0.35">
      <c r="A405" s="1" t="s">
        <v>192</v>
      </c>
      <c r="B405" s="1" t="s">
        <v>57</v>
      </c>
      <c r="C405" s="1">
        <v>2034</v>
      </c>
      <c r="D405" s="1">
        <v>56.470374110000002</v>
      </c>
    </row>
    <row r="406" spans="1:4" x14ac:dyDescent="0.35">
      <c r="A406" s="1" t="s">
        <v>192</v>
      </c>
      <c r="B406" s="1" t="s">
        <v>57</v>
      </c>
      <c r="C406" s="1">
        <v>2035</v>
      </c>
      <c r="D406" s="1">
        <v>56.334918190000003</v>
      </c>
    </row>
    <row r="407" spans="1:4" x14ac:dyDescent="0.35">
      <c r="A407" s="1" t="s">
        <v>192</v>
      </c>
      <c r="B407" s="1" t="s">
        <v>57</v>
      </c>
      <c r="C407" s="1">
        <v>2036</v>
      </c>
      <c r="D407" s="1">
        <v>56.20621697</v>
      </c>
    </row>
    <row r="408" spans="1:4" x14ac:dyDescent="0.35">
      <c r="A408" s="1" t="s">
        <v>192</v>
      </c>
      <c r="B408" s="1" t="s">
        <v>57</v>
      </c>
      <c r="C408" s="1">
        <v>2037</v>
      </c>
      <c r="D408" s="1">
        <v>56.053484439999998</v>
      </c>
    </row>
    <row r="409" spans="1:4" x14ac:dyDescent="0.35">
      <c r="A409" s="1" t="s">
        <v>192</v>
      </c>
      <c r="B409" s="1" t="s">
        <v>57</v>
      </c>
      <c r="C409" s="1">
        <v>2038</v>
      </c>
      <c r="D409" s="1">
        <v>55.899720299999998</v>
      </c>
    </row>
    <row r="410" spans="1:4" x14ac:dyDescent="0.35">
      <c r="A410" s="1" t="s">
        <v>192</v>
      </c>
      <c r="B410" s="1" t="s">
        <v>57</v>
      </c>
      <c r="C410" s="1">
        <v>2039</v>
      </c>
      <c r="D410" s="1">
        <v>55.740920899999999</v>
      </c>
    </row>
    <row r="411" spans="1:4" x14ac:dyDescent="0.35">
      <c r="A411" s="1" t="s">
        <v>192</v>
      </c>
      <c r="B411" s="1" t="s">
        <v>57</v>
      </c>
      <c r="C411" s="1">
        <v>2040</v>
      </c>
      <c r="D411" s="1">
        <v>55.596480370000002</v>
      </c>
    </row>
    <row r="412" spans="1:4" x14ac:dyDescent="0.35">
      <c r="A412" s="1" t="s">
        <v>192</v>
      </c>
      <c r="B412" s="1" t="s">
        <v>57</v>
      </c>
      <c r="C412" s="1">
        <v>2041</v>
      </c>
      <c r="D412" s="1">
        <v>55.42166675</v>
      </c>
    </row>
    <row r="413" spans="1:4" x14ac:dyDescent="0.35">
      <c r="A413" s="1" t="s">
        <v>192</v>
      </c>
      <c r="B413" s="1" t="s">
        <v>57</v>
      </c>
      <c r="C413" s="1">
        <v>2042</v>
      </c>
      <c r="D413" s="1">
        <v>55.28688168</v>
      </c>
    </row>
    <row r="414" spans="1:4" x14ac:dyDescent="0.35">
      <c r="A414" s="1" t="s">
        <v>192</v>
      </c>
      <c r="B414" s="1" t="s">
        <v>57</v>
      </c>
      <c r="C414" s="1">
        <v>2043</v>
      </c>
      <c r="D414" s="1">
        <v>55.140626210000001</v>
      </c>
    </row>
    <row r="415" spans="1:4" x14ac:dyDescent="0.35">
      <c r="A415" s="1" t="s">
        <v>192</v>
      </c>
      <c r="B415" s="1" t="s">
        <v>57</v>
      </c>
      <c r="C415" s="1">
        <v>2044</v>
      </c>
      <c r="D415" s="1">
        <v>55.015543540000003</v>
      </c>
    </row>
    <row r="416" spans="1:4" x14ac:dyDescent="0.35">
      <c r="A416" s="1" t="s">
        <v>192</v>
      </c>
      <c r="B416" s="1" t="s">
        <v>57</v>
      </c>
      <c r="C416" s="1">
        <v>2045</v>
      </c>
      <c r="D416" s="1">
        <v>54.860422100000001</v>
      </c>
    </row>
    <row r="417" spans="1:4" x14ac:dyDescent="0.35">
      <c r="A417" s="1" t="s">
        <v>192</v>
      </c>
      <c r="B417" s="1" t="s">
        <v>57</v>
      </c>
      <c r="C417" s="1">
        <v>2046</v>
      </c>
      <c r="D417" s="1">
        <v>54.72856333</v>
      </c>
    </row>
    <row r="418" spans="1:4" x14ac:dyDescent="0.35">
      <c r="A418" s="1" t="s">
        <v>192</v>
      </c>
      <c r="B418" s="1" t="s">
        <v>57</v>
      </c>
      <c r="C418" s="1">
        <v>2047</v>
      </c>
      <c r="D418" s="1">
        <v>54.60140887</v>
      </c>
    </row>
    <row r="419" spans="1:4" x14ac:dyDescent="0.35">
      <c r="A419" s="1" t="s">
        <v>192</v>
      </c>
      <c r="B419" s="1" t="s">
        <v>57</v>
      </c>
      <c r="C419" s="1">
        <v>2048</v>
      </c>
      <c r="D419" s="1">
        <v>54.478719650000002</v>
      </c>
    </row>
    <row r="420" spans="1:4" x14ac:dyDescent="0.35">
      <c r="A420" s="1" t="s">
        <v>192</v>
      </c>
      <c r="B420" s="1" t="s">
        <v>57</v>
      </c>
      <c r="C420" s="1">
        <v>2049</v>
      </c>
      <c r="D420" s="1">
        <v>54.359442600000001</v>
      </c>
    </row>
    <row r="421" spans="1:4" x14ac:dyDescent="0.35">
      <c r="A421" s="1" t="s">
        <v>192</v>
      </c>
      <c r="B421" s="1" t="s">
        <v>57</v>
      </c>
      <c r="C421" s="1">
        <v>2050</v>
      </c>
      <c r="D421" s="1">
        <v>54.244248339999999</v>
      </c>
    </row>
    <row r="422" spans="1:4" x14ac:dyDescent="0.35">
      <c r="A422" s="1" t="s">
        <v>192</v>
      </c>
      <c r="B422" s="1" t="s">
        <v>58</v>
      </c>
      <c r="C422" s="1">
        <v>2021</v>
      </c>
      <c r="D422" s="1">
        <v>67.173110030000004</v>
      </c>
    </row>
    <row r="423" spans="1:4" x14ac:dyDescent="0.35">
      <c r="A423" s="1" t="s">
        <v>192</v>
      </c>
      <c r="B423" s="1" t="s">
        <v>58</v>
      </c>
      <c r="C423" s="1">
        <v>2022</v>
      </c>
      <c r="D423" s="1">
        <v>66.770753630000002</v>
      </c>
    </row>
    <row r="424" spans="1:4" x14ac:dyDescent="0.35">
      <c r="A424" s="1" t="s">
        <v>192</v>
      </c>
      <c r="B424" s="1" t="s">
        <v>58</v>
      </c>
      <c r="C424" s="1">
        <v>2023</v>
      </c>
      <c r="D424" s="1">
        <v>66.791086359999994</v>
      </c>
    </row>
    <row r="425" spans="1:4" x14ac:dyDescent="0.35">
      <c r="A425" s="1" t="s">
        <v>192</v>
      </c>
      <c r="B425" s="1" t="s">
        <v>58</v>
      </c>
      <c r="C425" s="1">
        <v>2024</v>
      </c>
      <c r="D425" s="1">
        <v>67.091174620000004</v>
      </c>
    </row>
    <row r="426" spans="1:4" x14ac:dyDescent="0.35">
      <c r="A426" s="1" t="s">
        <v>192</v>
      </c>
      <c r="B426" s="1" t="s">
        <v>58</v>
      </c>
      <c r="C426" s="1">
        <v>2025</v>
      </c>
      <c r="D426" s="1">
        <v>67.545796510000002</v>
      </c>
    </row>
    <row r="427" spans="1:4" x14ac:dyDescent="0.35">
      <c r="A427" s="1" t="s">
        <v>192</v>
      </c>
      <c r="B427" s="1" t="s">
        <v>58</v>
      </c>
      <c r="C427" s="1">
        <v>2026</v>
      </c>
      <c r="D427" s="1">
        <v>68.064183270000001</v>
      </c>
    </row>
    <row r="428" spans="1:4" x14ac:dyDescent="0.35">
      <c r="A428" s="1" t="s">
        <v>192</v>
      </c>
      <c r="B428" s="1" t="s">
        <v>58</v>
      </c>
      <c r="C428" s="1">
        <v>2027</v>
      </c>
      <c r="D428" s="1">
        <v>68.507260020000004</v>
      </c>
    </row>
    <row r="429" spans="1:4" x14ac:dyDescent="0.35">
      <c r="A429" s="1" t="s">
        <v>192</v>
      </c>
      <c r="B429" s="1" t="s">
        <v>58</v>
      </c>
      <c r="C429" s="1">
        <v>2028</v>
      </c>
      <c r="D429" s="1">
        <v>68.900294509999995</v>
      </c>
    </row>
    <row r="430" spans="1:4" x14ac:dyDescent="0.35">
      <c r="A430" s="1" t="s">
        <v>192</v>
      </c>
      <c r="B430" s="1" t="s">
        <v>58</v>
      </c>
      <c r="C430" s="1">
        <v>2029</v>
      </c>
      <c r="D430" s="1">
        <v>69.223300760000001</v>
      </c>
    </row>
    <row r="431" spans="1:4" x14ac:dyDescent="0.35">
      <c r="A431" s="1" t="s">
        <v>192</v>
      </c>
      <c r="B431" s="1" t="s">
        <v>58</v>
      </c>
      <c r="C431" s="1">
        <v>2030</v>
      </c>
      <c r="D431" s="1">
        <v>69.49666234</v>
      </c>
    </row>
    <row r="432" spans="1:4" x14ac:dyDescent="0.35">
      <c r="A432" s="1" t="s">
        <v>192</v>
      </c>
      <c r="B432" s="1" t="s">
        <v>58</v>
      </c>
      <c r="C432" s="1">
        <v>2031</v>
      </c>
      <c r="D432" s="1">
        <v>69.737034460000004</v>
      </c>
    </row>
    <row r="433" spans="1:4" x14ac:dyDescent="0.35">
      <c r="A433" s="1" t="s">
        <v>192</v>
      </c>
      <c r="B433" s="1" t="s">
        <v>58</v>
      </c>
      <c r="C433" s="1">
        <v>2032</v>
      </c>
      <c r="D433" s="1">
        <v>69.935308599999999</v>
      </c>
    </row>
    <row r="434" spans="1:4" x14ac:dyDescent="0.35">
      <c r="A434" s="1" t="s">
        <v>192</v>
      </c>
      <c r="B434" s="1" t="s">
        <v>58</v>
      </c>
      <c r="C434" s="1">
        <v>2033</v>
      </c>
      <c r="D434" s="1">
        <v>70.103250520000003</v>
      </c>
    </row>
    <row r="435" spans="1:4" x14ac:dyDescent="0.35">
      <c r="A435" s="1" t="s">
        <v>192</v>
      </c>
      <c r="B435" s="1" t="s">
        <v>58</v>
      </c>
      <c r="C435" s="1">
        <v>2034</v>
      </c>
      <c r="D435" s="1">
        <v>70.23127015</v>
      </c>
    </row>
    <row r="436" spans="1:4" x14ac:dyDescent="0.35">
      <c r="A436" s="1" t="s">
        <v>192</v>
      </c>
      <c r="B436" s="1" t="s">
        <v>58</v>
      </c>
      <c r="C436" s="1">
        <v>2035</v>
      </c>
      <c r="D436" s="1">
        <v>70.378238890000006</v>
      </c>
    </row>
    <row r="437" spans="1:4" x14ac:dyDescent="0.35">
      <c r="A437" s="1" t="s">
        <v>192</v>
      </c>
      <c r="B437" s="1" t="s">
        <v>58</v>
      </c>
      <c r="C437" s="1">
        <v>2036</v>
      </c>
      <c r="D437" s="1">
        <v>70.50932091</v>
      </c>
    </row>
    <row r="438" spans="1:4" x14ac:dyDescent="0.35">
      <c r="A438" s="1" t="s">
        <v>192</v>
      </c>
      <c r="B438" s="1" t="s">
        <v>58</v>
      </c>
      <c r="C438" s="1">
        <v>2037</v>
      </c>
      <c r="D438" s="1">
        <v>70.590148490000004</v>
      </c>
    </row>
    <row r="439" spans="1:4" x14ac:dyDescent="0.35">
      <c r="A439" s="1" t="s">
        <v>192</v>
      </c>
      <c r="B439" s="1" t="s">
        <v>58</v>
      </c>
      <c r="C439" s="1">
        <v>2038</v>
      </c>
      <c r="D439" s="1">
        <v>70.651177259999997</v>
      </c>
    </row>
    <row r="440" spans="1:4" x14ac:dyDescent="0.35">
      <c r="A440" s="1" t="s">
        <v>192</v>
      </c>
      <c r="B440" s="1" t="s">
        <v>58</v>
      </c>
      <c r="C440" s="1">
        <v>2039</v>
      </c>
      <c r="D440" s="1">
        <v>70.689585919999999</v>
      </c>
    </row>
    <row r="441" spans="1:4" x14ac:dyDescent="0.35">
      <c r="A441" s="1" t="s">
        <v>192</v>
      </c>
      <c r="B441" s="1" t="s">
        <v>58</v>
      </c>
      <c r="C441" s="1">
        <v>2040</v>
      </c>
      <c r="D441" s="1">
        <v>70.733426969999996</v>
      </c>
    </row>
    <row r="442" spans="1:4" x14ac:dyDescent="0.35">
      <c r="A442" s="1" t="s">
        <v>192</v>
      </c>
      <c r="B442" s="1" t="s">
        <v>58</v>
      </c>
      <c r="C442" s="1">
        <v>2041</v>
      </c>
      <c r="D442" s="1">
        <v>70.738201860000004</v>
      </c>
    </row>
    <row r="443" spans="1:4" x14ac:dyDescent="0.35">
      <c r="A443" s="1" t="s">
        <v>192</v>
      </c>
      <c r="B443" s="1" t="s">
        <v>58</v>
      </c>
      <c r="C443" s="1">
        <v>2042</v>
      </c>
      <c r="D443" s="1">
        <v>70.765457049999995</v>
      </c>
    </row>
    <row r="444" spans="1:4" x14ac:dyDescent="0.35">
      <c r="A444" s="1" t="s">
        <v>192</v>
      </c>
      <c r="B444" s="1" t="s">
        <v>58</v>
      </c>
      <c r="C444" s="1">
        <v>2043</v>
      </c>
      <c r="D444" s="1">
        <v>70.777699389999995</v>
      </c>
    </row>
    <row r="445" spans="1:4" x14ac:dyDescent="0.35">
      <c r="A445" s="1" t="s">
        <v>192</v>
      </c>
      <c r="B445" s="1" t="s">
        <v>58</v>
      </c>
      <c r="C445" s="1">
        <v>2044</v>
      </c>
      <c r="D445" s="1">
        <v>70.800857910000005</v>
      </c>
    </row>
    <row r="446" spans="1:4" x14ac:dyDescent="0.35">
      <c r="A446" s="1" t="s">
        <v>192</v>
      </c>
      <c r="B446" s="1" t="s">
        <v>58</v>
      </c>
      <c r="C446" s="1">
        <v>2045</v>
      </c>
      <c r="D446" s="1">
        <v>70.811804429999995</v>
      </c>
    </row>
    <row r="447" spans="1:4" x14ac:dyDescent="0.35">
      <c r="A447" s="1" t="s">
        <v>192</v>
      </c>
      <c r="B447" s="1" t="s">
        <v>58</v>
      </c>
      <c r="C447" s="1">
        <v>2046</v>
      </c>
      <c r="D447" s="1">
        <v>70.801796370000005</v>
      </c>
    </row>
    <row r="448" spans="1:4" x14ac:dyDescent="0.35">
      <c r="A448" s="1" t="s">
        <v>192</v>
      </c>
      <c r="B448" s="1" t="s">
        <v>58</v>
      </c>
      <c r="C448" s="1">
        <v>2047</v>
      </c>
      <c r="D448" s="1">
        <v>70.791928130000002</v>
      </c>
    </row>
    <row r="449" spans="1:4" x14ac:dyDescent="0.35">
      <c r="A449" s="1" t="s">
        <v>192</v>
      </c>
      <c r="B449" s="1" t="s">
        <v>58</v>
      </c>
      <c r="C449" s="1">
        <v>2048</v>
      </c>
      <c r="D449" s="1">
        <v>70.779669630000001</v>
      </c>
    </row>
    <row r="450" spans="1:4" x14ac:dyDescent="0.35">
      <c r="A450" s="1" t="s">
        <v>192</v>
      </c>
      <c r="B450" s="1" t="s">
        <v>58</v>
      </c>
      <c r="C450" s="1">
        <v>2049</v>
      </c>
      <c r="D450" s="1">
        <v>70.763760480000002</v>
      </c>
    </row>
    <row r="451" spans="1:4" x14ac:dyDescent="0.35">
      <c r="A451" s="1" t="s">
        <v>192</v>
      </c>
      <c r="B451" s="1" t="s">
        <v>58</v>
      </c>
      <c r="C451" s="1">
        <v>2050</v>
      </c>
      <c r="D451" s="1">
        <v>70.743732679999994</v>
      </c>
    </row>
    <row r="452" spans="1:4" x14ac:dyDescent="0.35">
      <c r="A452" s="1" t="s">
        <v>192</v>
      </c>
      <c r="B452" s="1" t="s">
        <v>59</v>
      </c>
      <c r="C452" s="1">
        <v>2021</v>
      </c>
      <c r="D452" s="1">
        <v>21.402840439999999</v>
      </c>
    </row>
    <row r="453" spans="1:4" x14ac:dyDescent="0.35">
      <c r="A453" s="1" t="s">
        <v>192</v>
      </c>
      <c r="B453" s="1" t="s">
        <v>59</v>
      </c>
      <c r="C453" s="1">
        <v>2022</v>
      </c>
      <c r="D453" s="1">
        <v>21.63715302</v>
      </c>
    </row>
    <row r="454" spans="1:4" x14ac:dyDescent="0.35">
      <c r="A454" s="1" t="s">
        <v>192</v>
      </c>
      <c r="B454" s="1" t="s">
        <v>59</v>
      </c>
      <c r="C454" s="1">
        <v>2023</v>
      </c>
      <c r="D454" s="1">
        <v>21.892243709999999</v>
      </c>
    </row>
    <row r="455" spans="1:4" x14ac:dyDescent="0.35">
      <c r="A455" s="1" t="s">
        <v>192</v>
      </c>
      <c r="B455" s="1" t="s">
        <v>59</v>
      </c>
      <c r="C455" s="1">
        <v>2024</v>
      </c>
      <c r="D455" s="1">
        <v>22.18221003</v>
      </c>
    </row>
    <row r="456" spans="1:4" x14ac:dyDescent="0.35">
      <c r="A456" s="1" t="s">
        <v>192</v>
      </c>
      <c r="B456" s="1" t="s">
        <v>59</v>
      </c>
      <c r="C456" s="1">
        <v>2025</v>
      </c>
      <c r="D456" s="1">
        <v>22.498739199999999</v>
      </c>
    </row>
    <row r="457" spans="1:4" x14ac:dyDescent="0.35">
      <c r="A457" s="1" t="s">
        <v>192</v>
      </c>
      <c r="B457" s="1" t="s">
        <v>59</v>
      </c>
      <c r="C457" s="1">
        <v>2026</v>
      </c>
      <c r="D457" s="1">
        <v>22.821879890000002</v>
      </c>
    </row>
    <row r="458" spans="1:4" x14ac:dyDescent="0.35">
      <c r="A458" s="1" t="s">
        <v>192</v>
      </c>
      <c r="B458" s="1" t="s">
        <v>59</v>
      </c>
      <c r="C458" s="1">
        <v>2027</v>
      </c>
      <c r="D458" s="1">
        <v>23.14275816</v>
      </c>
    </row>
    <row r="459" spans="1:4" x14ac:dyDescent="0.35">
      <c r="A459" s="1" t="s">
        <v>192</v>
      </c>
      <c r="B459" s="1" t="s">
        <v>59</v>
      </c>
      <c r="C459" s="1">
        <v>2028</v>
      </c>
      <c r="D459" s="1">
        <v>23.466085570000001</v>
      </c>
    </row>
    <row r="460" spans="1:4" x14ac:dyDescent="0.35">
      <c r="A460" s="1" t="s">
        <v>192</v>
      </c>
      <c r="B460" s="1" t="s">
        <v>59</v>
      </c>
      <c r="C460" s="1">
        <v>2029</v>
      </c>
      <c r="D460" s="1">
        <v>23.782863420000002</v>
      </c>
    </row>
    <row r="461" spans="1:4" x14ac:dyDescent="0.35">
      <c r="A461" s="1" t="s">
        <v>192</v>
      </c>
      <c r="B461" s="1" t="s">
        <v>59</v>
      </c>
      <c r="C461" s="1">
        <v>2030</v>
      </c>
      <c r="D461" s="1">
        <v>24.076328289999999</v>
      </c>
    </row>
    <row r="462" spans="1:4" x14ac:dyDescent="0.35">
      <c r="A462" s="1" t="s">
        <v>192</v>
      </c>
      <c r="B462" s="1" t="s">
        <v>59</v>
      </c>
      <c r="C462" s="1">
        <v>2031</v>
      </c>
      <c r="D462" s="1">
        <v>24.35896464</v>
      </c>
    </row>
    <row r="463" spans="1:4" x14ac:dyDescent="0.35">
      <c r="A463" s="1" t="s">
        <v>192</v>
      </c>
      <c r="B463" s="1" t="s">
        <v>59</v>
      </c>
      <c r="C463" s="1">
        <v>2032</v>
      </c>
      <c r="D463" s="1">
        <v>24.628775640000001</v>
      </c>
    </row>
    <row r="464" spans="1:4" x14ac:dyDescent="0.35">
      <c r="A464" s="1" t="s">
        <v>192</v>
      </c>
      <c r="B464" s="1" t="s">
        <v>59</v>
      </c>
      <c r="C464" s="1">
        <v>2033</v>
      </c>
      <c r="D464" s="1">
        <v>24.880207030000001</v>
      </c>
    </row>
    <row r="465" spans="1:4" x14ac:dyDescent="0.35">
      <c r="A465" s="1" t="s">
        <v>192</v>
      </c>
      <c r="B465" s="1" t="s">
        <v>59</v>
      </c>
      <c r="C465" s="1">
        <v>2034</v>
      </c>
      <c r="D465" s="1">
        <v>25.106427320000002</v>
      </c>
    </row>
    <row r="466" spans="1:4" x14ac:dyDescent="0.35">
      <c r="A466" s="1" t="s">
        <v>192</v>
      </c>
      <c r="B466" s="1" t="s">
        <v>59</v>
      </c>
      <c r="C466" s="1">
        <v>2035</v>
      </c>
      <c r="D466" s="1">
        <v>25.315454729999999</v>
      </c>
    </row>
    <row r="467" spans="1:4" x14ac:dyDescent="0.35">
      <c r="A467" s="1" t="s">
        <v>192</v>
      </c>
      <c r="B467" s="1" t="s">
        <v>59</v>
      </c>
      <c r="C467" s="1">
        <v>2036</v>
      </c>
      <c r="D467" s="1">
        <v>25.52296991</v>
      </c>
    </row>
    <row r="468" spans="1:4" x14ac:dyDescent="0.35">
      <c r="A468" s="1" t="s">
        <v>192</v>
      </c>
      <c r="B468" s="1" t="s">
        <v>59</v>
      </c>
      <c r="C468" s="1">
        <v>2037</v>
      </c>
      <c r="D468" s="1">
        <v>25.698888369999999</v>
      </c>
    </row>
    <row r="469" spans="1:4" x14ac:dyDescent="0.35">
      <c r="A469" s="1" t="s">
        <v>192</v>
      </c>
      <c r="B469" s="1" t="s">
        <v>59</v>
      </c>
      <c r="C469" s="1">
        <v>2038</v>
      </c>
      <c r="D469" s="1">
        <v>25.853786800000002</v>
      </c>
    </row>
    <row r="470" spans="1:4" x14ac:dyDescent="0.35">
      <c r="A470" s="1" t="s">
        <v>192</v>
      </c>
      <c r="B470" s="1" t="s">
        <v>59</v>
      </c>
      <c r="C470" s="1">
        <v>2039</v>
      </c>
      <c r="D470" s="1">
        <v>26.00739016</v>
      </c>
    </row>
    <row r="471" spans="1:4" x14ac:dyDescent="0.35">
      <c r="A471" s="1" t="s">
        <v>192</v>
      </c>
      <c r="B471" s="1" t="s">
        <v>59</v>
      </c>
      <c r="C471" s="1">
        <v>2040</v>
      </c>
      <c r="D471" s="1">
        <v>26.111740879999999</v>
      </c>
    </row>
    <row r="472" spans="1:4" x14ac:dyDescent="0.35">
      <c r="A472" s="1" t="s">
        <v>192</v>
      </c>
      <c r="B472" s="1" t="s">
        <v>59</v>
      </c>
      <c r="C472" s="1">
        <v>2041</v>
      </c>
      <c r="D472" s="1">
        <v>26.194892849999999</v>
      </c>
    </row>
    <row r="473" spans="1:4" x14ac:dyDescent="0.35">
      <c r="A473" s="1" t="s">
        <v>192</v>
      </c>
      <c r="B473" s="1" t="s">
        <v>59</v>
      </c>
      <c r="C473" s="1">
        <v>2042</v>
      </c>
      <c r="D473" s="1">
        <v>26.284669869999998</v>
      </c>
    </row>
    <row r="474" spans="1:4" x14ac:dyDescent="0.35">
      <c r="A474" s="1" t="s">
        <v>192</v>
      </c>
      <c r="B474" s="1" t="s">
        <v>59</v>
      </c>
      <c r="C474" s="1">
        <v>2043</v>
      </c>
      <c r="D474" s="1">
        <v>26.348263750000001</v>
      </c>
    </row>
    <row r="475" spans="1:4" x14ac:dyDescent="0.35">
      <c r="A475" s="1" t="s">
        <v>192</v>
      </c>
      <c r="B475" s="1" t="s">
        <v>59</v>
      </c>
      <c r="C475" s="1">
        <v>2044</v>
      </c>
      <c r="D475" s="1">
        <v>26.378598180000001</v>
      </c>
    </row>
    <row r="476" spans="1:4" x14ac:dyDescent="0.35">
      <c r="A476" s="1" t="s">
        <v>192</v>
      </c>
      <c r="B476" s="1" t="s">
        <v>59</v>
      </c>
      <c r="C476" s="1">
        <v>2045</v>
      </c>
      <c r="D476" s="1">
        <v>26.392765239999999</v>
      </c>
    </row>
    <row r="477" spans="1:4" x14ac:dyDescent="0.35">
      <c r="A477" s="1" t="s">
        <v>192</v>
      </c>
      <c r="B477" s="1" t="s">
        <v>59</v>
      </c>
      <c r="C477" s="1">
        <v>2046</v>
      </c>
      <c r="D477" s="1">
        <v>26.38942681</v>
      </c>
    </row>
    <row r="478" spans="1:4" x14ac:dyDescent="0.35">
      <c r="A478" s="1" t="s">
        <v>192</v>
      </c>
      <c r="B478" s="1" t="s">
        <v>59</v>
      </c>
      <c r="C478" s="1">
        <v>2047</v>
      </c>
      <c r="D478" s="1">
        <v>26.383123609999998</v>
      </c>
    </row>
    <row r="479" spans="1:4" x14ac:dyDescent="0.35">
      <c r="A479" s="1" t="s">
        <v>192</v>
      </c>
      <c r="B479" s="1" t="s">
        <v>59</v>
      </c>
      <c r="C479" s="1">
        <v>2048</v>
      </c>
      <c r="D479" s="1">
        <v>26.373609989999999</v>
      </c>
    </row>
    <row r="480" spans="1:4" x14ac:dyDescent="0.35">
      <c r="A480" s="1" t="s">
        <v>192</v>
      </c>
      <c r="B480" s="1" t="s">
        <v>59</v>
      </c>
      <c r="C480" s="1">
        <v>2049</v>
      </c>
      <c r="D480" s="1">
        <v>26.3607835</v>
      </c>
    </row>
    <row r="481" spans="1:4" x14ac:dyDescent="0.35">
      <c r="A481" s="1" t="s">
        <v>192</v>
      </c>
      <c r="B481" s="1" t="s">
        <v>59</v>
      </c>
      <c r="C481" s="1">
        <v>2050</v>
      </c>
      <c r="D481" s="1">
        <v>26.345640270000001</v>
      </c>
    </row>
    <row r="482" spans="1:4" x14ac:dyDescent="0.35">
      <c r="A482" s="1" t="s">
        <v>192</v>
      </c>
      <c r="B482" s="1" t="s">
        <v>60</v>
      </c>
      <c r="C482" s="1">
        <v>2021</v>
      </c>
      <c r="D482" s="1">
        <v>23.92993019</v>
      </c>
    </row>
    <row r="483" spans="1:4" x14ac:dyDescent="0.35">
      <c r="A483" s="1" t="s">
        <v>192</v>
      </c>
      <c r="B483" s="1" t="s">
        <v>60</v>
      </c>
      <c r="C483" s="1">
        <v>2022</v>
      </c>
      <c r="D483" s="1">
        <v>24.77287522</v>
      </c>
    </row>
    <row r="484" spans="1:4" x14ac:dyDescent="0.35">
      <c r="A484" s="1" t="s">
        <v>192</v>
      </c>
      <c r="B484" s="1" t="s">
        <v>60</v>
      </c>
      <c r="C484" s="1">
        <v>2023</v>
      </c>
      <c r="D484" s="1">
        <v>25.523077480000001</v>
      </c>
    </row>
    <row r="485" spans="1:4" x14ac:dyDescent="0.35">
      <c r="A485" s="1" t="s">
        <v>192</v>
      </c>
      <c r="B485" s="1" t="s">
        <v>60</v>
      </c>
      <c r="C485" s="1">
        <v>2024</v>
      </c>
      <c r="D485" s="1">
        <v>26.274555060000001</v>
      </c>
    </row>
    <row r="486" spans="1:4" x14ac:dyDescent="0.35">
      <c r="A486" s="1" t="s">
        <v>192</v>
      </c>
      <c r="B486" s="1" t="s">
        <v>60</v>
      </c>
      <c r="C486" s="1">
        <v>2025</v>
      </c>
      <c r="D486" s="1">
        <v>27.010315299999998</v>
      </c>
    </row>
    <row r="487" spans="1:4" x14ac:dyDescent="0.35">
      <c r="A487" s="1" t="s">
        <v>192</v>
      </c>
      <c r="B487" s="1" t="s">
        <v>60</v>
      </c>
      <c r="C487" s="1">
        <v>2026</v>
      </c>
      <c r="D487" s="1">
        <v>27.695845500000001</v>
      </c>
    </row>
    <row r="488" spans="1:4" x14ac:dyDescent="0.35">
      <c r="A488" s="1" t="s">
        <v>192</v>
      </c>
      <c r="B488" s="1" t="s">
        <v>60</v>
      </c>
      <c r="C488" s="1">
        <v>2027</v>
      </c>
      <c r="D488" s="1">
        <v>28.282328010000001</v>
      </c>
    </row>
    <row r="489" spans="1:4" x14ac:dyDescent="0.35">
      <c r="A489" s="1" t="s">
        <v>192</v>
      </c>
      <c r="B489" s="1" t="s">
        <v>60</v>
      </c>
      <c r="C489" s="1">
        <v>2028</v>
      </c>
      <c r="D489" s="1">
        <v>28.837880519999999</v>
      </c>
    </row>
    <row r="490" spans="1:4" x14ac:dyDescent="0.35">
      <c r="A490" s="1" t="s">
        <v>192</v>
      </c>
      <c r="B490" s="1" t="s">
        <v>60</v>
      </c>
      <c r="C490" s="1">
        <v>2029</v>
      </c>
      <c r="D490" s="1">
        <v>29.321985290000001</v>
      </c>
    </row>
    <row r="491" spans="1:4" x14ac:dyDescent="0.35">
      <c r="A491" s="1" t="s">
        <v>192</v>
      </c>
      <c r="B491" s="1" t="s">
        <v>60</v>
      </c>
      <c r="C491" s="1">
        <v>2030</v>
      </c>
      <c r="D491" s="1">
        <v>29.714041649999999</v>
      </c>
    </row>
    <row r="492" spans="1:4" x14ac:dyDescent="0.35">
      <c r="A492" s="1" t="s">
        <v>192</v>
      </c>
      <c r="B492" s="1" t="s">
        <v>60</v>
      </c>
      <c r="C492" s="1">
        <v>2031</v>
      </c>
      <c r="D492" s="1">
        <v>29.984664840000001</v>
      </c>
    </row>
    <row r="493" spans="1:4" x14ac:dyDescent="0.35">
      <c r="A493" s="1" t="s">
        <v>192</v>
      </c>
      <c r="B493" s="1" t="s">
        <v>60</v>
      </c>
      <c r="C493" s="1">
        <v>2032</v>
      </c>
      <c r="D493" s="1">
        <v>30.210455549999999</v>
      </c>
    </row>
    <row r="494" spans="1:4" x14ac:dyDescent="0.35">
      <c r="A494" s="1" t="s">
        <v>192</v>
      </c>
      <c r="B494" s="1" t="s">
        <v>60</v>
      </c>
      <c r="C494" s="1">
        <v>2033</v>
      </c>
      <c r="D494" s="1">
        <v>30.36938713</v>
      </c>
    </row>
    <row r="495" spans="1:4" x14ac:dyDescent="0.35">
      <c r="A495" s="1" t="s">
        <v>192</v>
      </c>
      <c r="B495" s="1" t="s">
        <v>60</v>
      </c>
      <c r="C495" s="1">
        <v>2034</v>
      </c>
      <c r="D495" s="1">
        <v>30.450431590000001</v>
      </c>
    </row>
    <row r="496" spans="1:4" x14ac:dyDescent="0.35">
      <c r="A496" s="1" t="s">
        <v>192</v>
      </c>
      <c r="B496" s="1" t="s">
        <v>60</v>
      </c>
      <c r="C496" s="1">
        <v>2035</v>
      </c>
      <c r="D496" s="1">
        <v>30.53049322</v>
      </c>
    </row>
    <row r="497" spans="1:4" x14ac:dyDescent="0.35">
      <c r="A497" s="1" t="s">
        <v>192</v>
      </c>
      <c r="B497" s="1" t="s">
        <v>60</v>
      </c>
      <c r="C497" s="1">
        <v>2036</v>
      </c>
      <c r="D497" s="1">
        <v>30.599576970000001</v>
      </c>
    </row>
    <row r="498" spans="1:4" x14ac:dyDescent="0.35">
      <c r="A498" s="1" t="s">
        <v>192</v>
      </c>
      <c r="B498" s="1" t="s">
        <v>60</v>
      </c>
      <c r="C498" s="1">
        <v>2037</v>
      </c>
      <c r="D498" s="1">
        <v>30.661390279999999</v>
      </c>
    </row>
    <row r="499" spans="1:4" x14ac:dyDescent="0.35">
      <c r="A499" s="1" t="s">
        <v>192</v>
      </c>
      <c r="B499" s="1" t="s">
        <v>60</v>
      </c>
      <c r="C499" s="1">
        <v>2038</v>
      </c>
      <c r="D499" s="1">
        <v>30.693286530000002</v>
      </c>
    </row>
    <row r="500" spans="1:4" x14ac:dyDescent="0.35">
      <c r="A500" s="1" t="s">
        <v>192</v>
      </c>
      <c r="B500" s="1" t="s">
        <v>60</v>
      </c>
      <c r="C500" s="1">
        <v>2039</v>
      </c>
      <c r="D500" s="1">
        <v>30.7123633</v>
      </c>
    </row>
    <row r="501" spans="1:4" x14ac:dyDescent="0.35">
      <c r="A501" s="1" t="s">
        <v>192</v>
      </c>
      <c r="B501" s="1" t="s">
        <v>60</v>
      </c>
      <c r="C501" s="1">
        <v>2040</v>
      </c>
      <c r="D501" s="1">
        <v>30.73196343</v>
      </c>
    </row>
    <row r="502" spans="1:4" x14ac:dyDescent="0.35">
      <c r="A502" s="1" t="s">
        <v>192</v>
      </c>
      <c r="B502" s="1" t="s">
        <v>60</v>
      </c>
      <c r="C502" s="1">
        <v>2041</v>
      </c>
      <c r="D502" s="1">
        <v>30.737451159999999</v>
      </c>
    </row>
    <row r="503" spans="1:4" x14ac:dyDescent="0.35">
      <c r="A503" s="1" t="s">
        <v>192</v>
      </c>
      <c r="B503" s="1" t="s">
        <v>60</v>
      </c>
      <c r="C503" s="1">
        <v>2042</v>
      </c>
      <c r="D503" s="1">
        <v>30.747256790000002</v>
      </c>
    </row>
    <row r="504" spans="1:4" x14ac:dyDescent="0.35">
      <c r="A504" s="1" t="s">
        <v>192</v>
      </c>
      <c r="B504" s="1" t="s">
        <v>60</v>
      </c>
      <c r="C504" s="1">
        <v>2043</v>
      </c>
      <c r="D504" s="1">
        <v>30.74411199</v>
      </c>
    </row>
    <row r="505" spans="1:4" x14ac:dyDescent="0.35">
      <c r="A505" s="1" t="s">
        <v>192</v>
      </c>
      <c r="B505" s="1" t="s">
        <v>60</v>
      </c>
      <c r="C505" s="1">
        <v>2044</v>
      </c>
      <c r="D505" s="1">
        <v>30.746904860000001</v>
      </c>
    </row>
    <row r="506" spans="1:4" x14ac:dyDescent="0.35">
      <c r="A506" s="1" t="s">
        <v>192</v>
      </c>
      <c r="B506" s="1" t="s">
        <v>60</v>
      </c>
      <c r="C506" s="1">
        <v>2045</v>
      </c>
      <c r="D506" s="1">
        <v>30.742760789999998</v>
      </c>
    </row>
    <row r="507" spans="1:4" x14ac:dyDescent="0.35">
      <c r="A507" s="1" t="s">
        <v>192</v>
      </c>
      <c r="B507" s="1" t="s">
        <v>60</v>
      </c>
      <c r="C507" s="1">
        <v>2046</v>
      </c>
      <c r="D507" s="1">
        <v>30.722502339999998</v>
      </c>
    </row>
    <row r="508" spans="1:4" x14ac:dyDescent="0.35">
      <c r="A508" s="1" t="s">
        <v>192</v>
      </c>
      <c r="B508" s="1" t="s">
        <v>60</v>
      </c>
      <c r="C508" s="1">
        <v>2047</v>
      </c>
      <c r="D508" s="1">
        <v>30.70241176</v>
      </c>
    </row>
    <row r="509" spans="1:4" x14ac:dyDescent="0.35">
      <c r="A509" s="1" t="s">
        <v>192</v>
      </c>
      <c r="B509" s="1" t="s">
        <v>60</v>
      </c>
      <c r="C509" s="1">
        <v>2048</v>
      </c>
      <c r="D509" s="1">
        <v>30.680564449999999</v>
      </c>
    </row>
    <row r="510" spans="1:4" x14ac:dyDescent="0.35">
      <c r="A510" s="1" t="s">
        <v>192</v>
      </c>
      <c r="B510" s="1" t="s">
        <v>60</v>
      </c>
      <c r="C510" s="1">
        <v>2049</v>
      </c>
      <c r="D510" s="1">
        <v>30.656082229999999</v>
      </c>
    </row>
    <row r="511" spans="1:4" x14ac:dyDescent="0.35">
      <c r="A511" s="1" t="s">
        <v>192</v>
      </c>
      <c r="B511" s="1" t="s">
        <v>60</v>
      </c>
      <c r="C511" s="1">
        <v>2050</v>
      </c>
      <c r="D511" s="1">
        <v>30.6292598</v>
      </c>
    </row>
    <row r="512" spans="1:4" x14ac:dyDescent="0.35">
      <c r="A512" s="1" t="s">
        <v>192</v>
      </c>
      <c r="B512" s="1" t="s">
        <v>61</v>
      </c>
      <c r="C512" s="1">
        <v>2021</v>
      </c>
      <c r="D512" s="1">
        <v>20.849485829999999</v>
      </c>
    </row>
    <row r="513" spans="1:4" x14ac:dyDescent="0.35">
      <c r="A513" s="1" t="s">
        <v>192</v>
      </c>
      <c r="B513" s="1" t="s">
        <v>61</v>
      </c>
      <c r="C513" s="1">
        <v>2022</v>
      </c>
      <c r="D513" s="1">
        <v>21.131209949999999</v>
      </c>
    </row>
    <row r="514" spans="1:4" x14ac:dyDescent="0.35">
      <c r="A514" s="1" t="s">
        <v>192</v>
      </c>
      <c r="B514" s="1" t="s">
        <v>61</v>
      </c>
      <c r="C514" s="1">
        <v>2023</v>
      </c>
      <c r="D514" s="1">
        <v>21.445780320000001</v>
      </c>
    </row>
    <row r="515" spans="1:4" x14ac:dyDescent="0.35">
      <c r="A515" s="1" t="s">
        <v>192</v>
      </c>
      <c r="B515" s="1" t="s">
        <v>61</v>
      </c>
      <c r="C515" s="1">
        <v>2024</v>
      </c>
      <c r="D515" s="1">
        <v>21.78840224</v>
      </c>
    </row>
    <row r="516" spans="1:4" x14ac:dyDescent="0.35">
      <c r="A516" s="1" t="s">
        <v>192</v>
      </c>
      <c r="B516" s="1" t="s">
        <v>61</v>
      </c>
      <c r="C516" s="1">
        <v>2025</v>
      </c>
      <c r="D516" s="1">
        <v>22.15289752</v>
      </c>
    </row>
    <row r="517" spans="1:4" x14ac:dyDescent="0.35">
      <c r="A517" s="1" t="s">
        <v>192</v>
      </c>
      <c r="B517" s="1" t="s">
        <v>61</v>
      </c>
      <c r="C517" s="1">
        <v>2026</v>
      </c>
      <c r="D517" s="1">
        <v>22.519436079999998</v>
      </c>
    </row>
    <row r="518" spans="1:4" x14ac:dyDescent="0.35">
      <c r="A518" s="1" t="s">
        <v>192</v>
      </c>
      <c r="B518" s="1" t="s">
        <v>61</v>
      </c>
      <c r="C518" s="1">
        <v>2027</v>
      </c>
      <c r="D518" s="1">
        <v>22.872604840000001</v>
      </c>
    </row>
    <row r="519" spans="1:4" x14ac:dyDescent="0.35">
      <c r="A519" s="1" t="s">
        <v>192</v>
      </c>
      <c r="B519" s="1" t="s">
        <v>61</v>
      </c>
      <c r="C519" s="1">
        <v>2028</v>
      </c>
      <c r="D519" s="1">
        <v>23.25371943</v>
      </c>
    </row>
    <row r="520" spans="1:4" x14ac:dyDescent="0.35">
      <c r="A520" s="1" t="s">
        <v>192</v>
      </c>
      <c r="B520" s="1" t="s">
        <v>61</v>
      </c>
      <c r="C520" s="1">
        <v>2029</v>
      </c>
      <c r="D520" s="1">
        <v>23.634955949999998</v>
      </c>
    </row>
    <row r="521" spans="1:4" x14ac:dyDescent="0.35">
      <c r="A521" s="1" t="s">
        <v>192</v>
      </c>
      <c r="B521" s="1" t="s">
        <v>61</v>
      </c>
      <c r="C521" s="1">
        <v>2030</v>
      </c>
      <c r="D521" s="1">
        <v>24.007188339999999</v>
      </c>
    </row>
    <row r="522" spans="1:4" x14ac:dyDescent="0.35">
      <c r="A522" s="1" t="s">
        <v>192</v>
      </c>
      <c r="B522" s="1" t="s">
        <v>61</v>
      </c>
      <c r="C522" s="1">
        <v>2031</v>
      </c>
      <c r="D522" s="1">
        <v>24.3526627</v>
      </c>
    </row>
    <row r="523" spans="1:4" x14ac:dyDescent="0.35">
      <c r="A523" s="1" t="s">
        <v>192</v>
      </c>
      <c r="B523" s="1" t="s">
        <v>61</v>
      </c>
      <c r="C523" s="1">
        <v>2032</v>
      </c>
      <c r="D523" s="1">
        <v>24.67473609</v>
      </c>
    </row>
    <row r="524" spans="1:4" x14ac:dyDescent="0.35">
      <c r="A524" s="1" t="s">
        <v>192</v>
      </c>
      <c r="B524" s="1" t="s">
        <v>61</v>
      </c>
      <c r="C524" s="1">
        <v>2033</v>
      </c>
      <c r="D524" s="1">
        <v>24.950209090000001</v>
      </c>
    </row>
    <row r="525" spans="1:4" x14ac:dyDescent="0.35">
      <c r="A525" s="1" t="s">
        <v>192</v>
      </c>
      <c r="B525" s="1" t="s">
        <v>61</v>
      </c>
      <c r="C525" s="1">
        <v>2034</v>
      </c>
      <c r="D525" s="1">
        <v>25.186535549999999</v>
      </c>
    </row>
    <row r="526" spans="1:4" x14ac:dyDescent="0.35">
      <c r="A526" s="1" t="s">
        <v>192</v>
      </c>
      <c r="B526" s="1" t="s">
        <v>61</v>
      </c>
      <c r="C526" s="1">
        <v>2035</v>
      </c>
      <c r="D526" s="1">
        <v>25.406429190000001</v>
      </c>
    </row>
    <row r="527" spans="1:4" x14ac:dyDescent="0.35">
      <c r="A527" s="1" t="s">
        <v>192</v>
      </c>
      <c r="B527" s="1" t="s">
        <v>61</v>
      </c>
      <c r="C527" s="1">
        <v>2036</v>
      </c>
      <c r="D527" s="1">
        <v>25.612718130000001</v>
      </c>
    </row>
    <row r="528" spans="1:4" x14ac:dyDescent="0.35">
      <c r="A528" s="1" t="s">
        <v>192</v>
      </c>
      <c r="B528" s="1" t="s">
        <v>61</v>
      </c>
      <c r="C528" s="1">
        <v>2037</v>
      </c>
      <c r="D528" s="1">
        <v>25.759409099999999</v>
      </c>
    </row>
    <row r="529" spans="1:4" x14ac:dyDescent="0.35">
      <c r="A529" s="1" t="s">
        <v>192</v>
      </c>
      <c r="B529" s="1" t="s">
        <v>61</v>
      </c>
      <c r="C529" s="1">
        <v>2038</v>
      </c>
      <c r="D529" s="1">
        <v>25.87945319</v>
      </c>
    </row>
    <row r="530" spans="1:4" x14ac:dyDescent="0.35">
      <c r="A530" s="1" t="s">
        <v>192</v>
      </c>
      <c r="B530" s="1" t="s">
        <v>61</v>
      </c>
      <c r="C530" s="1">
        <v>2039</v>
      </c>
      <c r="D530" s="1">
        <v>25.961980520000001</v>
      </c>
    </row>
    <row r="531" spans="1:4" x14ac:dyDescent="0.35">
      <c r="A531" s="1" t="s">
        <v>192</v>
      </c>
      <c r="B531" s="1" t="s">
        <v>61</v>
      </c>
      <c r="C531" s="1">
        <v>2040</v>
      </c>
      <c r="D531" s="1">
        <v>26.06602474</v>
      </c>
    </row>
    <row r="532" spans="1:4" x14ac:dyDescent="0.35">
      <c r="A532" s="1" t="s">
        <v>192</v>
      </c>
      <c r="B532" s="1" t="s">
        <v>61</v>
      </c>
      <c r="C532" s="1">
        <v>2041</v>
      </c>
      <c r="D532" s="1">
        <v>26.145194799999999</v>
      </c>
    </row>
    <row r="533" spans="1:4" x14ac:dyDescent="0.35">
      <c r="A533" s="1" t="s">
        <v>192</v>
      </c>
      <c r="B533" s="1" t="s">
        <v>61</v>
      </c>
      <c r="C533" s="1">
        <v>2042</v>
      </c>
      <c r="D533" s="1">
        <v>26.20626759</v>
      </c>
    </row>
    <row r="534" spans="1:4" x14ac:dyDescent="0.35">
      <c r="A534" s="1" t="s">
        <v>192</v>
      </c>
      <c r="B534" s="1" t="s">
        <v>61</v>
      </c>
      <c r="C534" s="1">
        <v>2043</v>
      </c>
      <c r="D534" s="1">
        <v>26.254046240000001</v>
      </c>
    </row>
    <row r="535" spans="1:4" x14ac:dyDescent="0.35">
      <c r="A535" s="1" t="s">
        <v>192</v>
      </c>
      <c r="B535" s="1" t="s">
        <v>61</v>
      </c>
      <c r="C535" s="1">
        <v>2044</v>
      </c>
      <c r="D535" s="1">
        <v>26.323086289999999</v>
      </c>
    </row>
    <row r="536" spans="1:4" x14ac:dyDescent="0.35">
      <c r="A536" s="1" t="s">
        <v>192</v>
      </c>
      <c r="B536" s="1" t="s">
        <v>61</v>
      </c>
      <c r="C536" s="1">
        <v>2045</v>
      </c>
      <c r="D536" s="1">
        <v>26.3554067</v>
      </c>
    </row>
    <row r="537" spans="1:4" x14ac:dyDescent="0.35">
      <c r="A537" s="1" t="s">
        <v>192</v>
      </c>
      <c r="B537" s="1" t="s">
        <v>61</v>
      </c>
      <c r="C537" s="1">
        <v>2046</v>
      </c>
      <c r="D537" s="1">
        <v>26.33179956</v>
      </c>
    </row>
    <row r="538" spans="1:4" x14ac:dyDescent="0.35">
      <c r="A538" s="1" t="s">
        <v>192</v>
      </c>
      <c r="B538" s="1" t="s">
        <v>61</v>
      </c>
      <c r="C538" s="1">
        <v>2047</v>
      </c>
      <c r="D538" s="1">
        <v>26.306446220000002</v>
      </c>
    </row>
    <row r="539" spans="1:4" x14ac:dyDescent="0.35">
      <c r="A539" s="1" t="s">
        <v>192</v>
      </c>
      <c r="B539" s="1" t="s">
        <v>61</v>
      </c>
      <c r="C539" s="1">
        <v>2048</v>
      </c>
      <c r="D539" s="1">
        <v>26.279201019999999</v>
      </c>
    </row>
    <row r="540" spans="1:4" x14ac:dyDescent="0.35">
      <c r="A540" s="1" t="s">
        <v>192</v>
      </c>
      <c r="B540" s="1" t="s">
        <v>61</v>
      </c>
      <c r="C540" s="1">
        <v>2049</v>
      </c>
      <c r="D540" s="1">
        <v>26.249826219999999</v>
      </c>
    </row>
    <row r="541" spans="1:4" x14ac:dyDescent="0.35">
      <c r="A541" s="1" t="s">
        <v>192</v>
      </c>
      <c r="B541" s="1" t="s">
        <v>61</v>
      </c>
      <c r="C541" s="1">
        <v>2050</v>
      </c>
      <c r="D541" s="1">
        <v>26.218602260000001</v>
      </c>
    </row>
    <row r="542" spans="1:4" x14ac:dyDescent="0.35">
      <c r="A542" s="1" t="s">
        <v>192</v>
      </c>
      <c r="B542" s="1" t="s">
        <v>62</v>
      </c>
      <c r="C542" s="1">
        <v>2021</v>
      </c>
      <c r="D542" s="1">
        <v>34.214214069999997</v>
      </c>
    </row>
    <row r="543" spans="1:4" x14ac:dyDescent="0.35">
      <c r="A543" s="1" t="s">
        <v>192</v>
      </c>
      <c r="B543" s="1" t="s">
        <v>62</v>
      </c>
      <c r="C543" s="1">
        <v>2022</v>
      </c>
      <c r="D543" s="1">
        <v>35.081131689999999</v>
      </c>
    </row>
    <row r="544" spans="1:4" x14ac:dyDescent="0.35">
      <c r="A544" s="1" t="s">
        <v>192</v>
      </c>
      <c r="B544" s="1" t="s">
        <v>62</v>
      </c>
      <c r="C544" s="1">
        <v>2023</v>
      </c>
      <c r="D544" s="1">
        <v>35.84596166</v>
      </c>
    </row>
    <row r="545" spans="1:4" x14ac:dyDescent="0.35">
      <c r="A545" s="1" t="s">
        <v>192</v>
      </c>
      <c r="B545" s="1" t="s">
        <v>62</v>
      </c>
      <c r="C545" s="1">
        <v>2024</v>
      </c>
      <c r="D545" s="1">
        <v>36.527060030000001</v>
      </c>
    </row>
    <row r="546" spans="1:4" x14ac:dyDescent="0.35">
      <c r="A546" s="1" t="s">
        <v>192</v>
      </c>
      <c r="B546" s="1" t="s">
        <v>62</v>
      </c>
      <c r="C546" s="1">
        <v>2025</v>
      </c>
      <c r="D546" s="1">
        <v>37.129093679999997</v>
      </c>
    </row>
    <row r="547" spans="1:4" x14ac:dyDescent="0.35">
      <c r="A547" s="1" t="s">
        <v>192</v>
      </c>
      <c r="B547" s="1" t="s">
        <v>62</v>
      </c>
      <c r="C547" s="1">
        <v>2026</v>
      </c>
      <c r="D547" s="1">
        <v>37.686588980000003</v>
      </c>
    </row>
    <row r="548" spans="1:4" x14ac:dyDescent="0.35">
      <c r="A548" s="1" t="s">
        <v>192</v>
      </c>
      <c r="B548" s="1" t="s">
        <v>62</v>
      </c>
      <c r="C548" s="1">
        <v>2027</v>
      </c>
      <c r="D548" s="1">
        <v>38.171409429999997</v>
      </c>
    </row>
    <row r="549" spans="1:4" x14ac:dyDescent="0.35">
      <c r="A549" s="1" t="s">
        <v>192</v>
      </c>
      <c r="B549" s="1" t="s">
        <v>62</v>
      </c>
      <c r="C549" s="1">
        <v>2028</v>
      </c>
      <c r="D549" s="1">
        <v>38.590897269999999</v>
      </c>
    </row>
    <row r="550" spans="1:4" x14ac:dyDescent="0.35">
      <c r="A550" s="1" t="s">
        <v>192</v>
      </c>
      <c r="B550" s="1" t="s">
        <v>62</v>
      </c>
      <c r="C550" s="1">
        <v>2029</v>
      </c>
      <c r="D550" s="1">
        <v>38.93764015</v>
      </c>
    </row>
    <row r="551" spans="1:4" x14ac:dyDescent="0.35">
      <c r="A551" s="1" t="s">
        <v>192</v>
      </c>
      <c r="B551" s="1" t="s">
        <v>62</v>
      </c>
      <c r="C551" s="1">
        <v>2030</v>
      </c>
      <c r="D551" s="1">
        <v>39.246416410000002</v>
      </c>
    </row>
    <row r="552" spans="1:4" x14ac:dyDescent="0.35">
      <c r="A552" s="1" t="s">
        <v>192</v>
      </c>
      <c r="B552" s="1" t="s">
        <v>62</v>
      </c>
      <c r="C552" s="1">
        <v>2031</v>
      </c>
      <c r="D552" s="1">
        <v>39.52080368</v>
      </c>
    </row>
    <row r="553" spans="1:4" x14ac:dyDescent="0.35">
      <c r="A553" s="1" t="s">
        <v>192</v>
      </c>
      <c r="B553" s="1" t="s">
        <v>62</v>
      </c>
      <c r="C553" s="1">
        <v>2032</v>
      </c>
      <c r="D553" s="1">
        <v>39.751850259999998</v>
      </c>
    </row>
    <row r="554" spans="1:4" x14ac:dyDescent="0.35">
      <c r="A554" s="1" t="s">
        <v>192</v>
      </c>
      <c r="B554" s="1" t="s">
        <v>62</v>
      </c>
      <c r="C554" s="1">
        <v>2033</v>
      </c>
      <c r="D554" s="1">
        <v>39.944141000000002</v>
      </c>
    </row>
    <row r="555" spans="1:4" x14ac:dyDescent="0.35">
      <c r="A555" s="1" t="s">
        <v>192</v>
      </c>
      <c r="B555" s="1" t="s">
        <v>62</v>
      </c>
      <c r="C555" s="1">
        <v>2034</v>
      </c>
      <c r="D555" s="1">
        <v>40.103918839999999</v>
      </c>
    </row>
    <row r="556" spans="1:4" x14ac:dyDescent="0.35">
      <c r="A556" s="1" t="s">
        <v>192</v>
      </c>
      <c r="B556" s="1" t="s">
        <v>62</v>
      </c>
      <c r="C556" s="1">
        <v>2035</v>
      </c>
      <c r="D556" s="1">
        <v>40.264487279999997</v>
      </c>
    </row>
    <row r="557" spans="1:4" x14ac:dyDescent="0.35">
      <c r="A557" s="1" t="s">
        <v>192</v>
      </c>
      <c r="B557" s="1" t="s">
        <v>62</v>
      </c>
      <c r="C557" s="1">
        <v>2036</v>
      </c>
      <c r="D557" s="1">
        <v>40.406957800000001</v>
      </c>
    </row>
    <row r="558" spans="1:4" x14ac:dyDescent="0.35">
      <c r="A558" s="1" t="s">
        <v>192</v>
      </c>
      <c r="B558" s="1" t="s">
        <v>62</v>
      </c>
      <c r="C558" s="1">
        <v>2037</v>
      </c>
      <c r="D558" s="1">
        <v>40.525573319999999</v>
      </c>
    </row>
    <row r="559" spans="1:4" x14ac:dyDescent="0.35">
      <c r="A559" s="1" t="s">
        <v>192</v>
      </c>
      <c r="B559" s="1" t="s">
        <v>62</v>
      </c>
      <c r="C559" s="1">
        <v>2038</v>
      </c>
      <c r="D559" s="1">
        <v>40.617757560000001</v>
      </c>
    </row>
    <row r="560" spans="1:4" x14ac:dyDescent="0.35">
      <c r="A560" s="1" t="s">
        <v>192</v>
      </c>
      <c r="B560" s="1" t="s">
        <v>62</v>
      </c>
      <c r="C560" s="1">
        <v>2039</v>
      </c>
      <c r="D560" s="1">
        <v>40.686771810000003</v>
      </c>
    </row>
    <row r="561" spans="1:4" x14ac:dyDescent="0.35">
      <c r="A561" s="1" t="s">
        <v>192</v>
      </c>
      <c r="B561" s="1" t="s">
        <v>62</v>
      </c>
      <c r="C561" s="1">
        <v>2040</v>
      </c>
      <c r="D561" s="1">
        <v>40.758615040000002</v>
      </c>
    </row>
    <row r="562" spans="1:4" x14ac:dyDescent="0.35">
      <c r="A562" s="1" t="s">
        <v>192</v>
      </c>
      <c r="B562" s="1" t="s">
        <v>62</v>
      </c>
      <c r="C562" s="1">
        <v>2041</v>
      </c>
      <c r="D562" s="1">
        <v>40.811615609999997</v>
      </c>
    </row>
    <row r="563" spans="1:4" x14ac:dyDescent="0.35">
      <c r="A563" s="1" t="s">
        <v>192</v>
      </c>
      <c r="B563" s="1" t="s">
        <v>62</v>
      </c>
      <c r="C563" s="1">
        <v>2042</v>
      </c>
      <c r="D563" s="1">
        <v>40.855206819999999</v>
      </c>
    </row>
    <row r="564" spans="1:4" x14ac:dyDescent="0.35">
      <c r="A564" s="1" t="s">
        <v>192</v>
      </c>
      <c r="B564" s="1" t="s">
        <v>62</v>
      </c>
      <c r="C564" s="1">
        <v>2043</v>
      </c>
      <c r="D564" s="1">
        <v>40.888409619999997</v>
      </c>
    </row>
    <row r="565" spans="1:4" x14ac:dyDescent="0.35">
      <c r="A565" s="1" t="s">
        <v>192</v>
      </c>
      <c r="B565" s="1" t="s">
        <v>62</v>
      </c>
      <c r="C565" s="1">
        <v>2044</v>
      </c>
      <c r="D565" s="1">
        <v>40.928668090000002</v>
      </c>
    </row>
    <row r="566" spans="1:4" x14ac:dyDescent="0.35">
      <c r="A566" s="1" t="s">
        <v>192</v>
      </c>
      <c r="B566" s="1" t="s">
        <v>62</v>
      </c>
      <c r="C566" s="1">
        <v>2045</v>
      </c>
      <c r="D566" s="1">
        <v>40.964824900000004</v>
      </c>
    </row>
    <row r="567" spans="1:4" x14ac:dyDescent="0.35">
      <c r="A567" s="1" t="s">
        <v>192</v>
      </c>
      <c r="B567" s="1" t="s">
        <v>62</v>
      </c>
      <c r="C567" s="1">
        <v>2046</v>
      </c>
      <c r="D567" s="1">
        <v>40.974692570000002</v>
      </c>
    </row>
    <row r="568" spans="1:4" x14ac:dyDescent="0.35">
      <c r="A568" s="1" t="s">
        <v>192</v>
      </c>
      <c r="B568" s="1" t="s">
        <v>62</v>
      </c>
      <c r="C568" s="1">
        <v>2047</v>
      </c>
      <c r="D568" s="1">
        <v>40.978248700000002</v>
      </c>
    </row>
    <row r="569" spans="1:4" x14ac:dyDescent="0.35">
      <c r="A569" s="1" t="s">
        <v>192</v>
      </c>
      <c r="B569" s="1" t="s">
        <v>62</v>
      </c>
      <c r="C569" s="1">
        <v>2048</v>
      </c>
      <c r="D569" s="1">
        <v>40.97665301</v>
      </c>
    </row>
    <row r="570" spans="1:4" x14ac:dyDescent="0.35">
      <c r="A570" s="1" t="s">
        <v>192</v>
      </c>
      <c r="B570" s="1" t="s">
        <v>62</v>
      </c>
      <c r="C570" s="1">
        <v>2049</v>
      </c>
      <c r="D570" s="1">
        <v>40.970672649999997</v>
      </c>
    </row>
    <row r="571" spans="1:4" x14ac:dyDescent="0.35">
      <c r="A571" s="1" t="s">
        <v>192</v>
      </c>
      <c r="B571" s="1" t="s">
        <v>62</v>
      </c>
      <c r="C571" s="1">
        <v>2050</v>
      </c>
      <c r="D571" s="1">
        <v>40.960863809999999</v>
      </c>
    </row>
    <row r="572" spans="1:4" x14ac:dyDescent="0.35">
      <c r="A572" s="1" t="s">
        <v>192</v>
      </c>
      <c r="B572" s="1" t="s">
        <v>63</v>
      </c>
      <c r="C572" s="1">
        <v>2021</v>
      </c>
      <c r="D572" s="1">
        <v>36.465084859999997</v>
      </c>
    </row>
    <row r="573" spans="1:4" x14ac:dyDescent="0.35">
      <c r="A573" s="1" t="s">
        <v>192</v>
      </c>
      <c r="B573" s="1" t="s">
        <v>63</v>
      </c>
      <c r="C573" s="1">
        <v>2022</v>
      </c>
      <c r="D573" s="1">
        <v>37.801528529999999</v>
      </c>
    </row>
    <row r="574" spans="1:4" x14ac:dyDescent="0.35">
      <c r="A574" s="1" t="s">
        <v>192</v>
      </c>
      <c r="B574" s="1" t="s">
        <v>63</v>
      </c>
      <c r="C574" s="1">
        <v>2023</v>
      </c>
      <c r="D574" s="1">
        <v>38.529913759999999</v>
      </c>
    </row>
    <row r="575" spans="1:4" x14ac:dyDescent="0.35">
      <c r="A575" s="1" t="s">
        <v>192</v>
      </c>
      <c r="B575" s="1" t="s">
        <v>63</v>
      </c>
      <c r="C575" s="1">
        <v>2024</v>
      </c>
      <c r="D575" s="1">
        <v>39.077773100000002</v>
      </c>
    </row>
    <row r="576" spans="1:4" x14ac:dyDescent="0.35">
      <c r="A576" s="1" t="s">
        <v>192</v>
      </c>
      <c r="B576" s="1" t="s">
        <v>63</v>
      </c>
      <c r="C576" s="1">
        <v>2025</v>
      </c>
      <c r="D576" s="1">
        <v>39.52925595</v>
      </c>
    </row>
    <row r="577" spans="1:4" x14ac:dyDescent="0.35">
      <c r="A577" s="1" t="s">
        <v>192</v>
      </c>
      <c r="B577" s="1" t="s">
        <v>63</v>
      </c>
      <c r="C577" s="1">
        <v>2026</v>
      </c>
      <c r="D577" s="1">
        <v>39.907984499999998</v>
      </c>
    </row>
    <row r="578" spans="1:4" x14ac:dyDescent="0.35">
      <c r="A578" s="1" t="s">
        <v>192</v>
      </c>
      <c r="B578" s="1" t="s">
        <v>63</v>
      </c>
      <c r="C578" s="1">
        <v>2027</v>
      </c>
      <c r="D578" s="1">
        <v>40.235159920000001</v>
      </c>
    </row>
    <row r="579" spans="1:4" x14ac:dyDescent="0.35">
      <c r="A579" s="1" t="s">
        <v>192</v>
      </c>
      <c r="B579" s="1" t="s">
        <v>63</v>
      </c>
      <c r="C579" s="1">
        <v>2028</v>
      </c>
      <c r="D579" s="1">
        <v>40.528650519999999</v>
      </c>
    </row>
    <row r="580" spans="1:4" x14ac:dyDescent="0.35">
      <c r="A580" s="1" t="s">
        <v>192</v>
      </c>
      <c r="B580" s="1" t="s">
        <v>63</v>
      </c>
      <c r="C580" s="1">
        <v>2029</v>
      </c>
      <c r="D580" s="1">
        <v>40.772312749999998</v>
      </c>
    </row>
    <row r="581" spans="1:4" x14ac:dyDescent="0.35">
      <c r="A581" s="1" t="s">
        <v>192</v>
      </c>
      <c r="B581" s="1" t="s">
        <v>63</v>
      </c>
      <c r="C581" s="1">
        <v>2030</v>
      </c>
      <c r="D581" s="1">
        <v>40.980980750000001</v>
      </c>
    </row>
    <row r="582" spans="1:4" x14ac:dyDescent="0.35">
      <c r="A582" s="1" t="s">
        <v>192</v>
      </c>
      <c r="B582" s="1" t="s">
        <v>63</v>
      </c>
      <c r="C582" s="1">
        <v>2031</v>
      </c>
      <c r="D582" s="1">
        <v>41.168579780000002</v>
      </c>
    </row>
    <row r="583" spans="1:4" x14ac:dyDescent="0.35">
      <c r="A583" s="1" t="s">
        <v>192</v>
      </c>
      <c r="B583" s="1" t="s">
        <v>63</v>
      </c>
      <c r="C583" s="1">
        <v>2032</v>
      </c>
      <c r="D583" s="1">
        <v>41.327083909999999</v>
      </c>
    </row>
    <row r="584" spans="1:4" x14ac:dyDescent="0.35">
      <c r="A584" s="1" t="s">
        <v>192</v>
      </c>
      <c r="B584" s="1" t="s">
        <v>63</v>
      </c>
      <c r="C584" s="1">
        <v>2033</v>
      </c>
      <c r="D584" s="1">
        <v>41.46283493</v>
      </c>
    </row>
    <row r="585" spans="1:4" x14ac:dyDescent="0.35">
      <c r="A585" s="1" t="s">
        <v>192</v>
      </c>
      <c r="B585" s="1" t="s">
        <v>63</v>
      </c>
      <c r="C585" s="1">
        <v>2034</v>
      </c>
      <c r="D585" s="1">
        <v>41.570272580000001</v>
      </c>
    </row>
    <row r="586" spans="1:4" x14ac:dyDescent="0.35">
      <c r="A586" s="1" t="s">
        <v>192</v>
      </c>
      <c r="B586" s="1" t="s">
        <v>63</v>
      </c>
      <c r="C586" s="1">
        <v>2035</v>
      </c>
      <c r="D586" s="1">
        <v>41.684087400000003</v>
      </c>
    </row>
    <row r="587" spans="1:4" x14ac:dyDescent="0.35">
      <c r="A587" s="1" t="s">
        <v>192</v>
      </c>
      <c r="B587" s="1" t="s">
        <v>63</v>
      </c>
      <c r="C587" s="1">
        <v>2036</v>
      </c>
      <c r="D587" s="1">
        <v>41.785179810000002</v>
      </c>
    </row>
    <row r="588" spans="1:4" x14ac:dyDescent="0.35">
      <c r="A588" s="1" t="s">
        <v>192</v>
      </c>
      <c r="B588" s="1" t="s">
        <v>63</v>
      </c>
      <c r="C588" s="1">
        <v>2037</v>
      </c>
      <c r="D588" s="1">
        <v>41.853700600000003</v>
      </c>
    </row>
    <row r="589" spans="1:4" x14ac:dyDescent="0.35">
      <c r="A589" s="1" t="s">
        <v>192</v>
      </c>
      <c r="B589" s="1" t="s">
        <v>63</v>
      </c>
      <c r="C589" s="1">
        <v>2038</v>
      </c>
      <c r="D589" s="1">
        <v>41.907022640000001</v>
      </c>
    </row>
    <row r="590" spans="1:4" x14ac:dyDescent="0.35">
      <c r="A590" s="1" t="s">
        <v>192</v>
      </c>
      <c r="B590" s="1" t="s">
        <v>63</v>
      </c>
      <c r="C590" s="1">
        <v>2039</v>
      </c>
      <c r="D590" s="1">
        <v>41.939543200000003</v>
      </c>
    </row>
    <row r="591" spans="1:4" x14ac:dyDescent="0.35">
      <c r="A591" s="1" t="s">
        <v>192</v>
      </c>
      <c r="B591" s="1" t="s">
        <v>63</v>
      </c>
      <c r="C591" s="1">
        <v>2040</v>
      </c>
      <c r="D591" s="1">
        <v>41.978441480000001</v>
      </c>
    </row>
    <row r="592" spans="1:4" x14ac:dyDescent="0.35">
      <c r="A592" s="1" t="s">
        <v>192</v>
      </c>
      <c r="B592" s="1" t="s">
        <v>63</v>
      </c>
      <c r="C592" s="1">
        <v>2041</v>
      </c>
      <c r="D592" s="1">
        <v>42.007131000000001</v>
      </c>
    </row>
    <row r="593" spans="1:4" x14ac:dyDescent="0.35">
      <c r="A593" s="1" t="s">
        <v>192</v>
      </c>
      <c r="B593" s="1" t="s">
        <v>63</v>
      </c>
      <c r="C593" s="1">
        <v>2042</v>
      </c>
      <c r="D593" s="1">
        <v>42.02283766</v>
      </c>
    </row>
    <row r="594" spans="1:4" x14ac:dyDescent="0.35">
      <c r="A594" s="1" t="s">
        <v>192</v>
      </c>
      <c r="B594" s="1" t="s">
        <v>63</v>
      </c>
      <c r="C594" s="1">
        <v>2043</v>
      </c>
      <c r="D594" s="1">
        <v>42.035206500000001</v>
      </c>
    </row>
    <row r="595" spans="1:4" x14ac:dyDescent="0.35">
      <c r="A595" s="1" t="s">
        <v>192</v>
      </c>
      <c r="B595" s="1" t="s">
        <v>63</v>
      </c>
      <c r="C595" s="1">
        <v>2044</v>
      </c>
      <c r="D595" s="1">
        <v>42.047131720000003</v>
      </c>
    </row>
    <row r="596" spans="1:4" x14ac:dyDescent="0.35">
      <c r="A596" s="1" t="s">
        <v>192</v>
      </c>
      <c r="B596" s="1" t="s">
        <v>63</v>
      </c>
      <c r="C596" s="1">
        <v>2045</v>
      </c>
      <c r="D596" s="1">
        <v>42.050917910000003</v>
      </c>
    </row>
    <row r="597" spans="1:4" x14ac:dyDescent="0.35">
      <c r="A597" s="1" t="s">
        <v>192</v>
      </c>
      <c r="B597" s="1" t="s">
        <v>63</v>
      </c>
      <c r="C597" s="1">
        <v>2046</v>
      </c>
      <c r="D597" s="1">
        <v>42.033322050000002</v>
      </c>
    </row>
    <row r="598" spans="1:4" x14ac:dyDescent="0.35">
      <c r="A598" s="1" t="s">
        <v>192</v>
      </c>
      <c r="B598" s="1" t="s">
        <v>63</v>
      </c>
      <c r="C598" s="1">
        <v>2047</v>
      </c>
      <c r="D598" s="1">
        <v>42.01457473</v>
      </c>
    </row>
    <row r="599" spans="1:4" x14ac:dyDescent="0.35">
      <c r="A599" s="1" t="s">
        <v>192</v>
      </c>
      <c r="B599" s="1" t="s">
        <v>63</v>
      </c>
      <c r="C599" s="1">
        <v>2048</v>
      </c>
      <c r="D599" s="1">
        <v>41.993019330000003</v>
      </c>
    </row>
    <row r="600" spans="1:4" x14ac:dyDescent="0.35">
      <c r="A600" s="1" t="s">
        <v>192</v>
      </c>
      <c r="B600" s="1" t="s">
        <v>63</v>
      </c>
      <c r="C600" s="1">
        <v>2049</v>
      </c>
      <c r="D600" s="1">
        <v>41.967150590000003</v>
      </c>
    </row>
    <row r="601" spans="1:4" x14ac:dyDescent="0.35">
      <c r="A601" s="1" t="s">
        <v>192</v>
      </c>
      <c r="B601" s="1" t="s">
        <v>63</v>
      </c>
      <c r="C601" s="1">
        <v>2050</v>
      </c>
      <c r="D601" s="1">
        <v>41.937611930000003</v>
      </c>
    </row>
    <row r="602" spans="1:4" x14ac:dyDescent="0.35">
      <c r="A602" s="1" t="s">
        <v>192</v>
      </c>
      <c r="B602" s="1" t="s">
        <v>64</v>
      </c>
      <c r="C602" s="1">
        <v>2021</v>
      </c>
      <c r="D602" s="1">
        <v>50.25526842</v>
      </c>
    </row>
    <row r="603" spans="1:4" x14ac:dyDescent="0.35">
      <c r="A603" s="1" t="s">
        <v>192</v>
      </c>
      <c r="B603" s="1" t="s">
        <v>64</v>
      </c>
      <c r="C603" s="1">
        <v>2022</v>
      </c>
      <c r="D603" s="1">
        <v>56.742811469999999</v>
      </c>
    </row>
    <row r="604" spans="1:4" x14ac:dyDescent="0.35">
      <c r="A604" s="1" t="s">
        <v>192</v>
      </c>
      <c r="B604" s="1" t="s">
        <v>64</v>
      </c>
      <c r="C604" s="1">
        <v>2023</v>
      </c>
      <c r="D604" s="1">
        <v>59.239660039999997</v>
      </c>
    </row>
    <row r="605" spans="1:4" x14ac:dyDescent="0.35">
      <c r="A605" s="1" t="s">
        <v>192</v>
      </c>
      <c r="B605" s="1" t="s">
        <v>64</v>
      </c>
      <c r="C605" s="1">
        <v>2024</v>
      </c>
      <c r="D605" s="1">
        <v>60.546140190000003</v>
      </c>
    </row>
    <row r="606" spans="1:4" x14ac:dyDescent="0.35">
      <c r="A606" s="1" t="s">
        <v>192</v>
      </c>
      <c r="B606" s="1" t="s">
        <v>64</v>
      </c>
      <c r="C606" s="1">
        <v>2025</v>
      </c>
      <c r="D606" s="1">
        <v>61.422580330000002</v>
      </c>
    </row>
    <row r="607" spans="1:4" x14ac:dyDescent="0.35">
      <c r="A607" s="1" t="s">
        <v>192</v>
      </c>
      <c r="B607" s="1" t="s">
        <v>64</v>
      </c>
      <c r="C607" s="1">
        <v>2026</v>
      </c>
      <c r="D607" s="1">
        <v>62.08427056</v>
      </c>
    </row>
    <row r="608" spans="1:4" x14ac:dyDescent="0.35">
      <c r="A608" s="1" t="s">
        <v>192</v>
      </c>
      <c r="B608" s="1" t="s">
        <v>64</v>
      </c>
      <c r="C608" s="1">
        <v>2027</v>
      </c>
      <c r="D608" s="1">
        <v>62.619030700000003</v>
      </c>
    </row>
    <row r="609" spans="1:4" x14ac:dyDescent="0.35">
      <c r="A609" s="1" t="s">
        <v>192</v>
      </c>
      <c r="B609" s="1" t="s">
        <v>64</v>
      </c>
      <c r="C609" s="1">
        <v>2028</v>
      </c>
      <c r="D609" s="1">
        <v>63.076971200000003</v>
      </c>
    </row>
    <row r="610" spans="1:4" x14ac:dyDescent="0.35">
      <c r="A610" s="1" t="s">
        <v>192</v>
      </c>
      <c r="B610" s="1" t="s">
        <v>64</v>
      </c>
      <c r="C610" s="1">
        <v>2029</v>
      </c>
      <c r="D610" s="1">
        <v>63.449743249999997</v>
      </c>
    </row>
    <row r="611" spans="1:4" x14ac:dyDescent="0.35">
      <c r="A611" s="1" t="s">
        <v>192</v>
      </c>
      <c r="B611" s="1" t="s">
        <v>64</v>
      </c>
      <c r="C611" s="1">
        <v>2030</v>
      </c>
      <c r="D611" s="1">
        <v>63.761718010000003</v>
      </c>
    </row>
    <row r="612" spans="1:4" x14ac:dyDescent="0.35">
      <c r="A612" s="1" t="s">
        <v>192</v>
      </c>
      <c r="B612" s="1" t="s">
        <v>64</v>
      </c>
      <c r="C612" s="1">
        <v>2031</v>
      </c>
      <c r="D612" s="1">
        <v>64.035216390000002</v>
      </c>
    </row>
    <row r="613" spans="1:4" x14ac:dyDescent="0.35">
      <c r="A613" s="1" t="s">
        <v>192</v>
      </c>
      <c r="B613" s="1" t="s">
        <v>64</v>
      </c>
      <c r="C613" s="1">
        <v>2032</v>
      </c>
      <c r="D613" s="1">
        <v>64.261118859999996</v>
      </c>
    </row>
    <row r="614" spans="1:4" x14ac:dyDescent="0.35">
      <c r="A614" s="1" t="s">
        <v>192</v>
      </c>
      <c r="B614" s="1" t="s">
        <v>64</v>
      </c>
      <c r="C614" s="1">
        <v>2033</v>
      </c>
      <c r="D614" s="1">
        <v>64.451382379999998</v>
      </c>
    </row>
    <row r="615" spans="1:4" x14ac:dyDescent="0.35">
      <c r="A615" s="1" t="s">
        <v>192</v>
      </c>
      <c r="B615" s="1" t="s">
        <v>64</v>
      </c>
      <c r="C615" s="1">
        <v>2034</v>
      </c>
      <c r="D615" s="1">
        <v>64.597889480000006</v>
      </c>
    </row>
    <row r="616" spans="1:4" x14ac:dyDescent="0.35">
      <c r="A616" s="1" t="s">
        <v>192</v>
      </c>
      <c r="B616" s="1" t="s">
        <v>64</v>
      </c>
      <c r="C616" s="1">
        <v>2035</v>
      </c>
      <c r="D616" s="1">
        <v>64.755594099999996</v>
      </c>
    </row>
    <row r="617" spans="1:4" x14ac:dyDescent="0.35">
      <c r="A617" s="1" t="s">
        <v>192</v>
      </c>
      <c r="B617" s="1" t="s">
        <v>64</v>
      </c>
      <c r="C617" s="1">
        <v>2036</v>
      </c>
      <c r="D617" s="1">
        <v>64.894546309999996</v>
      </c>
    </row>
    <row r="618" spans="1:4" x14ac:dyDescent="0.35">
      <c r="A618" s="1" t="s">
        <v>192</v>
      </c>
      <c r="B618" s="1" t="s">
        <v>64</v>
      </c>
      <c r="C618" s="1">
        <v>2037</v>
      </c>
      <c r="D618" s="1">
        <v>64.982958499999995</v>
      </c>
    </row>
    <row r="619" spans="1:4" x14ac:dyDescent="0.35">
      <c r="A619" s="1" t="s">
        <v>192</v>
      </c>
      <c r="B619" s="1" t="s">
        <v>64</v>
      </c>
      <c r="C619" s="1">
        <v>2038</v>
      </c>
      <c r="D619" s="1">
        <v>65.048822470000005</v>
      </c>
    </row>
    <row r="620" spans="1:4" x14ac:dyDescent="0.35">
      <c r="A620" s="1" t="s">
        <v>192</v>
      </c>
      <c r="B620" s="1" t="s">
        <v>64</v>
      </c>
      <c r="C620" s="1">
        <v>2039</v>
      </c>
      <c r="D620" s="1">
        <v>65.088029989999995</v>
      </c>
    </row>
    <row r="621" spans="1:4" x14ac:dyDescent="0.35">
      <c r="A621" s="1" t="s">
        <v>192</v>
      </c>
      <c r="B621" s="1" t="s">
        <v>64</v>
      </c>
      <c r="C621" s="1">
        <v>2040</v>
      </c>
      <c r="D621" s="1">
        <v>65.128195079999998</v>
      </c>
    </row>
    <row r="622" spans="1:4" x14ac:dyDescent="0.35">
      <c r="A622" s="1" t="s">
        <v>192</v>
      </c>
      <c r="B622" s="1" t="s">
        <v>64</v>
      </c>
      <c r="C622" s="1">
        <v>2041</v>
      </c>
      <c r="D622" s="1">
        <v>65.128769009999999</v>
      </c>
    </row>
    <row r="623" spans="1:4" x14ac:dyDescent="0.35">
      <c r="A623" s="1" t="s">
        <v>192</v>
      </c>
      <c r="B623" s="1" t="s">
        <v>64</v>
      </c>
      <c r="C623" s="1">
        <v>2042</v>
      </c>
      <c r="D623" s="1">
        <v>65.145180289999999</v>
      </c>
    </row>
    <row r="624" spans="1:4" x14ac:dyDescent="0.35">
      <c r="A624" s="1" t="s">
        <v>192</v>
      </c>
      <c r="B624" s="1" t="s">
        <v>64</v>
      </c>
      <c r="C624" s="1">
        <v>2043</v>
      </c>
      <c r="D624" s="1">
        <v>65.139331010000006</v>
      </c>
    </row>
    <row r="625" spans="1:4" x14ac:dyDescent="0.35">
      <c r="A625" s="1" t="s">
        <v>192</v>
      </c>
      <c r="B625" s="1" t="s">
        <v>64</v>
      </c>
      <c r="C625" s="1">
        <v>2044</v>
      </c>
      <c r="D625" s="1">
        <v>65.143092569999993</v>
      </c>
    </row>
    <row r="626" spans="1:4" x14ac:dyDescent="0.35">
      <c r="A626" s="1" t="s">
        <v>192</v>
      </c>
      <c r="B626" s="1" t="s">
        <v>64</v>
      </c>
      <c r="C626" s="1">
        <v>2045</v>
      </c>
      <c r="D626" s="1">
        <v>65.179508229999996</v>
      </c>
    </row>
    <row r="627" spans="1:4" x14ac:dyDescent="0.35">
      <c r="A627" s="1" t="s">
        <v>192</v>
      </c>
      <c r="B627" s="1" t="s">
        <v>64</v>
      </c>
      <c r="C627" s="1">
        <v>2046</v>
      </c>
      <c r="D627" s="1">
        <v>65.141332439999999</v>
      </c>
    </row>
    <row r="628" spans="1:4" x14ac:dyDescent="0.35">
      <c r="A628" s="1" t="s">
        <v>192</v>
      </c>
      <c r="B628" s="1" t="s">
        <v>64</v>
      </c>
      <c r="C628" s="1">
        <v>2047</v>
      </c>
      <c r="D628" s="1">
        <v>65.102203099999997</v>
      </c>
    </row>
    <row r="629" spans="1:4" x14ac:dyDescent="0.35">
      <c r="A629" s="1" t="s">
        <v>192</v>
      </c>
      <c r="B629" s="1" t="s">
        <v>64</v>
      </c>
      <c r="C629" s="1">
        <v>2048</v>
      </c>
      <c r="D629" s="1">
        <v>65.059848430000002</v>
      </c>
    </row>
    <row r="630" spans="1:4" x14ac:dyDescent="0.35">
      <c r="A630" s="1" t="s">
        <v>192</v>
      </c>
      <c r="B630" s="1" t="s">
        <v>64</v>
      </c>
      <c r="C630" s="1">
        <v>2049</v>
      </c>
      <c r="D630" s="1">
        <v>65.013399699999994</v>
      </c>
    </row>
    <row r="631" spans="1:4" x14ac:dyDescent="0.35">
      <c r="A631" s="1" t="s">
        <v>192</v>
      </c>
      <c r="B631" s="1" t="s">
        <v>64</v>
      </c>
      <c r="C631" s="1">
        <v>2050</v>
      </c>
      <c r="D631" s="1">
        <v>64.963327410000005</v>
      </c>
    </row>
    <row r="632" spans="1:4" x14ac:dyDescent="0.35">
      <c r="A632" s="1" t="s">
        <v>192</v>
      </c>
      <c r="B632" s="1" t="s">
        <v>65</v>
      </c>
      <c r="C632" s="1">
        <v>2021</v>
      </c>
      <c r="D632" s="1">
        <v>32.963003049999998</v>
      </c>
    </row>
    <row r="633" spans="1:4" x14ac:dyDescent="0.35">
      <c r="A633" s="1" t="s">
        <v>192</v>
      </c>
      <c r="B633" s="1" t="s">
        <v>65</v>
      </c>
      <c r="C633" s="1">
        <v>2022</v>
      </c>
      <c r="D633" s="1">
        <v>32.99232061</v>
      </c>
    </row>
    <row r="634" spans="1:4" x14ac:dyDescent="0.35">
      <c r="A634" s="1" t="s">
        <v>192</v>
      </c>
      <c r="B634" s="1" t="s">
        <v>65</v>
      </c>
      <c r="C634" s="1">
        <v>2023</v>
      </c>
      <c r="D634" s="1">
        <v>33.059499680000002</v>
      </c>
    </row>
    <row r="635" spans="1:4" x14ac:dyDescent="0.35">
      <c r="A635" s="1" t="s">
        <v>192</v>
      </c>
      <c r="B635" s="1" t="s">
        <v>65</v>
      </c>
      <c r="C635" s="1">
        <v>2024</v>
      </c>
      <c r="D635" s="1">
        <v>33.166201110000003</v>
      </c>
    </row>
    <row r="636" spans="1:4" x14ac:dyDescent="0.35">
      <c r="A636" s="1" t="s">
        <v>192</v>
      </c>
      <c r="B636" s="1" t="s">
        <v>65</v>
      </c>
      <c r="C636" s="1">
        <v>2025</v>
      </c>
      <c r="D636" s="1">
        <v>33.30401887</v>
      </c>
    </row>
    <row r="637" spans="1:4" x14ac:dyDescent="0.35">
      <c r="A637" s="1" t="s">
        <v>192</v>
      </c>
      <c r="B637" s="1" t="s">
        <v>65</v>
      </c>
      <c r="C637" s="1">
        <v>2026</v>
      </c>
      <c r="D637" s="1">
        <v>33.450565189999999</v>
      </c>
    </row>
    <row r="638" spans="1:4" x14ac:dyDescent="0.35">
      <c r="A638" s="1" t="s">
        <v>192</v>
      </c>
      <c r="B638" s="1" t="s">
        <v>65</v>
      </c>
      <c r="C638" s="1">
        <v>2027</v>
      </c>
      <c r="D638" s="1">
        <v>33.610300440000003</v>
      </c>
    </row>
    <row r="639" spans="1:4" x14ac:dyDescent="0.35">
      <c r="A639" s="1" t="s">
        <v>192</v>
      </c>
      <c r="B639" s="1" t="s">
        <v>65</v>
      </c>
      <c r="C639" s="1">
        <v>2028</v>
      </c>
      <c r="D639" s="1">
        <v>33.789279469999997</v>
      </c>
    </row>
    <row r="640" spans="1:4" x14ac:dyDescent="0.35">
      <c r="A640" s="1" t="s">
        <v>192</v>
      </c>
      <c r="B640" s="1" t="s">
        <v>65</v>
      </c>
      <c r="C640" s="1">
        <v>2029</v>
      </c>
      <c r="D640" s="1">
        <v>33.97079402</v>
      </c>
    </row>
    <row r="641" spans="1:4" x14ac:dyDescent="0.35">
      <c r="A641" s="1" t="s">
        <v>192</v>
      </c>
      <c r="B641" s="1" t="s">
        <v>65</v>
      </c>
      <c r="C641" s="1">
        <v>2030</v>
      </c>
      <c r="D641" s="1">
        <v>34.160598309999997</v>
      </c>
    </row>
    <row r="642" spans="1:4" x14ac:dyDescent="0.35">
      <c r="A642" s="1" t="s">
        <v>192</v>
      </c>
      <c r="B642" s="1" t="s">
        <v>65</v>
      </c>
      <c r="C642" s="1">
        <v>2031</v>
      </c>
      <c r="D642" s="1">
        <v>34.36299451</v>
      </c>
    </row>
    <row r="643" spans="1:4" x14ac:dyDescent="0.35">
      <c r="A643" s="1" t="s">
        <v>192</v>
      </c>
      <c r="B643" s="1" t="s">
        <v>65</v>
      </c>
      <c r="C643" s="1">
        <v>2032</v>
      </c>
      <c r="D643" s="1">
        <v>34.567675889999997</v>
      </c>
    </row>
    <row r="644" spans="1:4" x14ac:dyDescent="0.35">
      <c r="A644" s="1" t="s">
        <v>192</v>
      </c>
      <c r="B644" s="1" t="s">
        <v>65</v>
      </c>
      <c r="C644" s="1">
        <v>2033</v>
      </c>
      <c r="D644" s="1">
        <v>34.769808949999998</v>
      </c>
    </row>
    <row r="645" spans="1:4" x14ac:dyDescent="0.35">
      <c r="A645" s="1" t="s">
        <v>192</v>
      </c>
      <c r="B645" s="1" t="s">
        <v>65</v>
      </c>
      <c r="C645" s="1">
        <v>2034</v>
      </c>
      <c r="D645" s="1">
        <v>34.962247920000003</v>
      </c>
    </row>
    <row r="646" spans="1:4" x14ac:dyDescent="0.35">
      <c r="A646" s="1" t="s">
        <v>192</v>
      </c>
      <c r="B646" s="1" t="s">
        <v>65</v>
      </c>
      <c r="C646" s="1">
        <v>2035</v>
      </c>
      <c r="D646" s="1">
        <v>35.171047199999997</v>
      </c>
    </row>
    <row r="647" spans="1:4" x14ac:dyDescent="0.35">
      <c r="A647" s="1" t="s">
        <v>192</v>
      </c>
      <c r="B647" s="1" t="s">
        <v>65</v>
      </c>
      <c r="C647" s="1">
        <v>2036</v>
      </c>
      <c r="D647" s="1">
        <v>35.374675660000001</v>
      </c>
    </row>
    <row r="648" spans="1:4" x14ac:dyDescent="0.35">
      <c r="A648" s="1" t="s">
        <v>192</v>
      </c>
      <c r="B648" s="1" t="s">
        <v>65</v>
      </c>
      <c r="C648" s="1">
        <v>2037</v>
      </c>
      <c r="D648" s="1">
        <v>35.553699219999999</v>
      </c>
    </row>
    <row r="649" spans="1:4" x14ac:dyDescent="0.35">
      <c r="A649" s="1" t="s">
        <v>192</v>
      </c>
      <c r="B649" s="1" t="s">
        <v>65</v>
      </c>
      <c r="C649" s="1">
        <v>2038</v>
      </c>
      <c r="D649" s="1">
        <v>35.723796180000001</v>
      </c>
    </row>
    <row r="650" spans="1:4" x14ac:dyDescent="0.35">
      <c r="A650" s="1" t="s">
        <v>192</v>
      </c>
      <c r="B650" s="1" t="s">
        <v>65</v>
      </c>
      <c r="C650" s="1">
        <v>2039</v>
      </c>
      <c r="D650" s="1">
        <v>35.88291435</v>
      </c>
    </row>
    <row r="651" spans="1:4" x14ac:dyDescent="0.35">
      <c r="A651" s="1" t="s">
        <v>192</v>
      </c>
      <c r="B651" s="1" t="s">
        <v>65</v>
      </c>
      <c r="C651" s="1">
        <v>2040</v>
      </c>
      <c r="D651" s="1">
        <v>35.987167630000002</v>
      </c>
    </row>
    <row r="652" spans="1:4" x14ac:dyDescent="0.35">
      <c r="A652" s="1" t="s">
        <v>192</v>
      </c>
      <c r="B652" s="1" t="s">
        <v>65</v>
      </c>
      <c r="C652" s="1">
        <v>2041</v>
      </c>
      <c r="D652" s="1">
        <v>36.107708629999998</v>
      </c>
    </row>
    <row r="653" spans="1:4" x14ac:dyDescent="0.35">
      <c r="A653" s="1" t="s">
        <v>192</v>
      </c>
      <c r="B653" s="1" t="s">
        <v>65</v>
      </c>
      <c r="C653" s="1">
        <v>2042</v>
      </c>
      <c r="D653" s="1">
        <v>36.221469300000003</v>
      </c>
    </row>
    <row r="654" spans="1:4" x14ac:dyDescent="0.35">
      <c r="A654" s="1" t="s">
        <v>192</v>
      </c>
      <c r="B654" s="1" t="s">
        <v>65</v>
      </c>
      <c r="C654" s="1">
        <v>2043</v>
      </c>
      <c r="D654" s="1">
        <v>36.317368270000003</v>
      </c>
    </row>
    <row r="655" spans="1:4" x14ac:dyDescent="0.35">
      <c r="A655" s="1" t="s">
        <v>192</v>
      </c>
      <c r="B655" s="1" t="s">
        <v>65</v>
      </c>
      <c r="C655" s="1">
        <v>2044</v>
      </c>
      <c r="D655" s="1">
        <v>36.41213862</v>
      </c>
    </row>
    <row r="656" spans="1:4" x14ac:dyDescent="0.35">
      <c r="A656" s="1" t="s">
        <v>192</v>
      </c>
      <c r="B656" s="1" t="s">
        <v>65</v>
      </c>
      <c r="C656" s="1">
        <v>2045</v>
      </c>
      <c r="D656" s="1">
        <v>36.573615609999997</v>
      </c>
    </row>
    <row r="657" spans="1:4" x14ac:dyDescent="0.35">
      <c r="A657" s="1" t="s">
        <v>192</v>
      </c>
      <c r="B657" s="1" t="s">
        <v>65</v>
      </c>
      <c r="C657" s="1">
        <v>2046</v>
      </c>
      <c r="D657" s="1">
        <v>36.629883790000001</v>
      </c>
    </row>
    <row r="658" spans="1:4" x14ac:dyDescent="0.35">
      <c r="A658" s="1" t="s">
        <v>192</v>
      </c>
      <c r="B658" s="1" t="s">
        <v>65</v>
      </c>
      <c r="C658" s="1">
        <v>2047</v>
      </c>
      <c r="D658" s="1">
        <v>36.681943220000001</v>
      </c>
    </row>
    <row r="659" spans="1:4" x14ac:dyDescent="0.35">
      <c r="A659" s="1" t="s">
        <v>192</v>
      </c>
      <c r="B659" s="1" t="s">
        <v>65</v>
      </c>
      <c r="C659" s="1">
        <v>2048</v>
      </c>
      <c r="D659" s="1">
        <v>36.72798761</v>
      </c>
    </row>
    <row r="660" spans="1:4" x14ac:dyDescent="0.35">
      <c r="A660" s="1" t="s">
        <v>192</v>
      </c>
      <c r="B660" s="1" t="s">
        <v>65</v>
      </c>
      <c r="C660" s="1">
        <v>2049</v>
      </c>
      <c r="D660" s="1">
        <v>36.767694630000001</v>
      </c>
    </row>
    <row r="661" spans="1:4" x14ac:dyDescent="0.35">
      <c r="A661" s="1" t="s">
        <v>192</v>
      </c>
      <c r="B661" s="1" t="s">
        <v>65</v>
      </c>
      <c r="C661" s="1">
        <v>2050</v>
      </c>
      <c r="D661" s="1">
        <v>36.801204210000002</v>
      </c>
    </row>
    <row r="662" spans="1:4" x14ac:dyDescent="0.35">
      <c r="A662" s="1" t="s">
        <v>222</v>
      </c>
      <c r="B662" s="1" t="s">
        <v>60</v>
      </c>
      <c r="C662" s="1">
        <v>2021</v>
      </c>
      <c r="D662" s="1">
        <v>14.79132517</v>
      </c>
    </row>
    <row r="663" spans="1:4" x14ac:dyDescent="0.35">
      <c r="A663" s="1" t="s">
        <v>222</v>
      </c>
      <c r="B663" s="1" t="s">
        <v>60</v>
      </c>
      <c r="C663" s="1">
        <v>2022</v>
      </c>
      <c r="D663" s="1">
        <v>15.034483399999999</v>
      </c>
    </row>
    <row r="664" spans="1:4" x14ac:dyDescent="0.35">
      <c r="A664" s="1" t="s">
        <v>222</v>
      </c>
      <c r="B664" s="1" t="s">
        <v>60</v>
      </c>
      <c r="C664" s="1">
        <v>2023</v>
      </c>
      <c r="D664" s="1">
        <v>15.281339940000001</v>
      </c>
    </row>
    <row r="665" spans="1:4" x14ac:dyDescent="0.35">
      <c r="A665" s="1" t="s">
        <v>222</v>
      </c>
      <c r="B665" s="1" t="s">
        <v>60</v>
      </c>
      <c r="C665" s="1">
        <v>2024</v>
      </c>
      <c r="D665" s="1">
        <v>15.537307869999999</v>
      </c>
    </row>
    <row r="666" spans="1:4" x14ac:dyDescent="0.35">
      <c r="A666" s="1" t="s">
        <v>222</v>
      </c>
      <c r="B666" s="1" t="s">
        <v>60</v>
      </c>
      <c r="C666" s="1">
        <v>2025</v>
      </c>
      <c r="D666" s="1">
        <v>15.81973741</v>
      </c>
    </row>
    <row r="667" spans="1:4" x14ac:dyDescent="0.35">
      <c r="A667" s="1" t="s">
        <v>222</v>
      </c>
      <c r="B667" s="1" t="s">
        <v>60</v>
      </c>
      <c r="C667" s="1">
        <v>2026</v>
      </c>
      <c r="D667" s="1">
        <v>16.126930789999999</v>
      </c>
    </row>
    <row r="668" spans="1:4" x14ac:dyDescent="0.35">
      <c r="A668" s="1" t="s">
        <v>222</v>
      </c>
      <c r="B668" s="1" t="s">
        <v>60</v>
      </c>
      <c r="C668" s="1">
        <v>2027</v>
      </c>
      <c r="D668" s="1">
        <v>16.449129110000001</v>
      </c>
    </row>
    <row r="669" spans="1:4" x14ac:dyDescent="0.35">
      <c r="A669" s="1" t="s">
        <v>222</v>
      </c>
      <c r="B669" s="1" t="s">
        <v>60</v>
      </c>
      <c r="C669" s="1">
        <v>2028</v>
      </c>
      <c r="D669" s="1">
        <v>16.741013469999999</v>
      </c>
    </row>
    <row r="670" spans="1:4" x14ac:dyDescent="0.35">
      <c r="A670" s="1" t="s">
        <v>222</v>
      </c>
      <c r="B670" s="1" t="s">
        <v>60</v>
      </c>
      <c r="C670" s="1">
        <v>2029</v>
      </c>
      <c r="D670" s="1">
        <v>17.037077740000001</v>
      </c>
    </row>
    <row r="671" spans="1:4" x14ac:dyDescent="0.35">
      <c r="A671" s="1" t="s">
        <v>222</v>
      </c>
      <c r="B671" s="1" t="s">
        <v>60</v>
      </c>
      <c r="C671" s="1">
        <v>2030</v>
      </c>
      <c r="D671" s="1">
        <v>17.329236989999998</v>
      </c>
    </row>
    <row r="672" spans="1:4" x14ac:dyDescent="0.35">
      <c r="A672" s="1" t="s">
        <v>222</v>
      </c>
      <c r="B672" s="1" t="s">
        <v>60</v>
      </c>
      <c r="C672" s="1">
        <v>2031</v>
      </c>
      <c r="D672" s="1">
        <v>17.612550760000001</v>
      </c>
    </row>
    <row r="673" spans="1:4" x14ac:dyDescent="0.35">
      <c r="A673" s="1" t="s">
        <v>222</v>
      </c>
      <c r="B673" s="1" t="s">
        <v>60</v>
      </c>
      <c r="C673" s="1">
        <v>2032</v>
      </c>
      <c r="D673" s="1">
        <v>17.876919900000001</v>
      </c>
    </row>
    <row r="674" spans="1:4" x14ac:dyDescent="0.35">
      <c r="A674" s="1" t="s">
        <v>222</v>
      </c>
      <c r="B674" s="1" t="s">
        <v>60</v>
      </c>
      <c r="C674" s="1">
        <v>2033</v>
      </c>
      <c r="D674" s="1">
        <v>18.11272992</v>
      </c>
    </row>
    <row r="675" spans="1:4" x14ac:dyDescent="0.35">
      <c r="A675" s="1" t="s">
        <v>222</v>
      </c>
      <c r="B675" s="1" t="s">
        <v>60</v>
      </c>
      <c r="C675" s="1">
        <v>2034</v>
      </c>
      <c r="D675" s="1">
        <v>18.316757750000001</v>
      </c>
    </row>
    <row r="676" spans="1:4" x14ac:dyDescent="0.35">
      <c r="A676" s="1" t="s">
        <v>222</v>
      </c>
      <c r="B676" s="1" t="s">
        <v>60</v>
      </c>
      <c r="C676" s="1">
        <v>2035</v>
      </c>
      <c r="D676" s="1">
        <v>18.490238470000001</v>
      </c>
    </row>
    <row r="677" spans="1:4" x14ac:dyDescent="0.35">
      <c r="A677" s="1" t="s">
        <v>222</v>
      </c>
      <c r="B677" s="1" t="s">
        <v>60</v>
      </c>
      <c r="C677" s="1">
        <v>2036</v>
      </c>
      <c r="D677" s="1">
        <v>18.635874950000002</v>
      </c>
    </row>
    <row r="678" spans="1:4" x14ac:dyDescent="0.35">
      <c r="A678" s="1" t="s">
        <v>222</v>
      </c>
      <c r="B678" s="1" t="s">
        <v>60</v>
      </c>
      <c r="C678" s="1">
        <v>2037</v>
      </c>
      <c r="D678" s="1">
        <v>18.756938770000001</v>
      </c>
    </row>
    <row r="679" spans="1:4" x14ac:dyDescent="0.35">
      <c r="A679" s="1" t="s">
        <v>222</v>
      </c>
      <c r="B679" s="1" t="s">
        <v>60</v>
      </c>
      <c r="C679" s="1">
        <v>2038</v>
      </c>
      <c r="D679" s="1">
        <v>18.856655709999998</v>
      </c>
    </row>
    <row r="680" spans="1:4" x14ac:dyDescent="0.35">
      <c r="A680" s="1" t="s">
        <v>222</v>
      </c>
      <c r="B680" s="1" t="s">
        <v>60</v>
      </c>
      <c r="C680" s="1">
        <v>2039</v>
      </c>
      <c r="D680" s="1">
        <v>18.930960280000001</v>
      </c>
    </row>
    <row r="681" spans="1:4" x14ac:dyDescent="0.35">
      <c r="A681" s="1" t="s">
        <v>222</v>
      </c>
      <c r="B681" s="1" t="s">
        <v>60</v>
      </c>
      <c r="C681" s="1">
        <v>2040</v>
      </c>
      <c r="D681" s="1">
        <v>18.996769359999998</v>
      </c>
    </row>
    <row r="682" spans="1:4" x14ac:dyDescent="0.35">
      <c r="A682" s="1" t="s">
        <v>222</v>
      </c>
      <c r="B682" s="1" t="s">
        <v>60</v>
      </c>
      <c r="C682" s="1">
        <v>2041</v>
      </c>
      <c r="D682" s="1">
        <v>19.04542129</v>
      </c>
    </row>
    <row r="683" spans="1:4" x14ac:dyDescent="0.35">
      <c r="A683" s="1" t="s">
        <v>222</v>
      </c>
      <c r="B683" s="1" t="s">
        <v>60</v>
      </c>
      <c r="C683" s="1">
        <v>2042</v>
      </c>
      <c r="D683" s="1">
        <v>19.081234760000001</v>
      </c>
    </row>
    <row r="684" spans="1:4" x14ac:dyDescent="0.35">
      <c r="A684" s="1" t="s">
        <v>222</v>
      </c>
      <c r="B684" s="1" t="s">
        <v>60</v>
      </c>
      <c r="C684" s="1">
        <v>2043</v>
      </c>
      <c r="D684" s="1">
        <v>19.1033905</v>
      </c>
    </row>
    <row r="685" spans="1:4" x14ac:dyDescent="0.35">
      <c r="A685" s="1" t="s">
        <v>222</v>
      </c>
      <c r="B685" s="1" t="s">
        <v>60</v>
      </c>
      <c r="C685" s="1">
        <v>2044</v>
      </c>
      <c r="D685" s="1">
        <v>19.118989670000001</v>
      </c>
    </row>
    <row r="686" spans="1:4" x14ac:dyDescent="0.35">
      <c r="A686" s="1" t="s">
        <v>222</v>
      </c>
      <c r="B686" s="1" t="s">
        <v>60</v>
      </c>
      <c r="C686" s="1">
        <v>2045</v>
      </c>
      <c r="D686" s="1">
        <v>19.130640929999998</v>
      </c>
    </row>
    <row r="687" spans="1:4" x14ac:dyDescent="0.35">
      <c r="A687" s="1" t="s">
        <v>222</v>
      </c>
      <c r="B687" s="1" t="s">
        <v>60</v>
      </c>
      <c r="C687" s="1">
        <v>2046</v>
      </c>
      <c r="D687" s="1">
        <v>19.139433830000002</v>
      </c>
    </row>
    <row r="688" spans="1:4" x14ac:dyDescent="0.35">
      <c r="A688" s="1" t="s">
        <v>222</v>
      </c>
      <c r="B688" s="1" t="s">
        <v>60</v>
      </c>
      <c r="C688" s="1">
        <v>2047</v>
      </c>
      <c r="D688" s="1">
        <v>19.147534010000001</v>
      </c>
    </row>
    <row r="689" spans="1:4" x14ac:dyDescent="0.35">
      <c r="A689" s="1" t="s">
        <v>222</v>
      </c>
      <c r="B689" s="1" t="s">
        <v>60</v>
      </c>
      <c r="C689" s="1">
        <v>2048</v>
      </c>
      <c r="D689" s="1">
        <v>19.154713260000001</v>
      </c>
    </row>
    <row r="690" spans="1:4" x14ac:dyDescent="0.35">
      <c r="A690" s="1" t="s">
        <v>222</v>
      </c>
      <c r="B690" s="1" t="s">
        <v>60</v>
      </c>
      <c r="C690" s="1">
        <v>2049</v>
      </c>
      <c r="D690" s="1">
        <v>19.158464670000001</v>
      </c>
    </row>
    <row r="691" spans="1:4" x14ac:dyDescent="0.35">
      <c r="A691" s="1" t="s">
        <v>222</v>
      </c>
      <c r="B691" s="1" t="s">
        <v>60</v>
      </c>
      <c r="C691" s="1">
        <v>2050</v>
      </c>
      <c r="D691" s="1">
        <v>19.156715850000001</v>
      </c>
    </row>
    <row r="692" spans="1:4" x14ac:dyDescent="0.35">
      <c r="A692" s="1" t="s">
        <v>222</v>
      </c>
      <c r="B692" s="1" t="s">
        <v>55</v>
      </c>
      <c r="C692" s="1">
        <v>2021</v>
      </c>
      <c r="D692" s="1">
        <v>10.8279137</v>
      </c>
    </row>
    <row r="693" spans="1:4" x14ac:dyDescent="0.35">
      <c r="A693" s="1" t="s">
        <v>222</v>
      </c>
      <c r="B693" s="1" t="s">
        <v>55</v>
      </c>
      <c r="C693" s="1">
        <v>2022</v>
      </c>
      <c r="D693" s="1">
        <v>10.9420634</v>
      </c>
    </row>
    <row r="694" spans="1:4" x14ac:dyDescent="0.35">
      <c r="A694" s="1" t="s">
        <v>222</v>
      </c>
      <c r="B694" s="1" t="s">
        <v>55</v>
      </c>
      <c r="C694" s="1">
        <v>2023</v>
      </c>
      <c r="D694" s="1">
        <v>11.06958934</v>
      </c>
    </row>
    <row r="695" spans="1:4" x14ac:dyDescent="0.35">
      <c r="A695" s="1" t="s">
        <v>222</v>
      </c>
      <c r="B695" s="1" t="s">
        <v>55</v>
      </c>
      <c r="C695" s="1">
        <v>2024</v>
      </c>
      <c r="D695" s="1">
        <v>11.20431615</v>
      </c>
    </row>
    <row r="696" spans="1:4" x14ac:dyDescent="0.35">
      <c r="A696" s="1" t="s">
        <v>222</v>
      </c>
      <c r="B696" s="1" t="s">
        <v>55</v>
      </c>
      <c r="C696" s="1">
        <v>2025</v>
      </c>
      <c r="D696" s="1">
        <v>11.35155606</v>
      </c>
    </row>
    <row r="697" spans="1:4" x14ac:dyDescent="0.35">
      <c r="A697" s="1" t="s">
        <v>222</v>
      </c>
      <c r="B697" s="1" t="s">
        <v>55</v>
      </c>
      <c r="C697" s="1">
        <v>2026</v>
      </c>
      <c r="D697" s="1">
        <v>11.5084547</v>
      </c>
    </row>
    <row r="698" spans="1:4" x14ac:dyDescent="0.35">
      <c r="A698" s="1" t="s">
        <v>222</v>
      </c>
      <c r="B698" s="1" t="s">
        <v>55</v>
      </c>
      <c r="C698" s="1">
        <v>2027</v>
      </c>
      <c r="D698" s="1">
        <v>11.68388105</v>
      </c>
    </row>
    <row r="699" spans="1:4" x14ac:dyDescent="0.35">
      <c r="A699" s="1" t="s">
        <v>222</v>
      </c>
      <c r="B699" s="1" t="s">
        <v>55</v>
      </c>
      <c r="C699" s="1">
        <v>2028</v>
      </c>
      <c r="D699" s="1">
        <v>11.853308139999999</v>
      </c>
    </row>
    <row r="700" spans="1:4" x14ac:dyDescent="0.35">
      <c r="A700" s="1" t="s">
        <v>222</v>
      </c>
      <c r="B700" s="1" t="s">
        <v>55</v>
      </c>
      <c r="C700" s="1">
        <v>2029</v>
      </c>
      <c r="D700" s="1">
        <v>12.02704119</v>
      </c>
    </row>
    <row r="701" spans="1:4" x14ac:dyDescent="0.35">
      <c r="A701" s="1" t="s">
        <v>222</v>
      </c>
      <c r="B701" s="1" t="s">
        <v>55</v>
      </c>
      <c r="C701" s="1">
        <v>2030</v>
      </c>
      <c r="D701" s="1">
        <v>12.20342125</v>
      </c>
    </row>
    <row r="702" spans="1:4" x14ac:dyDescent="0.35">
      <c r="A702" s="1" t="s">
        <v>222</v>
      </c>
      <c r="B702" s="1" t="s">
        <v>55</v>
      </c>
      <c r="C702" s="1">
        <v>2031</v>
      </c>
      <c r="D702" s="1">
        <v>12.38049825</v>
      </c>
    </row>
    <row r="703" spans="1:4" x14ac:dyDescent="0.35">
      <c r="A703" s="1" t="s">
        <v>222</v>
      </c>
      <c r="B703" s="1" t="s">
        <v>55</v>
      </c>
      <c r="C703" s="1">
        <v>2032</v>
      </c>
      <c r="D703" s="1">
        <v>12.549119470000001</v>
      </c>
    </row>
    <row r="704" spans="1:4" x14ac:dyDescent="0.35">
      <c r="A704" s="1" t="s">
        <v>222</v>
      </c>
      <c r="B704" s="1" t="s">
        <v>55</v>
      </c>
      <c r="C704" s="1">
        <v>2033</v>
      </c>
      <c r="D704" s="1">
        <v>12.719613430000001</v>
      </c>
    </row>
    <row r="705" spans="1:4" x14ac:dyDescent="0.35">
      <c r="A705" s="1" t="s">
        <v>222</v>
      </c>
      <c r="B705" s="1" t="s">
        <v>55</v>
      </c>
      <c r="C705" s="1">
        <v>2034</v>
      </c>
      <c r="D705" s="1">
        <v>12.872510249999999</v>
      </c>
    </row>
    <row r="706" spans="1:4" x14ac:dyDescent="0.35">
      <c r="A706" s="1" t="s">
        <v>222</v>
      </c>
      <c r="B706" s="1" t="s">
        <v>55</v>
      </c>
      <c r="C706" s="1">
        <v>2035</v>
      </c>
      <c r="D706" s="1">
        <v>13.0120673</v>
      </c>
    </row>
    <row r="707" spans="1:4" x14ac:dyDescent="0.35">
      <c r="A707" s="1" t="s">
        <v>222</v>
      </c>
      <c r="B707" s="1" t="s">
        <v>55</v>
      </c>
      <c r="C707" s="1">
        <v>2036</v>
      </c>
      <c r="D707" s="1">
        <v>13.13710771</v>
      </c>
    </row>
    <row r="708" spans="1:4" x14ac:dyDescent="0.35">
      <c r="A708" s="1" t="s">
        <v>222</v>
      </c>
      <c r="B708" s="1" t="s">
        <v>55</v>
      </c>
      <c r="C708" s="1">
        <v>2037</v>
      </c>
      <c r="D708" s="1">
        <v>13.25221022</v>
      </c>
    </row>
    <row r="709" spans="1:4" x14ac:dyDescent="0.35">
      <c r="A709" s="1" t="s">
        <v>222</v>
      </c>
      <c r="B709" s="1" t="s">
        <v>55</v>
      </c>
      <c r="C709" s="1">
        <v>2038</v>
      </c>
      <c r="D709" s="1">
        <v>13.35925776</v>
      </c>
    </row>
    <row r="710" spans="1:4" x14ac:dyDescent="0.35">
      <c r="A710" s="1" t="s">
        <v>222</v>
      </c>
      <c r="B710" s="1" t="s">
        <v>55</v>
      </c>
      <c r="C710" s="1">
        <v>2039</v>
      </c>
      <c r="D710" s="1">
        <v>13.45740333</v>
      </c>
    </row>
    <row r="711" spans="1:4" x14ac:dyDescent="0.35">
      <c r="A711" s="1" t="s">
        <v>222</v>
      </c>
      <c r="B711" s="1" t="s">
        <v>55</v>
      </c>
      <c r="C711" s="1">
        <v>2040</v>
      </c>
      <c r="D711" s="1">
        <v>13.55281344</v>
      </c>
    </row>
    <row r="712" spans="1:4" x14ac:dyDescent="0.35">
      <c r="A712" s="1" t="s">
        <v>222</v>
      </c>
      <c r="B712" s="1" t="s">
        <v>55</v>
      </c>
      <c r="C712" s="1">
        <v>2041</v>
      </c>
      <c r="D712" s="1">
        <v>13.64205151</v>
      </c>
    </row>
    <row r="713" spans="1:4" x14ac:dyDescent="0.35">
      <c r="A713" s="1" t="s">
        <v>222</v>
      </c>
      <c r="B713" s="1" t="s">
        <v>55</v>
      </c>
      <c r="C713" s="1">
        <v>2042</v>
      </c>
      <c r="D713" s="1">
        <v>13.711977709999999</v>
      </c>
    </row>
    <row r="714" spans="1:4" x14ac:dyDescent="0.35">
      <c r="A714" s="1" t="s">
        <v>222</v>
      </c>
      <c r="B714" s="1" t="s">
        <v>55</v>
      </c>
      <c r="C714" s="1">
        <v>2043</v>
      </c>
      <c r="D714" s="1">
        <v>13.76796835</v>
      </c>
    </row>
    <row r="715" spans="1:4" x14ac:dyDescent="0.35">
      <c r="A715" s="1" t="s">
        <v>222</v>
      </c>
      <c r="B715" s="1" t="s">
        <v>55</v>
      </c>
      <c r="C715" s="1">
        <v>2044</v>
      </c>
      <c r="D715" s="1">
        <v>13.820594270000001</v>
      </c>
    </row>
    <row r="716" spans="1:4" x14ac:dyDescent="0.35">
      <c r="A716" s="1" t="s">
        <v>222</v>
      </c>
      <c r="B716" s="1" t="s">
        <v>55</v>
      </c>
      <c r="C716" s="1">
        <v>2045</v>
      </c>
      <c r="D716" s="1">
        <v>13.8675003</v>
      </c>
    </row>
    <row r="717" spans="1:4" x14ac:dyDescent="0.35">
      <c r="A717" s="1" t="s">
        <v>222</v>
      </c>
      <c r="B717" s="1" t="s">
        <v>55</v>
      </c>
      <c r="C717" s="1">
        <v>2046</v>
      </c>
      <c r="D717" s="1">
        <v>13.917128569999999</v>
      </c>
    </row>
    <row r="718" spans="1:4" x14ac:dyDescent="0.35">
      <c r="A718" s="1" t="s">
        <v>222</v>
      </c>
      <c r="B718" s="1" t="s">
        <v>55</v>
      </c>
      <c r="C718" s="1">
        <v>2047</v>
      </c>
      <c r="D718" s="1">
        <v>13.975125480000001</v>
      </c>
    </row>
    <row r="719" spans="1:4" x14ac:dyDescent="0.35">
      <c r="A719" s="1" t="s">
        <v>222</v>
      </c>
      <c r="B719" s="1" t="s">
        <v>55</v>
      </c>
      <c r="C719" s="1">
        <v>2048</v>
      </c>
      <c r="D719" s="1">
        <v>14.02944667</v>
      </c>
    </row>
    <row r="720" spans="1:4" x14ac:dyDescent="0.35">
      <c r="A720" s="1" t="s">
        <v>222</v>
      </c>
      <c r="B720" s="1" t="s">
        <v>55</v>
      </c>
      <c r="C720" s="1">
        <v>2049</v>
      </c>
      <c r="D720" s="1">
        <v>14.080098509999999</v>
      </c>
    </row>
    <row r="721" spans="1:4" x14ac:dyDescent="0.35">
      <c r="A721" s="1" t="s">
        <v>222</v>
      </c>
      <c r="B721" s="1" t="s">
        <v>55</v>
      </c>
      <c r="C721" s="1">
        <v>2050</v>
      </c>
      <c r="D721" s="1">
        <v>14.130733790000001</v>
      </c>
    </row>
    <row r="722" spans="1:4" x14ac:dyDescent="0.35">
      <c r="A722" s="1" t="s">
        <v>222</v>
      </c>
      <c r="B722" s="1" t="s">
        <v>66</v>
      </c>
      <c r="C722" s="1">
        <v>2021</v>
      </c>
      <c r="D722" s="1">
        <v>7.4089996620000003</v>
      </c>
    </row>
    <row r="723" spans="1:4" x14ac:dyDescent="0.35">
      <c r="A723" s="1" t="s">
        <v>222</v>
      </c>
      <c r="B723" s="1" t="s">
        <v>66</v>
      </c>
      <c r="C723" s="1">
        <v>2022</v>
      </c>
      <c r="D723" s="1">
        <v>7.7418210140000001</v>
      </c>
    </row>
    <row r="724" spans="1:4" x14ac:dyDescent="0.35">
      <c r="A724" s="1" t="s">
        <v>222</v>
      </c>
      <c r="B724" s="1" t="s">
        <v>66</v>
      </c>
      <c r="C724" s="1">
        <v>2023</v>
      </c>
      <c r="D724" s="1">
        <v>8.0062348399999994</v>
      </c>
    </row>
    <row r="725" spans="1:4" x14ac:dyDescent="0.35">
      <c r="A725" s="1" t="s">
        <v>222</v>
      </c>
      <c r="B725" s="1" t="s">
        <v>66</v>
      </c>
      <c r="C725" s="1">
        <v>2024</v>
      </c>
      <c r="D725" s="1">
        <v>8.2279412389999997</v>
      </c>
    </row>
    <row r="726" spans="1:4" x14ac:dyDescent="0.35">
      <c r="A726" s="1" t="s">
        <v>222</v>
      </c>
      <c r="B726" s="1" t="s">
        <v>66</v>
      </c>
      <c r="C726" s="1">
        <v>2025</v>
      </c>
      <c r="D726" s="1">
        <v>8.4290898730000006</v>
      </c>
    </row>
    <row r="727" spans="1:4" x14ac:dyDescent="0.35">
      <c r="A727" s="1" t="s">
        <v>222</v>
      </c>
      <c r="B727" s="1" t="s">
        <v>66</v>
      </c>
      <c r="C727" s="1">
        <v>2026</v>
      </c>
      <c r="D727" s="1">
        <v>8.6201702269999991</v>
      </c>
    </row>
    <row r="728" spans="1:4" x14ac:dyDescent="0.35">
      <c r="A728" s="1" t="s">
        <v>222</v>
      </c>
      <c r="B728" s="1" t="s">
        <v>66</v>
      </c>
      <c r="C728" s="1">
        <v>2027</v>
      </c>
      <c r="D728" s="1">
        <v>8.8070248899999992</v>
      </c>
    </row>
    <row r="729" spans="1:4" x14ac:dyDescent="0.35">
      <c r="A729" s="1" t="s">
        <v>222</v>
      </c>
      <c r="B729" s="1" t="s">
        <v>66</v>
      </c>
      <c r="C729" s="1">
        <v>2028</v>
      </c>
      <c r="D729" s="1">
        <v>8.9732113039999994</v>
      </c>
    </row>
    <row r="730" spans="1:4" x14ac:dyDescent="0.35">
      <c r="A730" s="1" t="s">
        <v>222</v>
      </c>
      <c r="B730" s="1" t="s">
        <v>66</v>
      </c>
      <c r="C730" s="1">
        <v>2029</v>
      </c>
      <c r="D730" s="1">
        <v>9.1395805719999998</v>
      </c>
    </row>
    <row r="731" spans="1:4" x14ac:dyDescent="0.35">
      <c r="A731" s="1" t="s">
        <v>222</v>
      </c>
      <c r="B731" s="1" t="s">
        <v>66</v>
      </c>
      <c r="C731" s="1">
        <v>2030</v>
      </c>
      <c r="D731" s="1">
        <v>9.3052619270000001</v>
      </c>
    </row>
    <row r="732" spans="1:4" x14ac:dyDescent="0.35">
      <c r="A732" s="1" t="s">
        <v>222</v>
      </c>
      <c r="B732" s="1" t="s">
        <v>66</v>
      </c>
      <c r="C732" s="1">
        <v>2031</v>
      </c>
      <c r="D732" s="1">
        <v>9.4688561720000006</v>
      </c>
    </row>
    <row r="733" spans="1:4" x14ac:dyDescent="0.35">
      <c r="A733" s="1" t="s">
        <v>222</v>
      </c>
      <c r="B733" s="1" t="s">
        <v>66</v>
      </c>
      <c r="C733" s="1">
        <v>2032</v>
      </c>
      <c r="D733" s="1">
        <v>9.6259336750000006</v>
      </c>
    </row>
    <row r="734" spans="1:4" x14ac:dyDescent="0.35">
      <c r="A734" s="1" t="s">
        <v>222</v>
      </c>
      <c r="B734" s="1" t="s">
        <v>66</v>
      </c>
      <c r="C734" s="1">
        <v>2033</v>
      </c>
      <c r="D734" s="1">
        <v>9.7706673930000001</v>
      </c>
    </row>
    <row r="735" spans="1:4" x14ac:dyDescent="0.35">
      <c r="A735" s="1" t="s">
        <v>222</v>
      </c>
      <c r="B735" s="1" t="s">
        <v>66</v>
      </c>
      <c r="C735" s="1">
        <v>2034</v>
      </c>
      <c r="D735" s="1">
        <v>9.9038669709999994</v>
      </c>
    </row>
    <row r="736" spans="1:4" x14ac:dyDescent="0.35">
      <c r="A736" s="1" t="s">
        <v>222</v>
      </c>
      <c r="B736" s="1" t="s">
        <v>66</v>
      </c>
      <c r="C736" s="1">
        <v>2035</v>
      </c>
      <c r="D736" s="1">
        <v>10.029874899999999</v>
      </c>
    </row>
    <row r="737" spans="1:4" x14ac:dyDescent="0.35">
      <c r="A737" s="1" t="s">
        <v>222</v>
      </c>
      <c r="B737" s="1" t="s">
        <v>66</v>
      </c>
      <c r="C737" s="1">
        <v>2036</v>
      </c>
      <c r="D737" s="1">
        <v>10.145731270000001</v>
      </c>
    </row>
    <row r="738" spans="1:4" x14ac:dyDescent="0.35">
      <c r="A738" s="1" t="s">
        <v>222</v>
      </c>
      <c r="B738" s="1" t="s">
        <v>66</v>
      </c>
      <c r="C738" s="1">
        <v>2037</v>
      </c>
      <c r="D738" s="1">
        <v>10.250403990000001</v>
      </c>
    </row>
    <row r="739" spans="1:4" x14ac:dyDescent="0.35">
      <c r="A739" s="1" t="s">
        <v>222</v>
      </c>
      <c r="B739" s="1" t="s">
        <v>66</v>
      </c>
      <c r="C739" s="1">
        <v>2038</v>
      </c>
      <c r="D739" s="1">
        <v>10.343242160000001</v>
      </c>
    </row>
    <row r="740" spans="1:4" x14ac:dyDescent="0.35">
      <c r="A740" s="1" t="s">
        <v>222</v>
      </c>
      <c r="B740" s="1" t="s">
        <v>66</v>
      </c>
      <c r="C740" s="1">
        <v>2039</v>
      </c>
      <c r="D740" s="1">
        <v>10.42294545</v>
      </c>
    </row>
    <row r="741" spans="1:4" x14ac:dyDescent="0.35">
      <c r="A741" s="1" t="s">
        <v>222</v>
      </c>
      <c r="B741" s="1" t="s">
        <v>66</v>
      </c>
      <c r="C741" s="1">
        <v>2040</v>
      </c>
      <c r="D741" s="1">
        <v>10.49008287</v>
      </c>
    </row>
    <row r="742" spans="1:4" x14ac:dyDescent="0.35">
      <c r="A742" s="1" t="s">
        <v>222</v>
      </c>
      <c r="B742" s="1" t="s">
        <v>66</v>
      </c>
      <c r="C742" s="1">
        <v>2041</v>
      </c>
      <c r="D742" s="1">
        <v>10.54840752</v>
      </c>
    </row>
    <row r="743" spans="1:4" x14ac:dyDescent="0.35">
      <c r="A743" s="1" t="s">
        <v>222</v>
      </c>
      <c r="B743" s="1" t="s">
        <v>66</v>
      </c>
      <c r="C743" s="1">
        <v>2042</v>
      </c>
      <c r="D743" s="1">
        <v>10.598081199999999</v>
      </c>
    </row>
    <row r="744" spans="1:4" x14ac:dyDescent="0.35">
      <c r="A744" s="1" t="s">
        <v>222</v>
      </c>
      <c r="B744" s="1" t="s">
        <v>66</v>
      </c>
      <c r="C744" s="1">
        <v>2043</v>
      </c>
      <c r="D744" s="1">
        <v>10.642223100000001</v>
      </c>
    </row>
    <row r="745" spans="1:4" x14ac:dyDescent="0.35">
      <c r="A745" s="1" t="s">
        <v>222</v>
      </c>
      <c r="B745" s="1" t="s">
        <v>66</v>
      </c>
      <c r="C745" s="1">
        <v>2044</v>
      </c>
      <c r="D745" s="1">
        <v>10.68151348</v>
      </c>
    </row>
    <row r="746" spans="1:4" x14ac:dyDescent="0.35">
      <c r="A746" s="1" t="s">
        <v>222</v>
      </c>
      <c r="B746" s="1" t="s">
        <v>66</v>
      </c>
      <c r="C746" s="1">
        <v>2045</v>
      </c>
      <c r="D746" s="1">
        <v>10.716050920000001</v>
      </c>
    </row>
    <row r="747" spans="1:4" x14ac:dyDescent="0.35">
      <c r="A747" s="1" t="s">
        <v>222</v>
      </c>
      <c r="B747" s="1" t="s">
        <v>66</v>
      </c>
      <c r="C747" s="1">
        <v>2046</v>
      </c>
      <c r="D747" s="1">
        <v>10.7470105</v>
      </c>
    </row>
    <row r="748" spans="1:4" x14ac:dyDescent="0.35">
      <c r="A748" s="1" t="s">
        <v>222</v>
      </c>
      <c r="B748" s="1" t="s">
        <v>66</v>
      </c>
      <c r="C748" s="1">
        <v>2047</v>
      </c>
      <c r="D748" s="1">
        <v>10.776309230000001</v>
      </c>
    </row>
    <row r="749" spans="1:4" x14ac:dyDescent="0.35">
      <c r="A749" s="1" t="s">
        <v>222</v>
      </c>
      <c r="B749" s="1" t="s">
        <v>66</v>
      </c>
      <c r="C749" s="1">
        <v>2048</v>
      </c>
      <c r="D749" s="1">
        <v>10.804450170000001</v>
      </c>
    </row>
    <row r="750" spans="1:4" x14ac:dyDescent="0.35">
      <c r="A750" s="1" t="s">
        <v>222</v>
      </c>
      <c r="B750" s="1" t="s">
        <v>66</v>
      </c>
      <c r="C750" s="1">
        <v>2049</v>
      </c>
      <c r="D750" s="1">
        <v>10.834180529999999</v>
      </c>
    </row>
    <row r="751" spans="1:4" x14ac:dyDescent="0.35">
      <c r="A751" s="1" t="s">
        <v>222</v>
      </c>
      <c r="B751" s="1" t="s">
        <v>66</v>
      </c>
      <c r="C751" s="1">
        <v>2050</v>
      </c>
      <c r="D751" s="1">
        <v>10.85954774</v>
      </c>
    </row>
    <row r="752" spans="1:4" x14ac:dyDescent="0.35">
      <c r="A752" s="1" t="s">
        <v>222</v>
      </c>
      <c r="B752" s="1" t="s">
        <v>59</v>
      </c>
      <c r="C752" s="1">
        <v>2021</v>
      </c>
      <c r="D752" s="1">
        <v>10.520447190000001</v>
      </c>
    </row>
    <row r="753" spans="1:4" x14ac:dyDescent="0.35">
      <c r="A753" s="1" t="s">
        <v>222</v>
      </c>
      <c r="B753" s="1" t="s">
        <v>59</v>
      </c>
      <c r="C753" s="1">
        <v>2022</v>
      </c>
      <c r="D753" s="1">
        <v>10.497595840000001</v>
      </c>
    </row>
    <row r="754" spans="1:4" x14ac:dyDescent="0.35">
      <c r="A754" s="1" t="s">
        <v>222</v>
      </c>
      <c r="B754" s="1" t="s">
        <v>59</v>
      </c>
      <c r="C754" s="1">
        <v>2023</v>
      </c>
      <c r="D754" s="1">
        <v>10.48738006</v>
      </c>
    </row>
    <row r="755" spans="1:4" x14ac:dyDescent="0.35">
      <c r="A755" s="1" t="s">
        <v>222</v>
      </c>
      <c r="B755" s="1" t="s">
        <v>59</v>
      </c>
      <c r="C755" s="1">
        <v>2024</v>
      </c>
      <c r="D755" s="1">
        <v>10.486138520000001</v>
      </c>
    </row>
    <row r="756" spans="1:4" x14ac:dyDescent="0.35">
      <c r="A756" s="1" t="s">
        <v>222</v>
      </c>
      <c r="B756" s="1" t="s">
        <v>59</v>
      </c>
      <c r="C756" s="1">
        <v>2025</v>
      </c>
      <c r="D756" s="1">
        <v>10.500341130000001</v>
      </c>
    </row>
    <row r="757" spans="1:4" x14ac:dyDescent="0.35">
      <c r="A757" s="1" t="s">
        <v>222</v>
      </c>
      <c r="B757" s="1" t="s">
        <v>59</v>
      </c>
      <c r="C757" s="1">
        <v>2026</v>
      </c>
      <c r="D757" s="1">
        <v>10.523194780000001</v>
      </c>
    </row>
    <row r="758" spans="1:4" x14ac:dyDescent="0.35">
      <c r="A758" s="1" t="s">
        <v>222</v>
      </c>
      <c r="B758" s="1" t="s">
        <v>59</v>
      </c>
      <c r="C758" s="1">
        <v>2027</v>
      </c>
      <c r="D758" s="1">
        <v>10.56567388</v>
      </c>
    </row>
    <row r="759" spans="1:4" x14ac:dyDescent="0.35">
      <c r="A759" s="1" t="s">
        <v>222</v>
      </c>
      <c r="B759" s="1" t="s">
        <v>59</v>
      </c>
      <c r="C759" s="1">
        <v>2028</v>
      </c>
      <c r="D759" s="1">
        <v>10.602699680000001</v>
      </c>
    </row>
    <row r="760" spans="1:4" x14ac:dyDescent="0.35">
      <c r="A760" s="1" t="s">
        <v>222</v>
      </c>
      <c r="B760" s="1" t="s">
        <v>59</v>
      </c>
      <c r="C760" s="1">
        <v>2029</v>
      </c>
      <c r="D760" s="1">
        <v>10.64870809</v>
      </c>
    </row>
    <row r="761" spans="1:4" x14ac:dyDescent="0.35">
      <c r="A761" s="1" t="s">
        <v>222</v>
      </c>
      <c r="B761" s="1" t="s">
        <v>59</v>
      </c>
      <c r="C761" s="1">
        <v>2030</v>
      </c>
      <c r="D761" s="1">
        <v>10.70603317</v>
      </c>
    </row>
    <row r="762" spans="1:4" x14ac:dyDescent="0.35">
      <c r="A762" s="1" t="s">
        <v>222</v>
      </c>
      <c r="B762" s="1" t="s">
        <v>59</v>
      </c>
      <c r="C762" s="1">
        <v>2031</v>
      </c>
      <c r="D762" s="1">
        <v>10.76890098</v>
      </c>
    </row>
    <row r="763" spans="1:4" x14ac:dyDescent="0.35">
      <c r="A763" s="1" t="s">
        <v>222</v>
      </c>
      <c r="B763" s="1" t="s">
        <v>59</v>
      </c>
      <c r="C763" s="1">
        <v>2032</v>
      </c>
      <c r="D763" s="1">
        <v>10.835349600000001</v>
      </c>
    </row>
    <row r="764" spans="1:4" x14ac:dyDescent="0.35">
      <c r="A764" s="1" t="s">
        <v>222</v>
      </c>
      <c r="B764" s="1" t="s">
        <v>59</v>
      </c>
      <c r="C764" s="1">
        <v>2033</v>
      </c>
      <c r="D764" s="1">
        <v>10.894981469999999</v>
      </c>
    </row>
    <row r="765" spans="1:4" x14ac:dyDescent="0.35">
      <c r="A765" s="1" t="s">
        <v>222</v>
      </c>
      <c r="B765" s="1" t="s">
        <v>59</v>
      </c>
      <c r="C765" s="1">
        <v>2034</v>
      </c>
      <c r="D765" s="1">
        <v>10.945548369999999</v>
      </c>
    </row>
    <row r="766" spans="1:4" x14ac:dyDescent="0.35">
      <c r="A766" s="1" t="s">
        <v>222</v>
      </c>
      <c r="B766" s="1" t="s">
        <v>59</v>
      </c>
      <c r="C766" s="1">
        <v>2035</v>
      </c>
      <c r="D766" s="1">
        <v>10.98652607</v>
      </c>
    </row>
    <row r="767" spans="1:4" x14ac:dyDescent="0.35">
      <c r="A767" s="1" t="s">
        <v>222</v>
      </c>
      <c r="B767" s="1" t="s">
        <v>59</v>
      </c>
      <c r="C767" s="1">
        <v>2036</v>
      </c>
      <c r="D767" s="1">
        <v>11.02114291</v>
      </c>
    </row>
    <row r="768" spans="1:4" x14ac:dyDescent="0.35">
      <c r="A768" s="1" t="s">
        <v>222</v>
      </c>
      <c r="B768" s="1" t="s">
        <v>59</v>
      </c>
      <c r="C768" s="1">
        <v>2037</v>
      </c>
      <c r="D768" s="1">
        <v>11.0452151</v>
      </c>
    </row>
    <row r="769" spans="1:4" x14ac:dyDescent="0.35">
      <c r="A769" s="1" t="s">
        <v>222</v>
      </c>
      <c r="B769" s="1" t="s">
        <v>59</v>
      </c>
      <c r="C769" s="1">
        <v>2038</v>
      </c>
      <c r="D769" s="1">
        <v>11.062000299999999</v>
      </c>
    </row>
    <row r="770" spans="1:4" x14ac:dyDescent="0.35">
      <c r="A770" s="1" t="s">
        <v>222</v>
      </c>
      <c r="B770" s="1" t="s">
        <v>59</v>
      </c>
      <c r="C770" s="1">
        <v>2039</v>
      </c>
      <c r="D770" s="1">
        <v>11.06092099</v>
      </c>
    </row>
    <row r="771" spans="1:4" x14ac:dyDescent="0.35">
      <c r="A771" s="1" t="s">
        <v>222</v>
      </c>
      <c r="B771" s="1" t="s">
        <v>59</v>
      </c>
      <c r="C771" s="1">
        <v>2040</v>
      </c>
      <c r="D771" s="1">
        <v>11.05896212</v>
      </c>
    </row>
    <row r="772" spans="1:4" x14ac:dyDescent="0.35">
      <c r="A772" s="1" t="s">
        <v>222</v>
      </c>
      <c r="B772" s="1" t="s">
        <v>59</v>
      </c>
      <c r="C772" s="1">
        <v>2041</v>
      </c>
      <c r="D772" s="1">
        <v>11.04987695</v>
      </c>
    </row>
    <row r="773" spans="1:4" x14ac:dyDescent="0.35">
      <c r="A773" s="1" t="s">
        <v>222</v>
      </c>
      <c r="B773" s="1" t="s">
        <v>59</v>
      </c>
      <c r="C773" s="1">
        <v>2042</v>
      </c>
      <c r="D773" s="1">
        <v>11.03907791</v>
      </c>
    </row>
    <row r="774" spans="1:4" x14ac:dyDescent="0.35">
      <c r="A774" s="1" t="s">
        <v>222</v>
      </c>
      <c r="B774" s="1" t="s">
        <v>59</v>
      </c>
      <c r="C774" s="1">
        <v>2043</v>
      </c>
      <c r="D774" s="1">
        <v>11.028865550000001</v>
      </c>
    </row>
    <row r="775" spans="1:4" x14ac:dyDescent="0.35">
      <c r="A775" s="1" t="s">
        <v>222</v>
      </c>
      <c r="B775" s="1" t="s">
        <v>59</v>
      </c>
      <c r="C775" s="1">
        <v>2044</v>
      </c>
      <c r="D775" s="1">
        <v>11.01632274</v>
      </c>
    </row>
    <row r="776" spans="1:4" x14ac:dyDescent="0.35">
      <c r="A776" s="1" t="s">
        <v>222</v>
      </c>
      <c r="B776" s="1" t="s">
        <v>59</v>
      </c>
      <c r="C776" s="1">
        <v>2045</v>
      </c>
      <c r="D776" s="1">
        <v>11.01633196</v>
      </c>
    </row>
    <row r="777" spans="1:4" x14ac:dyDescent="0.35">
      <c r="A777" s="1" t="s">
        <v>222</v>
      </c>
      <c r="B777" s="1" t="s">
        <v>59</v>
      </c>
      <c r="C777" s="1">
        <v>2046</v>
      </c>
      <c r="D777" s="1">
        <v>11.00960536</v>
      </c>
    </row>
    <row r="778" spans="1:4" x14ac:dyDescent="0.35">
      <c r="A778" s="1" t="s">
        <v>222</v>
      </c>
      <c r="B778" s="1" t="s">
        <v>59</v>
      </c>
      <c r="C778" s="1">
        <v>2047</v>
      </c>
      <c r="D778" s="1">
        <v>10.99528499</v>
      </c>
    </row>
    <row r="779" spans="1:4" x14ac:dyDescent="0.35">
      <c r="A779" s="1" t="s">
        <v>222</v>
      </c>
      <c r="B779" s="1" t="s">
        <v>59</v>
      </c>
      <c r="C779" s="1">
        <v>2048</v>
      </c>
      <c r="D779" s="1">
        <v>10.985906870000001</v>
      </c>
    </row>
    <row r="780" spans="1:4" x14ac:dyDescent="0.35">
      <c r="A780" s="1" t="s">
        <v>222</v>
      </c>
      <c r="B780" s="1" t="s">
        <v>59</v>
      </c>
      <c r="C780" s="1">
        <v>2049</v>
      </c>
      <c r="D780" s="1">
        <v>10.978991280000001</v>
      </c>
    </row>
    <row r="781" spans="1:4" x14ac:dyDescent="0.35">
      <c r="A781" s="1" t="s">
        <v>222</v>
      </c>
      <c r="B781" s="1" t="s">
        <v>59</v>
      </c>
      <c r="C781" s="1">
        <v>2050</v>
      </c>
      <c r="D781" s="1">
        <v>10.965351650000001</v>
      </c>
    </row>
    <row r="782" spans="1:4" x14ac:dyDescent="0.35">
      <c r="A782" s="1" t="s">
        <v>222</v>
      </c>
      <c r="B782" s="1" t="s">
        <v>67</v>
      </c>
      <c r="C782" s="1">
        <v>2021</v>
      </c>
      <c r="D782" s="1">
        <v>20.23602464</v>
      </c>
    </row>
    <row r="783" spans="1:4" x14ac:dyDescent="0.35">
      <c r="A783" s="1" t="s">
        <v>222</v>
      </c>
      <c r="B783" s="1" t="s">
        <v>67</v>
      </c>
      <c r="C783" s="1">
        <v>2022</v>
      </c>
      <c r="D783" s="1">
        <v>20.050822419999999</v>
      </c>
    </row>
    <row r="784" spans="1:4" x14ac:dyDescent="0.35">
      <c r="A784" s="1" t="s">
        <v>222</v>
      </c>
      <c r="B784" s="1" t="s">
        <v>67</v>
      </c>
      <c r="C784" s="1">
        <v>2023</v>
      </c>
      <c r="D784" s="1">
        <v>19.929239070000001</v>
      </c>
    </row>
    <row r="785" spans="1:4" x14ac:dyDescent="0.35">
      <c r="A785" s="1" t="s">
        <v>222</v>
      </c>
      <c r="B785" s="1" t="s">
        <v>67</v>
      </c>
      <c r="C785" s="1">
        <v>2024</v>
      </c>
      <c r="D785" s="1">
        <v>19.86059405</v>
      </c>
    </row>
    <row r="786" spans="1:4" x14ac:dyDescent="0.35">
      <c r="A786" s="1" t="s">
        <v>222</v>
      </c>
      <c r="B786" s="1" t="s">
        <v>67</v>
      </c>
      <c r="C786" s="1">
        <v>2025</v>
      </c>
      <c r="D786" s="1">
        <v>19.838536349999998</v>
      </c>
    </row>
    <row r="787" spans="1:4" x14ac:dyDescent="0.35">
      <c r="A787" s="1" t="s">
        <v>222</v>
      </c>
      <c r="B787" s="1" t="s">
        <v>67</v>
      </c>
      <c r="C787" s="1">
        <v>2026</v>
      </c>
      <c r="D787" s="1">
        <v>19.85769999</v>
      </c>
    </row>
    <row r="788" spans="1:4" x14ac:dyDescent="0.35">
      <c r="A788" s="1" t="s">
        <v>222</v>
      </c>
      <c r="B788" s="1" t="s">
        <v>67</v>
      </c>
      <c r="C788" s="1">
        <v>2027</v>
      </c>
      <c r="D788" s="1">
        <v>19.914649910000001</v>
      </c>
    </row>
    <row r="789" spans="1:4" x14ac:dyDescent="0.35">
      <c r="A789" s="1" t="s">
        <v>222</v>
      </c>
      <c r="B789" s="1" t="s">
        <v>67</v>
      </c>
      <c r="C789" s="1">
        <v>2028</v>
      </c>
      <c r="D789" s="1">
        <v>19.988422459999999</v>
      </c>
    </row>
    <row r="790" spans="1:4" x14ac:dyDescent="0.35">
      <c r="A790" s="1" t="s">
        <v>222</v>
      </c>
      <c r="B790" s="1" t="s">
        <v>67</v>
      </c>
      <c r="C790" s="1">
        <v>2029</v>
      </c>
      <c r="D790" s="1">
        <v>20.074695770000002</v>
      </c>
    </row>
    <row r="791" spans="1:4" x14ac:dyDescent="0.35">
      <c r="A791" s="1" t="s">
        <v>222</v>
      </c>
      <c r="B791" s="1" t="s">
        <v>67</v>
      </c>
      <c r="C791" s="1">
        <v>2030</v>
      </c>
      <c r="D791" s="1">
        <v>20.172123460000002</v>
      </c>
    </row>
    <row r="792" spans="1:4" x14ac:dyDescent="0.35">
      <c r="A792" s="1" t="s">
        <v>222</v>
      </c>
      <c r="B792" s="1" t="s">
        <v>67</v>
      </c>
      <c r="C792" s="1">
        <v>2031</v>
      </c>
      <c r="D792" s="1">
        <v>20.285140070000001</v>
      </c>
    </row>
    <row r="793" spans="1:4" x14ac:dyDescent="0.35">
      <c r="A793" s="1" t="s">
        <v>222</v>
      </c>
      <c r="B793" s="1" t="s">
        <v>67</v>
      </c>
      <c r="C793" s="1">
        <v>2032</v>
      </c>
      <c r="D793" s="1">
        <v>20.407588220000001</v>
      </c>
    </row>
    <row r="794" spans="1:4" x14ac:dyDescent="0.35">
      <c r="A794" s="1" t="s">
        <v>222</v>
      </c>
      <c r="B794" s="1" t="s">
        <v>67</v>
      </c>
      <c r="C794" s="1">
        <v>2033</v>
      </c>
      <c r="D794" s="1">
        <v>20.512764600000001</v>
      </c>
    </row>
    <row r="795" spans="1:4" x14ac:dyDescent="0.35">
      <c r="A795" s="1" t="s">
        <v>222</v>
      </c>
      <c r="B795" s="1" t="s">
        <v>67</v>
      </c>
      <c r="C795" s="1">
        <v>2034</v>
      </c>
      <c r="D795" s="1">
        <v>20.549969040000001</v>
      </c>
    </row>
    <row r="796" spans="1:4" x14ac:dyDescent="0.35">
      <c r="A796" s="1" t="s">
        <v>222</v>
      </c>
      <c r="B796" s="1" t="s">
        <v>67</v>
      </c>
      <c r="C796" s="1">
        <v>2035</v>
      </c>
      <c r="D796" s="1">
        <v>20.627169890000001</v>
      </c>
    </row>
    <row r="797" spans="1:4" x14ac:dyDescent="0.35">
      <c r="A797" s="1" t="s">
        <v>222</v>
      </c>
      <c r="B797" s="1" t="s">
        <v>67</v>
      </c>
      <c r="C797" s="1">
        <v>2036</v>
      </c>
      <c r="D797" s="1">
        <v>20.763240660000001</v>
      </c>
    </row>
    <row r="798" spans="1:4" x14ac:dyDescent="0.35">
      <c r="A798" s="1" t="s">
        <v>222</v>
      </c>
      <c r="B798" s="1" t="s">
        <v>67</v>
      </c>
      <c r="C798" s="1">
        <v>2037</v>
      </c>
      <c r="D798" s="1">
        <v>20.901499829999999</v>
      </c>
    </row>
    <row r="799" spans="1:4" x14ac:dyDescent="0.35">
      <c r="A799" s="1" t="s">
        <v>222</v>
      </c>
      <c r="B799" s="1" t="s">
        <v>67</v>
      </c>
      <c r="C799" s="1">
        <v>2038</v>
      </c>
      <c r="D799" s="1">
        <v>21.000208109999999</v>
      </c>
    </row>
    <row r="800" spans="1:4" x14ac:dyDescent="0.35">
      <c r="A800" s="1" t="s">
        <v>222</v>
      </c>
      <c r="B800" s="1" t="s">
        <v>67</v>
      </c>
      <c r="C800" s="1">
        <v>2039</v>
      </c>
      <c r="D800" s="1">
        <v>21.104262819999999</v>
      </c>
    </row>
    <row r="801" spans="1:4" x14ac:dyDescent="0.35">
      <c r="A801" s="1" t="s">
        <v>222</v>
      </c>
      <c r="B801" s="1" t="s">
        <v>67</v>
      </c>
      <c r="C801" s="1">
        <v>2040</v>
      </c>
      <c r="D801" s="1">
        <v>21.228142689999999</v>
      </c>
    </row>
    <row r="802" spans="1:4" x14ac:dyDescent="0.35">
      <c r="A802" s="1" t="s">
        <v>222</v>
      </c>
      <c r="B802" s="1" t="s">
        <v>67</v>
      </c>
      <c r="C802" s="1">
        <v>2041</v>
      </c>
      <c r="D802" s="1">
        <v>21.35059523</v>
      </c>
    </row>
    <row r="803" spans="1:4" x14ac:dyDescent="0.35">
      <c r="A803" s="1" t="s">
        <v>222</v>
      </c>
      <c r="B803" s="1" t="s">
        <v>67</v>
      </c>
      <c r="C803" s="1">
        <v>2042</v>
      </c>
      <c r="D803" s="1">
        <v>21.46866176</v>
      </c>
    </row>
    <row r="804" spans="1:4" x14ac:dyDescent="0.35">
      <c r="A804" s="1" t="s">
        <v>222</v>
      </c>
      <c r="B804" s="1" t="s">
        <v>67</v>
      </c>
      <c r="C804" s="1">
        <v>2043</v>
      </c>
      <c r="D804" s="1">
        <v>21.584382049999999</v>
      </c>
    </row>
    <row r="805" spans="1:4" x14ac:dyDescent="0.35">
      <c r="A805" s="1" t="s">
        <v>222</v>
      </c>
      <c r="B805" s="1" t="s">
        <v>67</v>
      </c>
      <c r="C805" s="1">
        <v>2044</v>
      </c>
      <c r="D805" s="1">
        <v>21.68936339</v>
      </c>
    </row>
    <row r="806" spans="1:4" x14ac:dyDescent="0.35">
      <c r="A806" s="1" t="s">
        <v>222</v>
      </c>
      <c r="B806" s="1" t="s">
        <v>67</v>
      </c>
      <c r="C806" s="1">
        <v>2045</v>
      </c>
      <c r="D806" s="1">
        <v>21.790382430000001</v>
      </c>
    </row>
    <row r="807" spans="1:4" x14ac:dyDescent="0.35">
      <c r="A807" s="1" t="s">
        <v>222</v>
      </c>
      <c r="B807" s="1" t="s">
        <v>67</v>
      </c>
      <c r="C807" s="1">
        <v>2046</v>
      </c>
      <c r="D807" s="1">
        <v>21.105185850000002</v>
      </c>
    </row>
    <row r="808" spans="1:4" x14ac:dyDescent="0.35">
      <c r="A808" s="1" t="s">
        <v>222</v>
      </c>
      <c r="B808" s="1" t="s">
        <v>67</v>
      </c>
      <c r="C808" s="1">
        <v>2047</v>
      </c>
      <c r="D808" s="1">
        <v>21.22313312</v>
      </c>
    </row>
    <row r="809" spans="1:4" x14ac:dyDescent="0.35">
      <c r="A809" s="1" t="s">
        <v>222</v>
      </c>
      <c r="B809" s="1" t="s">
        <v>67</v>
      </c>
      <c r="C809" s="1">
        <v>2048</v>
      </c>
      <c r="D809" s="1">
        <v>21.34529251</v>
      </c>
    </row>
    <row r="810" spans="1:4" x14ac:dyDescent="0.35">
      <c r="A810" s="1" t="s">
        <v>222</v>
      </c>
      <c r="B810" s="1" t="s">
        <v>67</v>
      </c>
      <c r="C810" s="1">
        <v>2049</v>
      </c>
      <c r="D810" s="1">
        <v>21.43353415</v>
      </c>
    </row>
    <row r="811" spans="1:4" x14ac:dyDescent="0.35">
      <c r="A811" s="1" t="s">
        <v>222</v>
      </c>
      <c r="B811" s="1" t="s">
        <v>67</v>
      </c>
      <c r="C811" s="1">
        <v>2050</v>
      </c>
      <c r="D811" s="1">
        <v>21.573333779999999</v>
      </c>
    </row>
    <row r="812" spans="1:4" x14ac:dyDescent="0.35">
      <c r="A812" s="1" t="s">
        <v>222</v>
      </c>
      <c r="B812" s="1" t="s">
        <v>68</v>
      </c>
      <c r="C812" s="1">
        <v>2021</v>
      </c>
      <c r="D812" s="1">
        <v>14.52600625</v>
      </c>
    </row>
    <row r="813" spans="1:4" x14ac:dyDescent="0.35">
      <c r="A813" s="1" t="s">
        <v>222</v>
      </c>
      <c r="B813" s="1" t="s">
        <v>68</v>
      </c>
      <c r="C813" s="1">
        <v>2022</v>
      </c>
      <c r="D813" s="1">
        <v>14.686445239999999</v>
      </c>
    </row>
    <row r="814" spans="1:4" x14ac:dyDescent="0.35">
      <c r="A814" s="1" t="s">
        <v>222</v>
      </c>
      <c r="B814" s="1" t="s">
        <v>68</v>
      </c>
      <c r="C814" s="1">
        <v>2023</v>
      </c>
      <c r="D814" s="1">
        <v>14.845599890000001</v>
      </c>
    </row>
    <row r="815" spans="1:4" x14ac:dyDescent="0.35">
      <c r="A815" s="1" t="s">
        <v>222</v>
      </c>
      <c r="B815" s="1" t="s">
        <v>68</v>
      </c>
      <c r="C815" s="1">
        <v>2024</v>
      </c>
      <c r="D815" s="1">
        <v>15.00389934</v>
      </c>
    </row>
    <row r="816" spans="1:4" x14ac:dyDescent="0.35">
      <c r="A816" s="1" t="s">
        <v>222</v>
      </c>
      <c r="B816" s="1" t="s">
        <v>68</v>
      </c>
      <c r="C816" s="1">
        <v>2025</v>
      </c>
      <c r="D816" s="1">
        <v>15.176227450000001</v>
      </c>
    </row>
    <row r="817" spans="1:4" x14ac:dyDescent="0.35">
      <c r="A817" s="1" t="s">
        <v>222</v>
      </c>
      <c r="B817" s="1" t="s">
        <v>68</v>
      </c>
      <c r="C817" s="1">
        <v>2026</v>
      </c>
      <c r="D817" s="1">
        <v>15.366192720000001</v>
      </c>
    </row>
    <row r="818" spans="1:4" x14ac:dyDescent="0.35">
      <c r="A818" s="1" t="s">
        <v>222</v>
      </c>
      <c r="B818" s="1" t="s">
        <v>68</v>
      </c>
      <c r="C818" s="1">
        <v>2027</v>
      </c>
      <c r="D818" s="1">
        <v>15.56866656</v>
      </c>
    </row>
    <row r="819" spans="1:4" x14ac:dyDescent="0.35">
      <c r="A819" s="1" t="s">
        <v>222</v>
      </c>
      <c r="B819" s="1" t="s">
        <v>68</v>
      </c>
      <c r="C819" s="1">
        <v>2028</v>
      </c>
      <c r="D819" s="1">
        <v>15.76210981</v>
      </c>
    </row>
    <row r="820" spans="1:4" x14ac:dyDescent="0.35">
      <c r="A820" s="1" t="s">
        <v>222</v>
      </c>
      <c r="B820" s="1" t="s">
        <v>68</v>
      </c>
      <c r="C820" s="1">
        <v>2029</v>
      </c>
      <c r="D820" s="1">
        <v>15.965727599999999</v>
      </c>
    </row>
    <row r="821" spans="1:4" x14ac:dyDescent="0.35">
      <c r="A821" s="1" t="s">
        <v>222</v>
      </c>
      <c r="B821" s="1" t="s">
        <v>68</v>
      </c>
      <c r="C821" s="1">
        <v>2030</v>
      </c>
      <c r="D821" s="1">
        <v>16.177166360000001</v>
      </c>
    </row>
    <row r="822" spans="1:4" x14ac:dyDescent="0.35">
      <c r="A822" s="1" t="s">
        <v>222</v>
      </c>
      <c r="B822" s="1" t="s">
        <v>68</v>
      </c>
      <c r="C822" s="1">
        <v>2031</v>
      </c>
      <c r="D822" s="1">
        <v>16.391468790000001</v>
      </c>
    </row>
    <row r="823" spans="1:4" x14ac:dyDescent="0.35">
      <c r="A823" s="1" t="s">
        <v>222</v>
      </c>
      <c r="B823" s="1" t="s">
        <v>68</v>
      </c>
      <c r="C823" s="1">
        <v>2032</v>
      </c>
      <c r="D823" s="1">
        <v>16.6033805</v>
      </c>
    </row>
    <row r="824" spans="1:4" x14ac:dyDescent="0.35">
      <c r="A824" s="1" t="s">
        <v>222</v>
      </c>
      <c r="B824" s="1" t="s">
        <v>68</v>
      </c>
      <c r="C824" s="1">
        <v>2033</v>
      </c>
      <c r="D824" s="1">
        <v>16.80819507</v>
      </c>
    </row>
    <row r="825" spans="1:4" x14ac:dyDescent="0.35">
      <c r="A825" s="1" t="s">
        <v>222</v>
      </c>
      <c r="B825" s="1" t="s">
        <v>68</v>
      </c>
      <c r="C825" s="1">
        <v>2034</v>
      </c>
      <c r="D825" s="1">
        <v>17.002255460000001</v>
      </c>
    </row>
    <row r="826" spans="1:4" x14ac:dyDescent="0.35">
      <c r="A826" s="1" t="s">
        <v>222</v>
      </c>
      <c r="B826" s="1" t="s">
        <v>68</v>
      </c>
      <c r="C826" s="1">
        <v>2035</v>
      </c>
      <c r="D826" s="1">
        <v>17.18396134</v>
      </c>
    </row>
    <row r="827" spans="1:4" x14ac:dyDescent="0.35">
      <c r="A827" s="1" t="s">
        <v>222</v>
      </c>
      <c r="B827" s="1" t="s">
        <v>68</v>
      </c>
      <c r="C827" s="1">
        <v>2036</v>
      </c>
      <c r="D827" s="1">
        <v>17.352751349999998</v>
      </c>
    </row>
    <row r="828" spans="1:4" x14ac:dyDescent="0.35">
      <c r="A828" s="1" t="s">
        <v>222</v>
      </c>
      <c r="B828" s="1" t="s">
        <v>68</v>
      </c>
      <c r="C828" s="1">
        <v>2037</v>
      </c>
      <c r="D828" s="1">
        <v>17.50628481</v>
      </c>
    </row>
    <row r="829" spans="1:4" x14ac:dyDescent="0.35">
      <c r="A829" s="1" t="s">
        <v>222</v>
      </c>
      <c r="B829" s="1" t="s">
        <v>68</v>
      </c>
      <c r="C829" s="1">
        <v>2038</v>
      </c>
      <c r="D829" s="1">
        <v>17.642564790000002</v>
      </c>
    </row>
    <row r="830" spans="1:4" x14ac:dyDescent="0.35">
      <c r="A830" s="1" t="s">
        <v>222</v>
      </c>
      <c r="B830" s="1" t="s">
        <v>68</v>
      </c>
      <c r="C830" s="1">
        <v>2039</v>
      </c>
      <c r="D830" s="1">
        <v>17.769421399999999</v>
      </c>
    </row>
    <row r="831" spans="1:4" x14ac:dyDescent="0.35">
      <c r="A831" s="1" t="s">
        <v>222</v>
      </c>
      <c r="B831" s="1" t="s">
        <v>68</v>
      </c>
      <c r="C831" s="1">
        <v>2040</v>
      </c>
      <c r="D831" s="1">
        <v>17.88701232</v>
      </c>
    </row>
    <row r="832" spans="1:4" x14ac:dyDescent="0.35">
      <c r="A832" s="1" t="s">
        <v>222</v>
      </c>
      <c r="B832" s="1" t="s">
        <v>68</v>
      </c>
      <c r="C832" s="1">
        <v>2041</v>
      </c>
      <c r="D832" s="1">
        <v>17.996625049999999</v>
      </c>
    </row>
    <row r="833" spans="1:4" x14ac:dyDescent="0.35">
      <c r="A833" s="1" t="s">
        <v>222</v>
      </c>
      <c r="B833" s="1" t="s">
        <v>68</v>
      </c>
      <c r="C833" s="1">
        <v>2042</v>
      </c>
      <c r="D833" s="1">
        <v>18.095676139999998</v>
      </c>
    </row>
    <row r="834" spans="1:4" x14ac:dyDescent="0.35">
      <c r="A834" s="1" t="s">
        <v>222</v>
      </c>
      <c r="B834" s="1" t="s">
        <v>68</v>
      </c>
      <c r="C834" s="1">
        <v>2043</v>
      </c>
      <c r="D834" s="1">
        <v>18.18489095</v>
      </c>
    </row>
    <row r="835" spans="1:4" x14ac:dyDescent="0.35">
      <c r="A835" s="1" t="s">
        <v>222</v>
      </c>
      <c r="B835" s="1" t="s">
        <v>68</v>
      </c>
      <c r="C835" s="1">
        <v>2044</v>
      </c>
      <c r="D835" s="1">
        <v>18.261190790000001</v>
      </c>
    </row>
    <row r="836" spans="1:4" x14ac:dyDescent="0.35">
      <c r="A836" s="1" t="s">
        <v>222</v>
      </c>
      <c r="B836" s="1" t="s">
        <v>68</v>
      </c>
      <c r="C836" s="1">
        <v>2045</v>
      </c>
      <c r="D836" s="1">
        <v>18.32856731</v>
      </c>
    </row>
    <row r="837" spans="1:4" x14ac:dyDescent="0.35">
      <c r="A837" s="1" t="s">
        <v>222</v>
      </c>
      <c r="B837" s="1" t="s">
        <v>68</v>
      </c>
      <c r="C837" s="1">
        <v>2046</v>
      </c>
      <c r="D837" s="1">
        <v>18.388403390000001</v>
      </c>
    </row>
    <row r="838" spans="1:4" x14ac:dyDescent="0.35">
      <c r="A838" s="1" t="s">
        <v>222</v>
      </c>
      <c r="B838" s="1" t="s">
        <v>68</v>
      </c>
      <c r="C838" s="1">
        <v>2047</v>
      </c>
      <c r="D838" s="1">
        <v>18.440299639999999</v>
      </c>
    </row>
    <row r="839" spans="1:4" x14ac:dyDescent="0.35">
      <c r="A839" s="1" t="s">
        <v>222</v>
      </c>
      <c r="B839" s="1" t="s">
        <v>68</v>
      </c>
      <c r="C839" s="1">
        <v>2048</v>
      </c>
      <c r="D839" s="1">
        <v>18.486988889999999</v>
      </c>
    </row>
    <row r="840" spans="1:4" x14ac:dyDescent="0.35">
      <c r="A840" s="1" t="s">
        <v>222</v>
      </c>
      <c r="B840" s="1" t="s">
        <v>68</v>
      </c>
      <c r="C840" s="1">
        <v>2049</v>
      </c>
      <c r="D840" s="1">
        <v>18.527496410000001</v>
      </c>
    </row>
    <row r="841" spans="1:4" x14ac:dyDescent="0.35">
      <c r="A841" s="1" t="s">
        <v>222</v>
      </c>
      <c r="B841" s="1" t="s">
        <v>68</v>
      </c>
      <c r="C841" s="1">
        <v>2050</v>
      </c>
      <c r="D841" s="1">
        <v>18.560903969999998</v>
      </c>
    </row>
    <row r="842" spans="1:4" x14ac:dyDescent="0.35">
      <c r="A842" s="1" t="s">
        <v>222</v>
      </c>
      <c r="B842" s="1" t="s">
        <v>69</v>
      </c>
      <c r="C842" s="1">
        <v>2021</v>
      </c>
      <c r="D842" s="1">
        <v>9.9048794470000008</v>
      </c>
    </row>
    <row r="843" spans="1:4" x14ac:dyDescent="0.35">
      <c r="A843" s="1" t="s">
        <v>222</v>
      </c>
      <c r="B843" s="1" t="s">
        <v>69</v>
      </c>
      <c r="C843" s="1">
        <v>2022</v>
      </c>
      <c r="D843" s="1">
        <v>10.044966179999999</v>
      </c>
    </row>
    <row r="844" spans="1:4" x14ac:dyDescent="0.35">
      <c r="A844" s="1" t="s">
        <v>222</v>
      </c>
      <c r="B844" s="1" t="s">
        <v>69</v>
      </c>
      <c r="C844" s="1">
        <v>2023</v>
      </c>
      <c r="D844" s="1">
        <v>10.186068929999999</v>
      </c>
    </row>
    <row r="845" spans="1:4" x14ac:dyDescent="0.35">
      <c r="A845" s="1" t="s">
        <v>222</v>
      </c>
      <c r="B845" s="1" t="s">
        <v>69</v>
      </c>
      <c r="C845" s="1">
        <v>2024</v>
      </c>
      <c r="D845" s="1">
        <v>10.326333440000001</v>
      </c>
    </row>
    <row r="846" spans="1:4" x14ac:dyDescent="0.35">
      <c r="A846" s="1" t="s">
        <v>222</v>
      </c>
      <c r="B846" s="1" t="s">
        <v>69</v>
      </c>
      <c r="C846" s="1">
        <v>2025</v>
      </c>
      <c r="D846" s="1">
        <v>10.474761620000001</v>
      </c>
    </row>
    <row r="847" spans="1:4" x14ac:dyDescent="0.35">
      <c r="A847" s="1" t="s">
        <v>222</v>
      </c>
      <c r="B847" s="1" t="s">
        <v>69</v>
      </c>
      <c r="C847" s="1">
        <v>2026</v>
      </c>
      <c r="D847" s="1">
        <v>10.626287339999999</v>
      </c>
    </row>
    <row r="848" spans="1:4" x14ac:dyDescent="0.35">
      <c r="A848" s="1" t="s">
        <v>222</v>
      </c>
      <c r="B848" s="1" t="s">
        <v>69</v>
      </c>
      <c r="C848" s="1">
        <v>2027</v>
      </c>
      <c r="D848" s="1">
        <v>10.789525490000001</v>
      </c>
    </row>
    <row r="849" spans="1:4" x14ac:dyDescent="0.35">
      <c r="A849" s="1" t="s">
        <v>222</v>
      </c>
      <c r="B849" s="1" t="s">
        <v>69</v>
      </c>
      <c r="C849" s="1">
        <v>2028</v>
      </c>
      <c r="D849" s="1">
        <v>10.94773603</v>
      </c>
    </row>
    <row r="850" spans="1:4" x14ac:dyDescent="0.35">
      <c r="A850" s="1" t="s">
        <v>222</v>
      </c>
      <c r="B850" s="1" t="s">
        <v>69</v>
      </c>
      <c r="C850" s="1">
        <v>2029</v>
      </c>
      <c r="D850" s="1">
        <v>11.109916739999999</v>
      </c>
    </row>
    <row r="851" spans="1:4" x14ac:dyDescent="0.35">
      <c r="A851" s="1" t="s">
        <v>222</v>
      </c>
      <c r="B851" s="1" t="s">
        <v>69</v>
      </c>
      <c r="C851" s="1">
        <v>2030</v>
      </c>
      <c r="D851" s="1">
        <v>11.273834519999999</v>
      </c>
    </row>
    <row r="852" spans="1:4" x14ac:dyDescent="0.35">
      <c r="A852" s="1" t="s">
        <v>222</v>
      </c>
      <c r="B852" s="1" t="s">
        <v>69</v>
      </c>
      <c r="C852" s="1">
        <v>2031</v>
      </c>
      <c r="D852" s="1">
        <v>11.440453160000001</v>
      </c>
    </row>
    <row r="853" spans="1:4" x14ac:dyDescent="0.35">
      <c r="A853" s="1" t="s">
        <v>222</v>
      </c>
      <c r="B853" s="1" t="s">
        <v>69</v>
      </c>
      <c r="C853" s="1">
        <v>2032</v>
      </c>
      <c r="D853" s="1">
        <v>11.609571559999999</v>
      </c>
    </row>
    <row r="854" spans="1:4" x14ac:dyDescent="0.35">
      <c r="A854" s="1" t="s">
        <v>222</v>
      </c>
      <c r="B854" s="1" t="s">
        <v>69</v>
      </c>
      <c r="C854" s="1">
        <v>2033</v>
      </c>
      <c r="D854" s="1">
        <v>11.772933910000001</v>
      </c>
    </row>
    <row r="855" spans="1:4" x14ac:dyDescent="0.35">
      <c r="A855" s="1" t="s">
        <v>222</v>
      </c>
      <c r="B855" s="1" t="s">
        <v>69</v>
      </c>
      <c r="C855" s="1">
        <v>2034</v>
      </c>
      <c r="D855" s="1">
        <v>11.92718034</v>
      </c>
    </row>
    <row r="856" spans="1:4" x14ac:dyDescent="0.35">
      <c r="A856" s="1" t="s">
        <v>222</v>
      </c>
      <c r="B856" s="1" t="s">
        <v>69</v>
      </c>
      <c r="C856" s="1">
        <v>2035</v>
      </c>
      <c r="D856" s="1">
        <v>12.07480494</v>
      </c>
    </row>
    <row r="857" spans="1:4" x14ac:dyDescent="0.35">
      <c r="A857" s="1" t="s">
        <v>222</v>
      </c>
      <c r="B857" s="1" t="s">
        <v>69</v>
      </c>
      <c r="C857" s="1">
        <v>2036</v>
      </c>
      <c r="D857" s="1">
        <v>12.217591049999999</v>
      </c>
    </row>
    <row r="858" spans="1:4" x14ac:dyDescent="0.35">
      <c r="A858" s="1" t="s">
        <v>222</v>
      </c>
      <c r="B858" s="1" t="s">
        <v>69</v>
      </c>
      <c r="C858" s="1">
        <v>2037</v>
      </c>
      <c r="D858" s="1">
        <v>12.35025589</v>
      </c>
    </row>
    <row r="859" spans="1:4" x14ac:dyDescent="0.35">
      <c r="A859" s="1" t="s">
        <v>222</v>
      </c>
      <c r="B859" s="1" t="s">
        <v>69</v>
      </c>
      <c r="C859" s="1">
        <v>2038</v>
      </c>
      <c r="D859" s="1">
        <v>12.474122120000001</v>
      </c>
    </row>
    <row r="860" spans="1:4" x14ac:dyDescent="0.35">
      <c r="A860" s="1" t="s">
        <v>222</v>
      </c>
      <c r="B860" s="1" t="s">
        <v>69</v>
      </c>
      <c r="C860" s="1">
        <v>2039</v>
      </c>
      <c r="D860" s="1">
        <v>12.59077432</v>
      </c>
    </row>
    <row r="861" spans="1:4" x14ac:dyDescent="0.35">
      <c r="A861" s="1" t="s">
        <v>222</v>
      </c>
      <c r="B861" s="1" t="s">
        <v>69</v>
      </c>
      <c r="C861" s="1">
        <v>2040</v>
      </c>
      <c r="D861" s="1">
        <v>12.70093709</v>
      </c>
    </row>
    <row r="862" spans="1:4" x14ac:dyDescent="0.35">
      <c r="A862" s="1" t="s">
        <v>222</v>
      </c>
      <c r="B862" s="1" t="s">
        <v>69</v>
      </c>
      <c r="C862" s="1">
        <v>2041</v>
      </c>
      <c r="D862" s="1">
        <v>12.799780289999999</v>
      </c>
    </row>
    <row r="863" spans="1:4" x14ac:dyDescent="0.35">
      <c r="A863" s="1" t="s">
        <v>222</v>
      </c>
      <c r="B863" s="1" t="s">
        <v>69</v>
      </c>
      <c r="C863" s="1">
        <v>2042</v>
      </c>
      <c r="D863" s="1">
        <v>12.89338132</v>
      </c>
    </row>
    <row r="864" spans="1:4" x14ac:dyDescent="0.35">
      <c r="A864" s="1" t="s">
        <v>222</v>
      </c>
      <c r="B864" s="1" t="s">
        <v>69</v>
      </c>
      <c r="C864" s="1">
        <v>2043</v>
      </c>
      <c r="D864" s="1">
        <v>12.983422470000001</v>
      </c>
    </row>
    <row r="865" spans="1:4" x14ac:dyDescent="0.35">
      <c r="A865" s="1" t="s">
        <v>222</v>
      </c>
      <c r="B865" s="1" t="s">
        <v>69</v>
      </c>
      <c r="C865" s="1">
        <v>2044</v>
      </c>
      <c r="D865" s="1">
        <v>13.064309290000001</v>
      </c>
    </row>
    <row r="866" spans="1:4" x14ac:dyDescent="0.35">
      <c r="A866" s="1" t="s">
        <v>222</v>
      </c>
      <c r="B866" s="1" t="s">
        <v>69</v>
      </c>
      <c r="C866" s="1">
        <v>2045</v>
      </c>
      <c r="D866" s="1">
        <v>13.130552079999999</v>
      </c>
    </row>
    <row r="867" spans="1:4" x14ac:dyDescent="0.35">
      <c r="A867" s="1" t="s">
        <v>222</v>
      </c>
      <c r="B867" s="1" t="s">
        <v>69</v>
      </c>
      <c r="C867" s="1">
        <v>2046</v>
      </c>
      <c r="D867" s="1">
        <v>13.193510679999999</v>
      </c>
    </row>
    <row r="868" spans="1:4" x14ac:dyDescent="0.35">
      <c r="A868" s="1" t="s">
        <v>222</v>
      </c>
      <c r="B868" s="1" t="s">
        <v>69</v>
      </c>
      <c r="C868" s="1">
        <v>2047</v>
      </c>
      <c r="D868" s="1">
        <v>13.252365190000001</v>
      </c>
    </row>
    <row r="869" spans="1:4" x14ac:dyDescent="0.35">
      <c r="A869" s="1" t="s">
        <v>222</v>
      </c>
      <c r="B869" s="1" t="s">
        <v>69</v>
      </c>
      <c r="C869" s="1">
        <v>2048</v>
      </c>
      <c r="D869" s="1">
        <v>13.3098505</v>
      </c>
    </row>
    <row r="870" spans="1:4" x14ac:dyDescent="0.35">
      <c r="A870" s="1" t="s">
        <v>222</v>
      </c>
      <c r="B870" s="1" t="s">
        <v>69</v>
      </c>
      <c r="C870" s="1">
        <v>2049</v>
      </c>
      <c r="D870" s="1">
        <v>13.36390778</v>
      </c>
    </row>
    <row r="871" spans="1:4" x14ac:dyDescent="0.35">
      <c r="A871" s="1" t="s">
        <v>222</v>
      </c>
      <c r="B871" s="1" t="s">
        <v>69</v>
      </c>
      <c r="C871" s="1">
        <v>2050</v>
      </c>
      <c r="D871" s="1">
        <v>13.41862686</v>
      </c>
    </row>
    <row r="872" spans="1:4" x14ac:dyDescent="0.35">
      <c r="A872" s="1" t="s">
        <v>222</v>
      </c>
      <c r="B872" s="1" t="s">
        <v>65</v>
      </c>
      <c r="C872" s="1">
        <v>2021</v>
      </c>
      <c r="D872" s="1">
        <v>10.57835191</v>
      </c>
    </row>
    <row r="873" spans="1:4" x14ac:dyDescent="0.35">
      <c r="A873" s="1" t="s">
        <v>222</v>
      </c>
      <c r="B873" s="1" t="s">
        <v>65</v>
      </c>
      <c r="C873" s="1">
        <v>2022</v>
      </c>
      <c r="D873" s="1">
        <v>10.537001180000001</v>
      </c>
    </row>
    <row r="874" spans="1:4" x14ac:dyDescent="0.35">
      <c r="A874" s="1" t="s">
        <v>222</v>
      </c>
      <c r="B874" s="1" t="s">
        <v>65</v>
      </c>
      <c r="C874" s="1">
        <v>2023</v>
      </c>
      <c r="D874" s="1">
        <v>10.52426693</v>
      </c>
    </row>
    <row r="875" spans="1:4" x14ac:dyDescent="0.35">
      <c r="A875" s="1" t="s">
        <v>222</v>
      </c>
      <c r="B875" s="1" t="s">
        <v>65</v>
      </c>
      <c r="C875" s="1">
        <v>2024</v>
      </c>
      <c r="D875" s="1">
        <v>10.53146432</v>
      </c>
    </row>
    <row r="876" spans="1:4" x14ac:dyDescent="0.35">
      <c r="A876" s="1" t="s">
        <v>222</v>
      </c>
      <c r="B876" s="1" t="s">
        <v>65</v>
      </c>
      <c r="C876" s="1">
        <v>2025</v>
      </c>
      <c r="D876" s="1">
        <v>10.554350149999999</v>
      </c>
    </row>
    <row r="877" spans="1:4" x14ac:dyDescent="0.35">
      <c r="A877" s="1" t="s">
        <v>222</v>
      </c>
      <c r="B877" s="1" t="s">
        <v>65</v>
      </c>
      <c r="C877" s="1">
        <v>2026</v>
      </c>
      <c r="D877" s="1">
        <v>10.58994463</v>
      </c>
    </row>
    <row r="878" spans="1:4" x14ac:dyDescent="0.35">
      <c r="A878" s="1" t="s">
        <v>222</v>
      </c>
      <c r="B878" s="1" t="s">
        <v>65</v>
      </c>
      <c r="C878" s="1">
        <v>2027</v>
      </c>
      <c r="D878" s="1">
        <v>10.63571001</v>
      </c>
    </row>
    <row r="879" spans="1:4" x14ac:dyDescent="0.35">
      <c r="A879" s="1" t="s">
        <v>222</v>
      </c>
      <c r="B879" s="1" t="s">
        <v>65</v>
      </c>
      <c r="C879" s="1">
        <v>2028</v>
      </c>
      <c r="D879" s="1">
        <v>10.68475289</v>
      </c>
    </row>
    <row r="880" spans="1:4" x14ac:dyDescent="0.35">
      <c r="A880" s="1" t="s">
        <v>222</v>
      </c>
      <c r="B880" s="1" t="s">
        <v>65</v>
      </c>
      <c r="C880" s="1">
        <v>2029</v>
      </c>
      <c r="D880" s="1">
        <v>10.73274868</v>
      </c>
    </row>
    <row r="881" spans="1:4" x14ac:dyDescent="0.35">
      <c r="A881" s="1" t="s">
        <v>222</v>
      </c>
      <c r="B881" s="1" t="s">
        <v>65</v>
      </c>
      <c r="C881" s="1">
        <v>2030</v>
      </c>
      <c r="D881" s="1">
        <v>10.7796542</v>
      </c>
    </row>
    <row r="882" spans="1:4" x14ac:dyDescent="0.35">
      <c r="A882" s="1" t="s">
        <v>222</v>
      </c>
      <c r="B882" s="1" t="s">
        <v>65</v>
      </c>
      <c r="C882" s="1">
        <v>2031</v>
      </c>
      <c r="D882" s="1">
        <v>10.82863764</v>
      </c>
    </row>
    <row r="883" spans="1:4" x14ac:dyDescent="0.35">
      <c r="A883" s="1" t="s">
        <v>222</v>
      </c>
      <c r="B883" s="1" t="s">
        <v>65</v>
      </c>
      <c r="C883" s="1">
        <v>2032</v>
      </c>
      <c r="D883" s="1">
        <v>10.8786249</v>
      </c>
    </row>
    <row r="884" spans="1:4" x14ac:dyDescent="0.35">
      <c r="A884" s="1" t="s">
        <v>222</v>
      </c>
      <c r="B884" s="1" t="s">
        <v>65</v>
      </c>
      <c r="C884" s="1">
        <v>2033</v>
      </c>
      <c r="D884" s="1">
        <v>10.916443340000001</v>
      </c>
    </row>
    <row r="885" spans="1:4" x14ac:dyDescent="0.35">
      <c r="A885" s="1" t="s">
        <v>222</v>
      </c>
      <c r="B885" s="1" t="s">
        <v>65</v>
      </c>
      <c r="C885" s="1">
        <v>2034</v>
      </c>
      <c r="D885" s="1">
        <v>10.9174743</v>
      </c>
    </row>
    <row r="886" spans="1:4" x14ac:dyDescent="0.35">
      <c r="A886" s="1" t="s">
        <v>222</v>
      </c>
      <c r="B886" s="1" t="s">
        <v>65</v>
      </c>
      <c r="C886" s="1">
        <v>2035</v>
      </c>
      <c r="D886" s="1">
        <v>10.935065939999999</v>
      </c>
    </row>
    <row r="887" spans="1:4" x14ac:dyDescent="0.35">
      <c r="A887" s="1" t="s">
        <v>222</v>
      </c>
      <c r="B887" s="1" t="s">
        <v>65</v>
      </c>
      <c r="C887" s="1">
        <v>2036</v>
      </c>
      <c r="D887" s="1">
        <v>10.980751420000001</v>
      </c>
    </row>
    <row r="888" spans="1:4" x14ac:dyDescent="0.35">
      <c r="A888" s="1" t="s">
        <v>222</v>
      </c>
      <c r="B888" s="1" t="s">
        <v>65</v>
      </c>
      <c r="C888" s="1">
        <v>2037</v>
      </c>
      <c r="D888" s="1">
        <v>11.025174740000001</v>
      </c>
    </row>
    <row r="889" spans="1:4" x14ac:dyDescent="0.35">
      <c r="A889" s="1" t="s">
        <v>222</v>
      </c>
      <c r="B889" s="1" t="s">
        <v>65</v>
      </c>
      <c r="C889" s="1">
        <v>2038</v>
      </c>
      <c r="D889" s="1">
        <v>11.04816559</v>
      </c>
    </row>
    <row r="890" spans="1:4" x14ac:dyDescent="0.35">
      <c r="A890" s="1" t="s">
        <v>222</v>
      </c>
      <c r="B890" s="1" t="s">
        <v>65</v>
      </c>
      <c r="C890" s="1">
        <v>2039</v>
      </c>
      <c r="D890" s="1">
        <v>11.082390630000001</v>
      </c>
    </row>
    <row r="891" spans="1:4" x14ac:dyDescent="0.35">
      <c r="A891" s="1" t="s">
        <v>222</v>
      </c>
      <c r="B891" s="1" t="s">
        <v>65</v>
      </c>
      <c r="C891" s="1">
        <v>2040</v>
      </c>
      <c r="D891" s="1">
        <v>11.11211147</v>
      </c>
    </row>
    <row r="892" spans="1:4" x14ac:dyDescent="0.35">
      <c r="A892" s="1" t="s">
        <v>222</v>
      </c>
      <c r="B892" s="1" t="s">
        <v>65</v>
      </c>
      <c r="C892" s="1">
        <v>2041</v>
      </c>
      <c r="D892" s="1">
        <v>11.14194026</v>
      </c>
    </row>
    <row r="893" spans="1:4" x14ac:dyDescent="0.35">
      <c r="A893" s="1" t="s">
        <v>222</v>
      </c>
      <c r="B893" s="1" t="s">
        <v>65</v>
      </c>
      <c r="C893" s="1">
        <v>2042</v>
      </c>
      <c r="D893" s="1">
        <v>11.170268269999999</v>
      </c>
    </row>
    <row r="894" spans="1:4" x14ac:dyDescent="0.35">
      <c r="A894" s="1" t="s">
        <v>222</v>
      </c>
      <c r="B894" s="1" t="s">
        <v>65</v>
      </c>
      <c r="C894" s="1">
        <v>2043</v>
      </c>
      <c r="D894" s="1">
        <v>11.197374119999999</v>
      </c>
    </row>
    <row r="895" spans="1:4" x14ac:dyDescent="0.35">
      <c r="A895" s="1" t="s">
        <v>222</v>
      </c>
      <c r="B895" s="1" t="s">
        <v>65</v>
      </c>
      <c r="C895" s="1">
        <v>2044</v>
      </c>
      <c r="D895" s="1">
        <v>11.21964032</v>
      </c>
    </row>
    <row r="896" spans="1:4" x14ac:dyDescent="0.35">
      <c r="A896" s="1" t="s">
        <v>222</v>
      </c>
      <c r="B896" s="1" t="s">
        <v>65</v>
      </c>
      <c r="C896" s="1">
        <v>2045</v>
      </c>
      <c r="D896" s="1">
        <v>11.241000319999999</v>
      </c>
    </row>
    <row r="897" spans="1:4" x14ac:dyDescent="0.35">
      <c r="A897" s="1" t="s">
        <v>222</v>
      </c>
      <c r="B897" s="1" t="s">
        <v>65</v>
      </c>
      <c r="C897" s="1">
        <v>2046</v>
      </c>
      <c r="D897" s="1">
        <v>12.04785573</v>
      </c>
    </row>
    <row r="898" spans="1:4" x14ac:dyDescent="0.35">
      <c r="A898" s="1" t="s">
        <v>222</v>
      </c>
      <c r="B898" s="1" t="s">
        <v>65</v>
      </c>
      <c r="C898" s="1">
        <v>2047</v>
      </c>
      <c r="D898" s="1">
        <v>12.054551590000001</v>
      </c>
    </row>
    <row r="899" spans="1:4" x14ac:dyDescent="0.35">
      <c r="A899" s="1" t="s">
        <v>222</v>
      </c>
      <c r="B899" s="1" t="s">
        <v>65</v>
      </c>
      <c r="C899" s="1">
        <v>2048</v>
      </c>
      <c r="D899" s="1">
        <v>12.057941209999999</v>
      </c>
    </row>
    <row r="900" spans="1:4" x14ac:dyDescent="0.35">
      <c r="A900" s="1" t="s">
        <v>222</v>
      </c>
      <c r="B900" s="1" t="s">
        <v>65</v>
      </c>
      <c r="C900" s="1">
        <v>2049</v>
      </c>
      <c r="D900" s="1">
        <v>12.04201359</v>
      </c>
    </row>
    <row r="901" spans="1:4" x14ac:dyDescent="0.35">
      <c r="A901" s="1" t="s">
        <v>222</v>
      </c>
      <c r="B901" s="1" t="s">
        <v>65</v>
      </c>
      <c r="C901" s="1">
        <v>2050</v>
      </c>
      <c r="D901" s="1">
        <v>12.03944385</v>
      </c>
    </row>
    <row r="902" spans="1:4" x14ac:dyDescent="0.35">
      <c r="A902" s="1" t="s">
        <v>193</v>
      </c>
      <c r="B902" s="1" t="s">
        <v>60</v>
      </c>
      <c r="C902" s="1">
        <v>2021</v>
      </c>
      <c r="D902" s="1">
        <v>6.3953435269999996</v>
      </c>
    </row>
    <row r="903" spans="1:4" x14ac:dyDescent="0.35">
      <c r="A903" s="1" t="s">
        <v>193</v>
      </c>
      <c r="B903" s="1" t="s">
        <v>60</v>
      </c>
      <c r="C903" s="1">
        <v>2022</v>
      </c>
      <c r="D903" s="1">
        <v>6.4598918530000002</v>
      </c>
    </row>
    <row r="904" spans="1:4" x14ac:dyDescent="0.35">
      <c r="A904" s="1" t="s">
        <v>193</v>
      </c>
      <c r="B904" s="1" t="s">
        <v>60</v>
      </c>
      <c r="C904" s="1">
        <v>2023</v>
      </c>
      <c r="D904" s="1">
        <v>6.5623884649999997</v>
      </c>
    </row>
    <row r="905" spans="1:4" x14ac:dyDescent="0.35">
      <c r="A905" s="1" t="s">
        <v>193</v>
      </c>
      <c r="B905" s="1" t="s">
        <v>60</v>
      </c>
      <c r="C905" s="1">
        <v>2024</v>
      </c>
      <c r="D905" s="1">
        <v>6.6667426990000003</v>
      </c>
    </row>
    <row r="906" spans="1:4" x14ac:dyDescent="0.35">
      <c r="A906" s="1" t="s">
        <v>193</v>
      </c>
      <c r="B906" s="1" t="s">
        <v>60</v>
      </c>
      <c r="C906" s="1">
        <v>2025</v>
      </c>
      <c r="D906" s="1">
        <v>6.7822077460000001</v>
      </c>
    </row>
    <row r="907" spans="1:4" x14ac:dyDescent="0.35">
      <c r="A907" s="1" t="s">
        <v>193</v>
      </c>
      <c r="B907" s="1" t="s">
        <v>60</v>
      </c>
      <c r="C907" s="1">
        <v>2026</v>
      </c>
      <c r="D907" s="1">
        <v>6.9001187970000002</v>
      </c>
    </row>
    <row r="908" spans="1:4" x14ac:dyDescent="0.35">
      <c r="A908" s="1" t="s">
        <v>193</v>
      </c>
      <c r="B908" s="1" t="s">
        <v>60</v>
      </c>
      <c r="C908" s="1">
        <v>2027</v>
      </c>
      <c r="D908" s="1">
        <v>7.0320734590000002</v>
      </c>
    </row>
    <row r="909" spans="1:4" x14ac:dyDescent="0.35">
      <c r="A909" s="1" t="s">
        <v>193</v>
      </c>
      <c r="B909" s="1" t="s">
        <v>60</v>
      </c>
      <c r="C909" s="1">
        <v>2028</v>
      </c>
      <c r="D909" s="1">
        <v>7.1382258370000002</v>
      </c>
    </row>
    <row r="910" spans="1:4" x14ac:dyDescent="0.35">
      <c r="A910" s="1" t="s">
        <v>193</v>
      </c>
      <c r="B910" s="1" t="s">
        <v>60</v>
      </c>
      <c r="C910" s="1">
        <v>2029</v>
      </c>
      <c r="D910" s="1">
        <v>7.296702604</v>
      </c>
    </row>
    <row r="911" spans="1:4" x14ac:dyDescent="0.35">
      <c r="A911" s="1" t="s">
        <v>193</v>
      </c>
      <c r="B911" s="1" t="s">
        <v>60</v>
      </c>
      <c r="C911" s="1">
        <v>2030</v>
      </c>
      <c r="D911" s="1">
        <v>7.4617321370000003</v>
      </c>
    </row>
    <row r="912" spans="1:4" x14ac:dyDescent="0.35">
      <c r="A912" s="1" t="s">
        <v>193</v>
      </c>
      <c r="B912" s="1" t="s">
        <v>60</v>
      </c>
      <c r="C912" s="1">
        <v>2031</v>
      </c>
      <c r="D912" s="1">
        <v>7.6295118559999997</v>
      </c>
    </row>
    <row r="913" spans="1:4" x14ac:dyDescent="0.35">
      <c r="A913" s="1" t="s">
        <v>193</v>
      </c>
      <c r="B913" s="1" t="s">
        <v>60</v>
      </c>
      <c r="C913" s="1">
        <v>2032</v>
      </c>
      <c r="D913" s="1">
        <v>7.7571519000000002</v>
      </c>
    </row>
    <row r="914" spans="1:4" x14ac:dyDescent="0.35">
      <c r="A914" s="1" t="s">
        <v>193</v>
      </c>
      <c r="B914" s="1" t="s">
        <v>60</v>
      </c>
      <c r="C914" s="1">
        <v>2033</v>
      </c>
      <c r="D914" s="1">
        <v>7.8434844229999996</v>
      </c>
    </row>
    <row r="915" spans="1:4" x14ac:dyDescent="0.35">
      <c r="A915" s="1" t="s">
        <v>193</v>
      </c>
      <c r="B915" s="1" t="s">
        <v>60</v>
      </c>
      <c r="C915" s="1">
        <v>2034</v>
      </c>
      <c r="D915" s="1">
        <v>7.923584559</v>
      </c>
    </row>
    <row r="916" spans="1:4" x14ac:dyDescent="0.35">
      <c r="A916" s="1" t="s">
        <v>193</v>
      </c>
      <c r="B916" s="1" t="s">
        <v>60</v>
      </c>
      <c r="C916" s="1">
        <v>2035</v>
      </c>
      <c r="D916" s="1">
        <v>7.9992359349999997</v>
      </c>
    </row>
    <row r="917" spans="1:4" x14ac:dyDescent="0.35">
      <c r="A917" s="1" t="s">
        <v>193</v>
      </c>
      <c r="B917" s="1" t="s">
        <v>60</v>
      </c>
      <c r="C917" s="1">
        <v>2036</v>
      </c>
      <c r="D917" s="1">
        <v>8.0639057940000001</v>
      </c>
    </row>
    <row r="918" spans="1:4" x14ac:dyDescent="0.35">
      <c r="A918" s="1" t="s">
        <v>193</v>
      </c>
      <c r="B918" s="1" t="s">
        <v>60</v>
      </c>
      <c r="C918" s="1">
        <v>2037</v>
      </c>
      <c r="D918" s="1">
        <v>8.1208123259999994</v>
      </c>
    </row>
    <row r="919" spans="1:4" x14ac:dyDescent="0.35">
      <c r="A919" s="1" t="s">
        <v>193</v>
      </c>
      <c r="B919" s="1" t="s">
        <v>60</v>
      </c>
      <c r="C919" s="1">
        <v>2038</v>
      </c>
      <c r="D919" s="1">
        <v>8.1740130919999991</v>
      </c>
    </row>
    <row r="920" spans="1:4" x14ac:dyDescent="0.35">
      <c r="A920" s="1" t="s">
        <v>193</v>
      </c>
      <c r="B920" s="1" t="s">
        <v>60</v>
      </c>
      <c r="C920" s="1">
        <v>2039</v>
      </c>
      <c r="D920" s="1">
        <v>8.2235033059999996</v>
      </c>
    </row>
    <row r="921" spans="1:4" x14ac:dyDescent="0.35">
      <c r="A921" s="1" t="s">
        <v>193</v>
      </c>
      <c r="B921" s="1" t="s">
        <v>60</v>
      </c>
      <c r="C921" s="1">
        <v>2040</v>
      </c>
      <c r="D921" s="1">
        <v>8.2649004129999994</v>
      </c>
    </row>
    <row r="922" spans="1:4" x14ac:dyDescent="0.35">
      <c r="A922" s="1" t="s">
        <v>193</v>
      </c>
      <c r="B922" s="1" t="s">
        <v>60</v>
      </c>
      <c r="C922" s="1">
        <v>2041</v>
      </c>
      <c r="D922" s="1">
        <v>8.3012408309999994</v>
      </c>
    </row>
    <row r="923" spans="1:4" x14ac:dyDescent="0.35">
      <c r="A923" s="1" t="s">
        <v>193</v>
      </c>
      <c r="B923" s="1" t="s">
        <v>60</v>
      </c>
      <c r="C923" s="1">
        <v>2042</v>
      </c>
      <c r="D923" s="1">
        <v>8.3336682520000007</v>
      </c>
    </row>
    <row r="924" spans="1:4" x14ac:dyDescent="0.35">
      <c r="A924" s="1" t="s">
        <v>193</v>
      </c>
      <c r="B924" s="1" t="s">
        <v>60</v>
      </c>
      <c r="C924" s="1">
        <v>2043</v>
      </c>
      <c r="D924" s="1">
        <v>8.3579013339999992</v>
      </c>
    </row>
    <row r="925" spans="1:4" x14ac:dyDescent="0.35">
      <c r="A925" s="1" t="s">
        <v>193</v>
      </c>
      <c r="B925" s="1" t="s">
        <v>60</v>
      </c>
      <c r="C925" s="1">
        <v>2044</v>
      </c>
      <c r="D925" s="1">
        <v>8.3774245060000005</v>
      </c>
    </row>
    <row r="926" spans="1:4" x14ac:dyDescent="0.35">
      <c r="A926" s="1" t="s">
        <v>193</v>
      </c>
      <c r="B926" s="1" t="s">
        <v>60</v>
      </c>
      <c r="C926" s="1">
        <v>2045</v>
      </c>
      <c r="D926" s="1">
        <v>8.3932847580000001</v>
      </c>
    </row>
    <row r="927" spans="1:4" x14ac:dyDescent="0.35">
      <c r="A927" s="1" t="s">
        <v>193</v>
      </c>
      <c r="B927" s="1" t="s">
        <v>60</v>
      </c>
      <c r="C927" s="1">
        <v>2046</v>
      </c>
      <c r="D927" s="1">
        <v>8.4073314860000004</v>
      </c>
    </row>
    <row r="928" spans="1:4" x14ac:dyDescent="0.35">
      <c r="A928" s="1" t="s">
        <v>193</v>
      </c>
      <c r="B928" s="1" t="s">
        <v>60</v>
      </c>
      <c r="C928" s="1">
        <v>2047</v>
      </c>
      <c r="D928" s="1">
        <v>8.4200223530000002</v>
      </c>
    </row>
    <row r="929" spans="1:4" x14ac:dyDescent="0.35">
      <c r="A929" s="1" t="s">
        <v>193</v>
      </c>
      <c r="B929" s="1" t="s">
        <v>60</v>
      </c>
      <c r="C929" s="1">
        <v>2048</v>
      </c>
      <c r="D929" s="1">
        <v>8.4321107780000002</v>
      </c>
    </row>
    <row r="930" spans="1:4" x14ac:dyDescent="0.35">
      <c r="A930" s="1" t="s">
        <v>193</v>
      </c>
      <c r="B930" s="1" t="s">
        <v>60</v>
      </c>
      <c r="C930" s="1">
        <v>2049</v>
      </c>
      <c r="D930" s="1">
        <v>8.4451312630000004</v>
      </c>
    </row>
    <row r="931" spans="1:4" x14ac:dyDescent="0.35">
      <c r="A931" s="1" t="s">
        <v>193</v>
      </c>
      <c r="B931" s="1" t="s">
        <v>60</v>
      </c>
      <c r="C931" s="1">
        <v>2050</v>
      </c>
      <c r="D931" s="1">
        <v>8.4596207769999996</v>
      </c>
    </row>
    <row r="932" spans="1:4" x14ac:dyDescent="0.35">
      <c r="A932" s="1" t="s">
        <v>193</v>
      </c>
      <c r="B932" s="1" t="s">
        <v>55</v>
      </c>
      <c r="C932" s="1">
        <v>2021</v>
      </c>
      <c r="D932" s="1">
        <v>5.4228630000000004</v>
      </c>
    </row>
    <row r="933" spans="1:4" x14ac:dyDescent="0.35">
      <c r="A933" s="1" t="s">
        <v>193</v>
      </c>
      <c r="B933" s="1" t="s">
        <v>55</v>
      </c>
      <c r="C933" s="1">
        <v>2022</v>
      </c>
      <c r="D933" s="1">
        <v>5.4644880000000002</v>
      </c>
    </row>
    <row r="934" spans="1:4" x14ac:dyDescent="0.35">
      <c r="A934" s="1" t="s">
        <v>193</v>
      </c>
      <c r="B934" s="1" t="s">
        <v>55</v>
      </c>
      <c r="C934" s="1">
        <v>2023</v>
      </c>
      <c r="D934" s="1">
        <v>5.5130129999999999</v>
      </c>
    </row>
    <row r="935" spans="1:4" x14ac:dyDescent="0.35">
      <c r="A935" s="1" t="s">
        <v>193</v>
      </c>
      <c r="B935" s="1" t="s">
        <v>55</v>
      </c>
      <c r="C935" s="1">
        <v>2024</v>
      </c>
      <c r="D935" s="1">
        <v>5.5688129999999996</v>
      </c>
    </row>
    <row r="936" spans="1:4" x14ac:dyDescent="0.35">
      <c r="A936" s="1" t="s">
        <v>193</v>
      </c>
      <c r="B936" s="1" t="s">
        <v>55</v>
      </c>
      <c r="C936" s="1">
        <v>2025</v>
      </c>
      <c r="D936" s="1">
        <v>5.6342869999999996</v>
      </c>
    </row>
    <row r="937" spans="1:4" x14ac:dyDescent="0.35">
      <c r="A937" s="1" t="s">
        <v>193</v>
      </c>
      <c r="B937" s="1" t="s">
        <v>55</v>
      </c>
      <c r="C937" s="1">
        <v>2026</v>
      </c>
      <c r="D937" s="1">
        <v>5.7059759999999997</v>
      </c>
    </row>
    <row r="938" spans="1:4" x14ac:dyDescent="0.35">
      <c r="A938" s="1" t="s">
        <v>193</v>
      </c>
      <c r="B938" s="1" t="s">
        <v>55</v>
      </c>
      <c r="C938" s="1">
        <v>2027</v>
      </c>
      <c r="D938" s="1">
        <v>5.781174</v>
      </c>
    </row>
    <row r="939" spans="1:4" x14ac:dyDescent="0.35">
      <c r="A939" s="1" t="s">
        <v>193</v>
      </c>
      <c r="B939" s="1" t="s">
        <v>55</v>
      </c>
      <c r="C939" s="1">
        <v>2028</v>
      </c>
      <c r="D939" s="1">
        <v>5.8593460000000004</v>
      </c>
    </row>
    <row r="940" spans="1:4" x14ac:dyDescent="0.35">
      <c r="A940" s="1" t="s">
        <v>193</v>
      </c>
      <c r="B940" s="1" t="s">
        <v>55</v>
      </c>
      <c r="C940" s="1">
        <v>2029</v>
      </c>
      <c r="D940" s="1">
        <v>5.9444600000000003</v>
      </c>
    </row>
    <row r="941" spans="1:4" x14ac:dyDescent="0.35">
      <c r="A941" s="1" t="s">
        <v>193</v>
      </c>
      <c r="B941" s="1" t="s">
        <v>55</v>
      </c>
      <c r="C941" s="1">
        <v>2030</v>
      </c>
      <c r="D941" s="1">
        <v>6.0288110000000001</v>
      </c>
    </row>
    <row r="942" spans="1:4" x14ac:dyDescent="0.35">
      <c r="A942" s="1" t="s">
        <v>193</v>
      </c>
      <c r="B942" s="1" t="s">
        <v>55</v>
      </c>
      <c r="C942" s="1">
        <v>2031</v>
      </c>
      <c r="D942" s="1">
        <v>6.1178280000000003</v>
      </c>
    </row>
    <row r="943" spans="1:4" x14ac:dyDescent="0.35">
      <c r="A943" s="1" t="s">
        <v>193</v>
      </c>
      <c r="B943" s="1" t="s">
        <v>55</v>
      </c>
      <c r="C943" s="1">
        <v>2032</v>
      </c>
      <c r="D943" s="1">
        <v>6.2118229999999999</v>
      </c>
    </row>
    <row r="944" spans="1:4" x14ac:dyDescent="0.35">
      <c r="A944" s="1" t="s">
        <v>193</v>
      </c>
      <c r="B944" s="1" t="s">
        <v>55</v>
      </c>
      <c r="C944" s="1">
        <v>2033</v>
      </c>
      <c r="D944" s="1">
        <v>6.3063079999999996</v>
      </c>
    </row>
    <row r="945" spans="1:4" x14ac:dyDescent="0.35">
      <c r="A945" s="1" t="s">
        <v>193</v>
      </c>
      <c r="B945" s="1" t="s">
        <v>55</v>
      </c>
      <c r="C945" s="1">
        <v>2034</v>
      </c>
      <c r="D945" s="1">
        <v>6.3987800000000004</v>
      </c>
    </row>
    <row r="946" spans="1:4" x14ac:dyDescent="0.35">
      <c r="A946" s="1" t="s">
        <v>193</v>
      </c>
      <c r="B946" s="1" t="s">
        <v>55</v>
      </c>
      <c r="C946" s="1">
        <v>2035</v>
      </c>
      <c r="D946" s="1">
        <v>6.4876649999999998</v>
      </c>
    </row>
    <row r="947" spans="1:4" x14ac:dyDescent="0.35">
      <c r="A947" s="1" t="s">
        <v>193</v>
      </c>
      <c r="B947" s="1" t="s">
        <v>55</v>
      </c>
      <c r="C947" s="1">
        <v>2036</v>
      </c>
      <c r="D947" s="1">
        <v>6.5752230000000003</v>
      </c>
    </row>
    <row r="948" spans="1:4" x14ac:dyDescent="0.35">
      <c r="A948" s="1" t="s">
        <v>193</v>
      </c>
      <c r="B948" s="1" t="s">
        <v>55</v>
      </c>
      <c r="C948" s="1">
        <v>2037</v>
      </c>
      <c r="D948" s="1">
        <v>6.6558149999999996</v>
      </c>
    </row>
    <row r="949" spans="1:4" x14ac:dyDescent="0.35">
      <c r="A949" s="1" t="s">
        <v>193</v>
      </c>
      <c r="B949" s="1" t="s">
        <v>55</v>
      </c>
      <c r="C949" s="1">
        <v>2038</v>
      </c>
      <c r="D949" s="1">
        <v>6.7304649999999997</v>
      </c>
    </row>
    <row r="950" spans="1:4" x14ac:dyDescent="0.35">
      <c r="A950" s="1" t="s">
        <v>193</v>
      </c>
      <c r="B950" s="1" t="s">
        <v>55</v>
      </c>
      <c r="C950" s="1">
        <v>2039</v>
      </c>
      <c r="D950" s="1">
        <v>6.7987840000000004</v>
      </c>
    </row>
    <row r="951" spans="1:4" x14ac:dyDescent="0.35">
      <c r="A951" s="1" t="s">
        <v>193</v>
      </c>
      <c r="B951" s="1" t="s">
        <v>55</v>
      </c>
      <c r="C951" s="1">
        <v>2040</v>
      </c>
      <c r="D951" s="1">
        <v>6.865278</v>
      </c>
    </row>
    <row r="952" spans="1:4" x14ac:dyDescent="0.35">
      <c r="A952" s="1" t="s">
        <v>193</v>
      </c>
      <c r="B952" s="1" t="s">
        <v>55</v>
      </c>
      <c r="C952" s="1">
        <v>2041</v>
      </c>
      <c r="D952" s="1">
        <v>6.9257929999999996</v>
      </c>
    </row>
    <row r="953" spans="1:4" x14ac:dyDescent="0.35">
      <c r="A953" s="1" t="s">
        <v>193</v>
      </c>
      <c r="B953" s="1" t="s">
        <v>55</v>
      </c>
      <c r="C953" s="1">
        <v>2042</v>
      </c>
      <c r="D953" s="1">
        <v>6.9873139999999996</v>
      </c>
    </row>
    <row r="954" spans="1:4" x14ac:dyDescent="0.35">
      <c r="A954" s="1" t="s">
        <v>193</v>
      </c>
      <c r="B954" s="1" t="s">
        <v>55</v>
      </c>
      <c r="C954" s="1">
        <v>2043</v>
      </c>
      <c r="D954" s="1">
        <v>7.0425319999999996</v>
      </c>
    </row>
    <row r="955" spans="1:4" x14ac:dyDescent="0.35">
      <c r="A955" s="1" t="s">
        <v>193</v>
      </c>
      <c r="B955" s="1" t="s">
        <v>55</v>
      </c>
      <c r="C955" s="1">
        <v>2044</v>
      </c>
      <c r="D955" s="1">
        <v>7.0875089999999998</v>
      </c>
    </row>
    <row r="956" spans="1:4" x14ac:dyDescent="0.35">
      <c r="A956" s="1" t="s">
        <v>193</v>
      </c>
      <c r="B956" s="1" t="s">
        <v>55</v>
      </c>
      <c r="C956" s="1">
        <v>2045</v>
      </c>
      <c r="D956" s="1">
        <v>7.1238679999999999</v>
      </c>
    </row>
    <row r="957" spans="1:4" x14ac:dyDescent="0.35">
      <c r="A957" s="1" t="s">
        <v>193</v>
      </c>
      <c r="B957" s="1" t="s">
        <v>55</v>
      </c>
      <c r="C957" s="1">
        <v>2046</v>
      </c>
      <c r="D957" s="1">
        <v>7.15388</v>
      </c>
    </row>
    <row r="958" spans="1:4" x14ac:dyDescent="0.35">
      <c r="A958" s="1" t="s">
        <v>193</v>
      </c>
      <c r="B958" s="1" t="s">
        <v>55</v>
      </c>
      <c r="C958" s="1">
        <v>2047</v>
      </c>
      <c r="D958" s="1">
        <v>7.1797409999999999</v>
      </c>
    </row>
    <row r="959" spans="1:4" x14ac:dyDescent="0.35">
      <c r="A959" s="1" t="s">
        <v>193</v>
      </c>
      <c r="B959" s="1" t="s">
        <v>55</v>
      </c>
      <c r="C959" s="1">
        <v>2048</v>
      </c>
      <c r="D959" s="1">
        <v>7.2014760000000004</v>
      </c>
    </row>
    <row r="960" spans="1:4" x14ac:dyDescent="0.35">
      <c r="A960" s="1" t="s">
        <v>193</v>
      </c>
      <c r="B960" s="1" t="s">
        <v>55</v>
      </c>
      <c r="C960" s="1">
        <v>2049</v>
      </c>
      <c r="D960" s="1">
        <v>7.2220839999999997</v>
      </c>
    </row>
    <row r="961" spans="1:4" x14ac:dyDescent="0.35">
      <c r="A961" s="1" t="s">
        <v>193</v>
      </c>
      <c r="B961" s="1" t="s">
        <v>55</v>
      </c>
      <c r="C961" s="1">
        <v>2050</v>
      </c>
      <c r="D961" s="1">
        <v>7.2404159999999997</v>
      </c>
    </row>
    <row r="962" spans="1:4" x14ac:dyDescent="0.35">
      <c r="A962" s="1" t="s">
        <v>193</v>
      </c>
      <c r="B962" s="1" t="s">
        <v>70</v>
      </c>
      <c r="C962" s="1">
        <v>2021</v>
      </c>
      <c r="D962" s="1">
        <v>6.0054854039999999</v>
      </c>
    </row>
    <row r="963" spans="1:4" x14ac:dyDescent="0.35">
      <c r="A963" s="1" t="s">
        <v>193</v>
      </c>
      <c r="B963" s="1" t="s">
        <v>70</v>
      </c>
      <c r="C963" s="1">
        <v>2022</v>
      </c>
      <c r="D963" s="1">
        <v>6.1353377050000004</v>
      </c>
    </row>
    <row r="964" spans="1:4" x14ac:dyDescent="0.35">
      <c r="A964" s="1" t="s">
        <v>193</v>
      </c>
      <c r="B964" s="1" t="s">
        <v>70</v>
      </c>
      <c r="C964" s="1">
        <v>2023</v>
      </c>
      <c r="D964" s="1">
        <v>6.2615778899999999</v>
      </c>
    </row>
    <row r="965" spans="1:4" x14ac:dyDescent="0.35">
      <c r="A965" s="1" t="s">
        <v>193</v>
      </c>
      <c r="B965" s="1" t="s">
        <v>70</v>
      </c>
      <c r="C965" s="1">
        <v>2024</v>
      </c>
      <c r="D965" s="1">
        <v>6.3921851800000002</v>
      </c>
    </row>
    <row r="966" spans="1:4" x14ac:dyDescent="0.35">
      <c r="A966" s="1" t="s">
        <v>193</v>
      </c>
      <c r="B966" s="1" t="s">
        <v>70</v>
      </c>
      <c r="C966" s="1">
        <v>2025</v>
      </c>
      <c r="D966" s="1">
        <v>6.5293869559999997</v>
      </c>
    </row>
    <row r="967" spans="1:4" x14ac:dyDescent="0.35">
      <c r="A967" s="1" t="s">
        <v>193</v>
      </c>
      <c r="B967" s="1" t="s">
        <v>70</v>
      </c>
      <c r="C967" s="1">
        <v>2026</v>
      </c>
      <c r="D967" s="1">
        <v>6.6670813710000001</v>
      </c>
    </row>
    <row r="968" spans="1:4" x14ac:dyDescent="0.35">
      <c r="A968" s="1" t="s">
        <v>193</v>
      </c>
      <c r="B968" s="1" t="s">
        <v>70</v>
      </c>
      <c r="C968" s="1">
        <v>2027</v>
      </c>
      <c r="D968" s="1">
        <v>6.8046029209999999</v>
      </c>
    </row>
    <row r="969" spans="1:4" x14ac:dyDescent="0.35">
      <c r="A969" s="1" t="s">
        <v>193</v>
      </c>
      <c r="B969" s="1" t="s">
        <v>70</v>
      </c>
      <c r="C969" s="1">
        <v>2028</v>
      </c>
      <c r="D969" s="1">
        <v>6.9166410760000003</v>
      </c>
    </row>
    <row r="970" spans="1:4" x14ac:dyDescent="0.35">
      <c r="A970" s="1" t="s">
        <v>193</v>
      </c>
      <c r="B970" s="1" t="s">
        <v>70</v>
      </c>
      <c r="C970" s="1">
        <v>2029</v>
      </c>
      <c r="D970" s="1">
        <v>7.0600314879999999</v>
      </c>
    </row>
    <row r="971" spans="1:4" x14ac:dyDescent="0.35">
      <c r="A971" s="1" t="s">
        <v>193</v>
      </c>
      <c r="B971" s="1" t="s">
        <v>70</v>
      </c>
      <c r="C971" s="1">
        <v>2030</v>
      </c>
      <c r="D971" s="1">
        <v>7.2060639999999996</v>
      </c>
    </row>
    <row r="972" spans="1:4" x14ac:dyDescent="0.35">
      <c r="A972" s="1" t="s">
        <v>193</v>
      </c>
      <c r="B972" s="1" t="s">
        <v>70</v>
      </c>
      <c r="C972" s="1">
        <v>2031</v>
      </c>
      <c r="D972" s="1">
        <v>7.3489206830000002</v>
      </c>
    </row>
    <row r="973" spans="1:4" x14ac:dyDescent="0.35">
      <c r="A973" s="1" t="s">
        <v>193</v>
      </c>
      <c r="B973" s="1" t="s">
        <v>70</v>
      </c>
      <c r="C973" s="1">
        <v>2032</v>
      </c>
      <c r="D973" s="1">
        <v>7.480672008</v>
      </c>
    </row>
    <row r="974" spans="1:4" x14ac:dyDescent="0.35">
      <c r="A974" s="1" t="s">
        <v>193</v>
      </c>
      <c r="B974" s="1" t="s">
        <v>70</v>
      </c>
      <c r="C974" s="1">
        <v>2033</v>
      </c>
      <c r="D974" s="1">
        <v>7.5917117540000003</v>
      </c>
    </row>
    <row r="975" spans="1:4" x14ac:dyDescent="0.35">
      <c r="A975" s="1" t="s">
        <v>193</v>
      </c>
      <c r="B975" s="1" t="s">
        <v>70</v>
      </c>
      <c r="C975" s="1">
        <v>2034</v>
      </c>
      <c r="D975" s="1">
        <v>7.6717129110000002</v>
      </c>
    </row>
    <row r="976" spans="1:4" x14ac:dyDescent="0.35">
      <c r="A976" s="1" t="s">
        <v>193</v>
      </c>
      <c r="B976" s="1" t="s">
        <v>70</v>
      </c>
      <c r="C976" s="1">
        <v>2035</v>
      </c>
      <c r="D976" s="1">
        <v>7.7278106710000003</v>
      </c>
    </row>
    <row r="977" spans="1:4" x14ac:dyDescent="0.35">
      <c r="A977" s="1" t="s">
        <v>193</v>
      </c>
      <c r="B977" s="1" t="s">
        <v>70</v>
      </c>
      <c r="C977" s="1">
        <v>2036</v>
      </c>
      <c r="D977" s="1">
        <v>7.7716189040000003</v>
      </c>
    </row>
    <row r="978" spans="1:4" x14ac:dyDescent="0.35">
      <c r="A978" s="1" t="s">
        <v>193</v>
      </c>
      <c r="B978" s="1" t="s">
        <v>70</v>
      </c>
      <c r="C978" s="1">
        <v>2037</v>
      </c>
      <c r="D978" s="1">
        <v>7.8096369189999999</v>
      </c>
    </row>
    <row r="979" spans="1:4" x14ac:dyDescent="0.35">
      <c r="A979" s="1" t="s">
        <v>193</v>
      </c>
      <c r="B979" s="1" t="s">
        <v>70</v>
      </c>
      <c r="C979" s="1">
        <v>2038</v>
      </c>
      <c r="D979" s="1">
        <v>7.847991768</v>
      </c>
    </row>
    <row r="980" spans="1:4" x14ac:dyDescent="0.35">
      <c r="A980" s="1" t="s">
        <v>193</v>
      </c>
      <c r="B980" s="1" t="s">
        <v>70</v>
      </c>
      <c r="C980" s="1">
        <v>2039</v>
      </c>
      <c r="D980" s="1">
        <v>7.8852246700000004</v>
      </c>
    </row>
    <row r="981" spans="1:4" x14ac:dyDescent="0.35">
      <c r="A981" s="1" t="s">
        <v>193</v>
      </c>
      <c r="B981" s="1" t="s">
        <v>70</v>
      </c>
      <c r="C981" s="1">
        <v>2040</v>
      </c>
      <c r="D981" s="1">
        <v>7.9175605500000001</v>
      </c>
    </row>
    <row r="982" spans="1:4" x14ac:dyDescent="0.35">
      <c r="A982" s="1" t="s">
        <v>193</v>
      </c>
      <c r="B982" s="1" t="s">
        <v>70</v>
      </c>
      <c r="C982" s="1">
        <v>2041</v>
      </c>
      <c r="D982" s="1">
        <v>7.9390813099999997</v>
      </c>
    </row>
    <row r="983" spans="1:4" x14ac:dyDescent="0.35">
      <c r="A983" s="1" t="s">
        <v>193</v>
      </c>
      <c r="B983" s="1" t="s">
        <v>70</v>
      </c>
      <c r="C983" s="1">
        <v>2042</v>
      </c>
      <c r="D983" s="1">
        <v>7.9642678089999999</v>
      </c>
    </row>
    <row r="984" spans="1:4" x14ac:dyDescent="0.35">
      <c r="A984" s="1" t="s">
        <v>193</v>
      </c>
      <c r="B984" s="1" t="s">
        <v>70</v>
      </c>
      <c r="C984" s="1">
        <v>2043</v>
      </c>
      <c r="D984" s="1">
        <v>7.9831526769999996</v>
      </c>
    </row>
    <row r="985" spans="1:4" x14ac:dyDescent="0.35">
      <c r="A985" s="1" t="s">
        <v>193</v>
      </c>
      <c r="B985" s="1" t="s">
        <v>70</v>
      </c>
      <c r="C985" s="1">
        <v>2044</v>
      </c>
      <c r="D985" s="1">
        <v>7.9994141870000002</v>
      </c>
    </row>
    <row r="986" spans="1:4" x14ac:dyDescent="0.35">
      <c r="A986" s="1" t="s">
        <v>193</v>
      </c>
      <c r="B986" s="1" t="s">
        <v>70</v>
      </c>
      <c r="C986" s="1">
        <v>2045</v>
      </c>
      <c r="D986" s="1">
        <v>8.0141051999999995</v>
      </c>
    </row>
    <row r="987" spans="1:4" x14ac:dyDescent="0.35">
      <c r="A987" s="1" t="s">
        <v>193</v>
      </c>
      <c r="B987" s="1" t="s">
        <v>70</v>
      </c>
      <c r="C987" s="1">
        <v>2046</v>
      </c>
      <c r="D987" s="1">
        <v>8.0278747809999995</v>
      </c>
    </row>
    <row r="988" spans="1:4" x14ac:dyDescent="0.35">
      <c r="A988" s="1" t="s">
        <v>193</v>
      </c>
      <c r="B988" s="1" t="s">
        <v>70</v>
      </c>
      <c r="C988" s="1">
        <v>2047</v>
      </c>
      <c r="D988" s="1">
        <v>8.0415570429999992</v>
      </c>
    </row>
    <row r="989" spans="1:4" x14ac:dyDescent="0.35">
      <c r="A989" s="1" t="s">
        <v>193</v>
      </c>
      <c r="B989" s="1" t="s">
        <v>70</v>
      </c>
      <c r="C989" s="1">
        <v>2048</v>
      </c>
      <c r="D989" s="1">
        <v>8.0540973890000007</v>
      </c>
    </row>
    <row r="990" spans="1:4" x14ac:dyDescent="0.35">
      <c r="A990" s="1" t="s">
        <v>193</v>
      </c>
      <c r="B990" s="1" t="s">
        <v>70</v>
      </c>
      <c r="C990" s="1">
        <v>2049</v>
      </c>
      <c r="D990" s="1">
        <v>8.0642907729999997</v>
      </c>
    </row>
    <row r="991" spans="1:4" x14ac:dyDescent="0.35">
      <c r="A991" s="1" t="s">
        <v>193</v>
      </c>
      <c r="B991" s="1" t="s">
        <v>70</v>
      </c>
      <c r="C991" s="1">
        <v>2050</v>
      </c>
      <c r="D991" s="1">
        <v>8.0775700960000005</v>
      </c>
    </row>
    <row r="992" spans="1:4" x14ac:dyDescent="0.35">
      <c r="A992" s="1" t="s">
        <v>193</v>
      </c>
      <c r="B992" s="1" t="s">
        <v>66</v>
      </c>
      <c r="C992" s="1">
        <v>2021</v>
      </c>
      <c r="D992" s="1">
        <v>5.5797646050000003</v>
      </c>
    </row>
    <row r="993" spans="1:4" x14ac:dyDescent="0.35">
      <c r="A993" s="1" t="s">
        <v>193</v>
      </c>
      <c r="B993" s="1" t="s">
        <v>66</v>
      </c>
      <c r="C993" s="1">
        <v>2022</v>
      </c>
      <c r="D993" s="1">
        <v>5.6048032550000002</v>
      </c>
    </row>
    <row r="994" spans="1:4" x14ac:dyDescent="0.35">
      <c r="A994" s="1" t="s">
        <v>193</v>
      </c>
      <c r="B994" s="1" t="s">
        <v>66</v>
      </c>
      <c r="C994" s="1">
        <v>2023</v>
      </c>
      <c r="D994" s="1">
        <v>5.6729566169999996</v>
      </c>
    </row>
    <row r="995" spans="1:4" x14ac:dyDescent="0.35">
      <c r="A995" s="1" t="s">
        <v>193</v>
      </c>
      <c r="B995" s="1" t="s">
        <v>66</v>
      </c>
      <c r="C995" s="1">
        <v>2024</v>
      </c>
      <c r="D995" s="1">
        <v>5.7556443689999996</v>
      </c>
    </row>
    <row r="996" spans="1:4" x14ac:dyDescent="0.35">
      <c r="A996" s="1" t="s">
        <v>193</v>
      </c>
      <c r="B996" s="1" t="s">
        <v>66</v>
      </c>
      <c r="C996" s="1">
        <v>2025</v>
      </c>
      <c r="D996" s="1">
        <v>5.8507864129999998</v>
      </c>
    </row>
    <row r="997" spans="1:4" x14ac:dyDescent="0.35">
      <c r="A997" s="1" t="s">
        <v>193</v>
      </c>
      <c r="B997" s="1" t="s">
        <v>66</v>
      </c>
      <c r="C997" s="1">
        <v>2026</v>
      </c>
      <c r="D997" s="1">
        <v>5.9526325900000003</v>
      </c>
    </row>
    <row r="998" spans="1:4" x14ac:dyDescent="0.35">
      <c r="A998" s="1" t="s">
        <v>193</v>
      </c>
      <c r="B998" s="1" t="s">
        <v>66</v>
      </c>
      <c r="C998" s="1">
        <v>2027</v>
      </c>
      <c r="D998" s="1">
        <v>6.0588206109999998</v>
      </c>
    </row>
    <row r="999" spans="1:4" x14ac:dyDescent="0.35">
      <c r="A999" s="1" t="s">
        <v>193</v>
      </c>
      <c r="B999" s="1" t="s">
        <v>66</v>
      </c>
      <c r="C999" s="1">
        <v>2028</v>
      </c>
      <c r="D999" s="1">
        <v>6.1486504599999998</v>
      </c>
    </row>
    <row r="1000" spans="1:4" x14ac:dyDescent="0.35">
      <c r="A1000" s="1" t="s">
        <v>193</v>
      </c>
      <c r="B1000" s="1" t="s">
        <v>66</v>
      </c>
      <c r="C1000" s="1">
        <v>2029</v>
      </c>
      <c r="D1000" s="1">
        <v>6.2671685229999996</v>
      </c>
    </row>
    <row r="1001" spans="1:4" x14ac:dyDescent="0.35">
      <c r="A1001" s="1" t="s">
        <v>193</v>
      </c>
      <c r="B1001" s="1" t="s">
        <v>66</v>
      </c>
      <c r="C1001" s="1">
        <v>2030</v>
      </c>
      <c r="D1001" s="1">
        <v>6.3943751620000002</v>
      </c>
    </row>
    <row r="1002" spans="1:4" x14ac:dyDescent="0.35">
      <c r="A1002" s="1" t="s">
        <v>193</v>
      </c>
      <c r="B1002" s="1" t="s">
        <v>66</v>
      </c>
      <c r="C1002" s="1">
        <v>2031</v>
      </c>
      <c r="D1002" s="1">
        <v>6.5287279939999996</v>
      </c>
    </row>
    <row r="1003" spans="1:4" x14ac:dyDescent="0.35">
      <c r="A1003" s="1" t="s">
        <v>193</v>
      </c>
      <c r="B1003" s="1" t="s">
        <v>66</v>
      </c>
      <c r="C1003" s="1">
        <v>2032</v>
      </c>
      <c r="D1003" s="1">
        <v>6.6471338429999998</v>
      </c>
    </row>
    <row r="1004" spans="1:4" x14ac:dyDescent="0.35">
      <c r="A1004" s="1" t="s">
        <v>193</v>
      </c>
      <c r="B1004" s="1" t="s">
        <v>66</v>
      </c>
      <c r="C1004" s="1">
        <v>2033</v>
      </c>
      <c r="D1004" s="1">
        <v>6.7366566839999997</v>
      </c>
    </row>
    <row r="1005" spans="1:4" x14ac:dyDescent="0.35">
      <c r="A1005" s="1" t="s">
        <v>193</v>
      </c>
      <c r="B1005" s="1" t="s">
        <v>66</v>
      </c>
      <c r="C1005" s="1">
        <v>2034</v>
      </c>
      <c r="D1005" s="1">
        <v>6.8211184830000002</v>
      </c>
    </row>
    <row r="1006" spans="1:4" x14ac:dyDescent="0.35">
      <c r="A1006" s="1" t="s">
        <v>193</v>
      </c>
      <c r="B1006" s="1" t="s">
        <v>66</v>
      </c>
      <c r="C1006" s="1">
        <v>2035</v>
      </c>
      <c r="D1006" s="1">
        <v>6.8871791069999997</v>
      </c>
    </row>
    <row r="1007" spans="1:4" x14ac:dyDescent="0.35">
      <c r="A1007" s="1" t="s">
        <v>193</v>
      </c>
      <c r="B1007" s="1" t="s">
        <v>66</v>
      </c>
      <c r="C1007" s="1">
        <v>2036</v>
      </c>
      <c r="D1007" s="1">
        <v>6.9574611810000002</v>
      </c>
    </row>
    <row r="1008" spans="1:4" x14ac:dyDescent="0.35">
      <c r="A1008" s="1" t="s">
        <v>193</v>
      </c>
      <c r="B1008" s="1" t="s">
        <v>66</v>
      </c>
      <c r="C1008" s="1">
        <v>2037</v>
      </c>
      <c r="D1008" s="1">
        <v>7.0206672550000002</v>
      </c>
    </row>
    <row r="1009" spans="1:4" x14ac:dyDescent="0.35">
      <c r="A1009" s="1" t="s">
        <v>193</v>
      </c>
      <c r="B1009" s="1" t="s">
        <v>66</v>
      </c>
      <c r="C1009" s="1">
        <v>2038</v>
      </c>
      <c r="D1009" s="1">
        <v>7.0806002460000004</v>
      </c>
    </row>
    <row r="1010" spans="1:4" x14ac:dyDescent="0.35">
      <c r="A1010" s="1" t="s">
        <v>193</v>
      </c>
      <c r="B1010" s="1" t="s">
        <v>66</v>
      </c>
      <c r="C1010" s="1">
        <v>2039</v>
      </c>
      <c r="D1010" s="1">
        <v>7.1323209990000001</v>
      </c>
    </row>
    <row r="1011" spans="1:4" x14ac:dyDescent="0.35">
      <c r="A1011" s="1" t="s">
        <v>193</v>
      </c>
      <c r="B1011" s="1" t="s">
        <v>66</v>
      </c>
      <c r="C1011" s="1">
        <v>2040</v>
      </c>
      <c r="D1011" s="1">
        <v>7.1772170300000004</v>
      </c>
    </row>
    <row r="1012" spans="1:4" x14ac:dyDescent="0.35">
      <c r="A1012" s="1" t="s">
        <v>193</v>
      </c>
      <c r="B1012" s="1" t="s">
        <v>66</v>
      </c>
      <c r="C1012" s="1">
        <v>2041</v>
      </c>
      <c r="D1012" s="1">
        <v>7.214843256</v>
      </c>
    </row>
    <row r="1013" spans="1:4" x14ac:dyDescent="0.35">
      <c r="A1013" s="1" t="s">
        <v>193</v>
      </c>
      <c r="B1013" s="1" t="s">
        <v>66</v>
      </c>
      <c r="C1013" s="1">
        <v>2042</v>
      </c>
      <c r="D1013" s="1">
        <v>7.2461578629999996</v>
      </c>
    </row>
    <row r="1014" spans="1:4" x14ac:dyDescent="0.35">
      <c r="A1014" s="1" t="s">
        <v>193</v>
      </c>
      <c r="B1014" s="1" t="s">
        <v>66</v>
      </c>
      <c r="C1014" s="1">
        <v>2043</v>
      </c>
      <c r="D1014" s="1">
        <v>7.273169438</v>
      </c>
    </row>
    <row r="1015" spans="1:4" x14ac:dyDescent="0.35">
      <c r="A1015" s="1" t="s">
        <v>193</v>
      </c>
      <c r="B1015" s="1" t="s">
        <v>66</v>
      </c>
      <c r="C1015" s="1">
        <v>2044</v>
      </c>
      <c r="D1015" s="1">
        <v>7.2963420929999998</v>
      </c>
    </row>
    <row r="1016" spans="1:4" x14ac:dyDescent="0.35">
      <c r="A1016" s="1" t="s">
        <v>193</v>
      </c>
      <c r="B1016" s="1" t="s">
        <v>66</v>
      </c>
      <c r="C1016" s="1">
        <v>2045</v>
      </c>
      <c r="D1016" s="1">
        <v>7.3158200119999997</v>
      </c>
    </row>
    <row r="1017" spans="1:4" x14ac:dyDescent="0.35">
      <c r="A1017" s="1" t="s">
        <v>193</v>
      </c>
      <c r="B1017" s="1" t="s">
        <v>66</v>
      </c>
      <c r="C1017" s="1">
        <v>2046</v>
      </c>
      <c r="D1017" s="1">
        <v>7.3329910920000003</v>
      </c>
    </row>
    <row r="1018" spans="1:4" x14ac:dyDescent="0.35">
      <c r="A1018" s="1" t="s">
        <v>193</v>
      </c>
      <c r="B1018" s="1" t="s">
        <v>66</v>
      </c>
      <c r="C1018" s="1">
        <v>2047</v>
      </c>
      <c r="D1018" s="1">
        <v>7.3480267420000001</v>
      </c>
    </row>
    <row r="1019" spans="1:4" x14ac:dyDescent="0.35">
      <c r="A1019" s="1" t="s">
        <v>193</v>
      </c>
      <c r="B1019" s="1" t="s">
        <v>66</v>
      </c>
      <c r="C1019" s="1">
        <v>2048</v>
      </c>
      <c r="D1019" s="1">
        <v>7.3616140989999996</v>
      </c>
    </row>
    <row r="1020" spans="1:4" x14ac:dyDescent="0.35">
      <c r="A1020" s="1" t="s">
        <v>193</v>
      </c>
      <c r="B1020" s="1" t="s">
        <v>66</v>
      </c>
      <c r="C1020" s="1">
        <v>2049</v>
      </c>
      <c r="D1020" s="1">
        <v>7.3742005989999999</v>
      </c>
    </row>
    <row r="1021" spans="1:4" x14ac:dyDescent="0.35">
      <c r="A1021" s="1" t="s">
        <v>193</v>
      </c>
      <c r="B1021" s="1" t="s">
        <v>66</v>
      </c>
      <c r="C1021" s="1">
        <v>2050</v>
      </c>
      <c r="D1021" s="1">
        <v>7.3853516130000001</v>
      </c>
    </row>
    <row r="1022" spans="1:4" x14ac:dyDescent="0.35">
      <c r="A1022" s="1" t="s">
        <v>193</v>
      </c>
      <c r="B1022" s="1" t="s">
        <v>67</v>
      </c>
      <c r="C1022" s="1">
        <v>2021</v>
      </c>
      <c r="D1022" s="1">
        <v>13.2178</v>
      </c>
    </row>
    <row r="1023" spans="1:4" x14ac:dyDescent="0.35">
      <c r="A1023" s="1" t="s">
        <v>193</v>
      </c>
      <c r="B1023" s="1" t="s">
        <v>67</v>
      </c>
      <c r="C1023" s="1">
        <v>2022</v>
      </c>
      <c r="D1023" s="1">
        <v>13.20495</v>
      </c>
    </row>
    <row r="1024" spans="1:4" x14ac:dyDescent="0.35">
      <c r="A1024" s="1" t="s">
        <v>193</v>
      </c>
      <c r="B1024" s="1" t="s">
        <v>67</v>
      </c>
      <c r="C1024" s="1">
        <v>2023</v>
      </c>
      <c r="D1024" s="1">
        <v>13.18136</v>
      </c>
    </row>
    <row r="1025" spans="1:4" x14ac:dyDescent="0.35">
      <c r="A1025" s="1" t="s">
        <v>193</v>
      </c>
      <c r="B1025" s="1" t="s">
        <v>67</v>
      </c>
      <c r="C1025" s="1">
        <v>2024</v>
      </c>
      <c r="D1025" s="1">
        <v>13.15096</v>
      </c>
    </row>
    <row r="1026" spans="1:4" x14ac:dyDescent="0.35">
      <c r="A1026" s="1" t="s">
        <v>193</v>
      </c>
      <c r="B1026" s="1" t="s">
        <v>67</v>
      </c>
      <c r="C1026" s="1">
        <v>2025</v>
      </c>
      <c r="D1026" s="1">
        <v>13.11594</v>
      </c>
    </row>
    <row r="1027" spans="1:4" x14ac:dyDescent="0.35">
      <c r="A1027" s="1" t="s">
        <v>193</v>
      </c>
      <c r="B1027" s="1" t="s">
        <v>67</v>
      </c>
      <c r="C1027" s="1">
        <v>2026</v>
      </c>
      <c r="D1027" s="1">
        <v>13.077870000000001</v>
      </c>
    </row>
    <row r="1028" spans="1:4" x14ac:dyDescent="0.35">
      <c r="A1028" s="1" t="s">
        <v>193</v>
      </c>
      <c r="B1028" s="1" t="s">
        <v>67</v>
      </c>
      <c r="C1028" s="1">
        <v>2027</v>
      </c>
      <c r="D1028" s="1">
        <v>13.038130000000001</v>
      </c>
    </row>
    <row r="1029" spans="1:4" x14ac:dyDescent="0.35">
      <c r="A1029" s="1" t="s">
        <v>193</v>
      </c>
      <c r="B1029" s="1" t="s">
        <v>67</v>
      </c>
      <c r="C1029" s="1">
        <v>2028</v>
      </c>
      <c r="D1029" s="1">
        <v>12.99681</v>
      </c>
    </row>
    <row r="1030" spans="1:4" x14ac:dyDescent="0.35">
      <c r="A1030" s="1" t="s">
        <v>193</v>
      </c>
      <c r="B1030" s="1" t="s">
        <v>67</v>
      </c>
      <c r="C1030" s="1">
        <v>2029</v>
      </c>
      <c r="D1030" s="1">
        <v>12.954980000000001</v>
      </c>
    </row>
    <row r="1031" spans="1:4" x14ac:dyDescent="0.35">
      <c r="A1031" s="1" t="s">
        <v>193</v>
      </c>
      <c r="B1031" s="1" t="s">
        <v>67</v>
      </c>
      <c r="C1031" s="1">
        <v>2030</v>
      </c>
      <c r="D1031" s="1">
        <v>12.913600000000001</v>
      </c>
    </row>
    <row r="1032" spans="1:4" x14ac:dyDescent="0.35">
      <c r="A1032" s="1" t="s">
        <v>193</v>
      </c>
      <c r="B1032" s="1" t="s">
        <v>67</v>
      </c>
      <c r="C1032" s="1">
        <v>2031</v>
      </c>
      <c r="D1032" s="1">
        <v>12.8743</v>
      </c>
    </row>
    <row r="1033" spans="1:4" x14ac:dyDescent="0.35">
      <c r="A1033" s="1" t="s">
        <v>193</v>
      </c>
      <c r="B1033" s="1" t="s">
        <v>67</v>
      </c>
      <c r="C1033" s="1">
        <v>2032</v>
      </c>
      <c r="D1033" s="1">
        <v>12.839869999999999</v>
      </c>
    </row>
    <row r="1034" spans="1:4" x14ac:dyDescent="0.35">
      <c r="A1034" s="1" t="s">
        <v>193</v>
      </c>
      <c r="B1034" s="1" t="s">
        <v>67</v>
      </c>
      <c r="C1034" s="1">
        <v>2033</v>
      </c>
      <c r="D1034" s="1">
        <v>12.814970000000001</v>
      </c>
    </row>
    <row r="1035" spans="1:4" x14ac:dyDescent="0.35">
      <c r="A1035" s="1" t="s">
        <v>193</v>
      </c>
      <c r="B1035" s="1" t="s">
        <v>67</v>
      </c>
      <c r="C1035" s="1">
        <v>2034</v>
      </c>
      <c r="D1035" s="1">
        <v>12.80775</v>
      </c>
    </row>
    <row r="1036" spans="1:4" x14ac:dyDescent="0.35">
      <c r="A1036" s="1" t="s">
        <v>193</v>
      </c>
      <c r="B1036" s="1" t="s">
        <v>67</v>
      </c>
      <c r="C1036" s="1">
        <v>2035</v>
      </c>
      <c r="D1036" s="1">
        <v>12.83151</v>
      </c>
    </row>
    <row r="1037" spans="1:4" x14ac:dyDescent="0.35">
      <c r="A1037" s="1" t="s">
        <v>193</v>
      </c>
      <c r="B1037" s="1" t="s">
        <v>67</v>
      </c>
      <c r="C1037" s="1">
        <v>2036</v>
      </c>
      <c r="D1037" s="1">
        <v>12.805529999999999</v>
      </c>
    </row>
    <row r="1038" spans="1:4" x14ac:dyDescent="0.35">
      <c r="A1038" s="1" t="s">
        <v>193</v>
      </c>
      <c r="B1038" s="1" t="s">
        <v>67</v>
      </c>
      <c r="C1038" s="1">
        <v>2037</v>
      </c>
      <c r="D1038" s="1">
        <v>12.73991</v>
      </c>
    </row>
    <row r="1039" spans="1:4" x14ac:dyDescent="0.35">
      <c r="A1039" s="1" t="s">
        <v>193</v>
      </c>
      <c r="B1039" s="1" t="s">
        <v>67</v>
      </c>
      <c r="C1039" s="1">
        <v>2038</v>
      </c>
      <c r="D1039" s="1">
        <v>12.71036</v>
      </c>
    </row>
    <row r="1040" spans="1:4" x14ac:dyDescent="0.35">
      <c r="A1040" s="1" t="s">
        <v>193</v>
      </c>
      <c r="B1040" s="1" t="s">
        <v>67</v>
      </c>
      <c r="C1040" s="1">
        <v>2039</v>
      </c>
      <c r="D1040" s="1">
        <v>12.78875</v>
      </c>
    </row>
    <row r="1041" spans="1:4" x14ac:dyDescent="0.35">
      <c r="A1041" s="1" t="s">
        <v>193</v>
      </c>
      <c r="B1041" s="1" t="s">
        <v>67</v>
      </c>
      <c r="C1041" s="1">
        <v>2040</v>
      </c>
      <c r="D1041" s="1">
        <v>12.832700000000001</v>
      </c>
    </row>
    <row r="1042" spans="1:4" x14ac:dyDescent="0.35">
      <c r="A1042" s="1" t="s">
        <v>193</v>
      </c>
      <c r="B1042" s="1" t="s">
        <v>67</v>
      </c>
      <c r="C1042" s="1">
        <v>2041</v>
      </c>
      <c r="D1042" s="1">
        <v>12.849640000000001</v>
      </c>
    </row>
    <row r="1043" spans="1:4" x14ac:dyDescent="0.35">
      <c r="A1043" s="1" t="s">
        <v>193</v>
      </c>
      <c r="B1043" s="1" t="s">
        <v>67</v>
      </c>
      <c r="C1043" s="1">
        <v>2042</v>
      </c>
      <c r="D1043" s="1">
        <v>12.831950000000001</v>
      </c>
    </row>
    <row r="1044" spans="1:4" x14ac:dyDescent="0.35">
      <c r="A1044" s="1" t="s">
        <v>193</v>
      </c>
      <c r="B1044" s="1" t="s">
        <v>67</v>
      </c>
      <c r="C1044" s="1">
        <v>2043</v>
      </c>
      <c r="D1044" s="1">
        <v>12.82366</v>
      </c>
    </row>
    <row r="1045" spans="1:4" x14ac:dyDescent="0.35">
      <c r="A1045" s="1" t="s">
        <v>193</v>
      </c>
      <c r="B1045" s="1" t="s">
        <v>67</v>
      </c>
      <c r="C1045" s="1">
        <v>2044</v>
      </c>
      <c r="D1045" s="1">
        <v>12.81691</v>
      </c>
    </row>
    <row r="1046" spans="1:4" x14ac:dyDescent="0.35">
      <c r="A1046" s="1" t="s">
        <v>193</v>
      </c>
      <c r="B1046" s="1" t="s">
        <v>67</v>
      </c>
      <c r="C1046" s="1">
        <v>2045</v>
      </c>
      <c r="D1046" s="1">
        <v>12.80824</v>
      </c>
    </row>
    <row r="1047" spans="1:4" x14ac:dyDescent="0.35">
      <c r="A1047" s="1" t="s">
        <v>193</v>
      </c>
      <c r="B1047" s="1" t="s">
        <v>67</v>
      </c>
      <c r="C1047" s="1">
        <v>2046</v>
      </c>
      <c r="D1047" s="1">
        <v>12.79773</v>
      </c>
    </row>
    <row r="1048" spans="1:4" x14ac:dyDescent="0.35">
      <c r="A1048" s="1" t="s">
        <v>193</v>
      </c>
      <c r="B1048" s="1" t="s">
        <v>67</v>
      </c>
      <c r="C1048" s="1">
        <v>2047</v>
      </c>
      <c r="D1048" s="1">
        <v>12.78571</v>
      </c>
    </row>
    <row r="1049" spans="1:4" x14ac:dyDescent="0.35">
      <c r="A1049" s="1" t="s">
        <v>193</v>
      </c>
      <c r="B1049" s="1" t="s">
        <v>67</v>
      </c>
      <c r="C1049" s="1">
        <v>2048</v>
      </c>
      <c r="D1049" s="1">
        <v>12.77248</v>
      </c>
    </row>
    <row r="1050" spans="1:4" x14ac:dyDescent="0.35">
      <c r="A1050" s="1" t="s">
        <v>193</v>
      </c>
      <c r="B1050" s="1" t="s">
        <v>67</v>
      </c>
      <c r="C1050" s="1">
        <v>2049</v>
      </c>
      <c r="D1050" s="1">
        <v>12.75811</v>
      </c>
    </row>
    <row r="1051" spans="1:4" x14ac:dyDescent="0.35">
      <c r="A1051" s="1" t="s">
        <v>193</v>
      </c>
      <c r="B1051" s="1" t="s">
        <v>67</v>
      </c>
      <c r="C1051" s="1">
        <v>2050</v>
      </c>
      <c r="D1051" s="1">
        <v>12.74255</v>
      </c>
    </row>
    <row r="1052" spans="1:4" x14ac:dyDescent="0.35">
      <c r="A1052" s="1" t="s">
        <v>193</v>
      </c>
      <c r="B1052" s="1" t="s">
        <v>68</v>
      </c>
      <c r="C1052" s="1">
        <v>2021</v>
      </c>
      <c r="D1052" s="1">
        <v>8.4543610850000004</v>
      </c>
    </row>
    <row r="1053" spans="1:4" x14ac:dyDescent="0.35">
      <c r="A1053" s="1" t="s">
        <v>193</v>
      </c>
      <c r="B1053" s="1" t="s">
        <v>68</v>
      </c>
      <c r="C1053" s="1">
        <v>2022</v>
      </c>
      <c r="D1053" s="1">
        <v>8.6101951379999999</v>
      </c>
    </row>
    <row r="1054" spans="1:4" x14ac:dyDescent="0.35">
      <c r="A1054" s="1" t="s">
        <v>193</v>
      </c>
      <c r="B1054" s="1" t="s">
        <v>68</v>
      </c>
      <c r="C1054" s="1">
        <v>2023</v>
      </c>
      <c r="D1054" s="1">
        <v>8.7471667560000004</v>
      </c>
    </row>
    <row r="1055" spans="1:4" x14ac:dyDescent="0.35">
      <c r="A1055" s="1" t="s">
        <v>193</v>
      </c>
      <c r="B1055" s="1" t="s">
        <v>68</v>
      </c>
      <c r="C1055" s="1">
        <v>2024</v>
      </c>
      <c r="D1055" s="1">
        <v>8.8844297520000008</v>
      </c>
    </row>
    <row r="1056" spans="1:4" x14ac:dyDescent="0.35">
      <c r="A1056" s="1" t="s">
        <v>193</v>
      </c>
      <c r="B1056" s="1" t="s">
        <v>68</v>
      </c>
      <c r="C1056" s="1">
        <v>2025</v>
      </c>
      <c r="D1056" s="1">
        <v>9.0255438649999995</v>
      </c>
    </row>
    <row r="1057" spans="1:4" x14ac:dyDescent="0.35">
      <c r="A1057" s="1" t="s">
        <v>193</v>
      </c>
      <c r="B1057" s="1" t="s">
        <v>68</v>
      </c>
      <c r="C1057" s="1">
        <v>2026</v>
      </c>
      <c r="D1057" s="1">
        <v>9.1661805869999995</v>
      </c>
    </row>
    <row r="1058" spans="1:4" x14ac:dyDescent="0.35">
      <c r="A1058" s="1" t="s">
        <v>193</v>
      </c>
      <c r="B1058" s="1" t="s">
        <v>68</v>
      </c>
      <c r="C1058" s="1">
        <v>2027</v>
      </c>
      <c r="D1058" s="1">
        <v>9.3113254879999996</v>
      </c>
    </row>
    <row r="1059" spans="1:4" x14ac:dyDescent="0.35">
      <c r="A1059" s="1" t="s">
        <v>193</v>
      </c>
      <c r="B1059" s="1" t="s">
        <v>68</v>
      </c>
      <c r="C1059" s="1">
        <v>2028</v>
      </c>
      <c r="D1059" s="1">
        <v>9.4439791260000003</v>
      </c>
    </row>
    <row r="1060" spans="1:4" x14ac:dyDescent="0.35">
      <c r="A1060" s="1" t="s">
        <v>193</v>
      </c>
      <c r="B1060" s="1" t="s">
        <v>68</v>
      </c>
      <c r="C1060" s="1">
        <v>2029</v>
      </c>
      <c r="D1060" s="1">
        <v>9.5739095560000003</v>
      </c>
    </row>
    <row r="1061" spans="1:4" x14ac:dyDescent="0.35">
      <c r="A1061" s="1" t="s">
        <v>193</v>
      </c>
      <c r="B1061" s="1" t="s">
        <v>68</v>
      </c>
      <c r="C1061" s="1">
        <v>2030</v>
      </c>
      <c r="D1061" s="1">
        <v>9.7003898460000002</v>
      </c>
    </row>
    <row r="1062" spans="1:4" x14ac:dyDescent="0.35">
      <c r="A1062" s="1" t="s">
        <v>193</v>
      </c>
      <c r="B1062" s="1" t="s">
        <v>68</v>
      </c>
      <c r="C1062" s="1">
        <v>2031</v>
      </c>
      <c r="D1062" s="1">
        <v>9.8274875220000002</v>
      </c>
    </row>
    <row r="1063" spans="1:4" x14ac:dyDescent="0.35">
      <c r="A1063" s="1" t="s">
        <v>193</v>
      </c>
      <c r="B1063" s="1" t="s">
        <v>68</v>
      </c>
      <c r="C1063" s="1">
        <v>2032</v>
      </c>
      <c r="D1063" s="1">
        <v>9.9509797899999999</v>
      </c>
    </row>
    <row r="1064" spans="1:4" x14ac:dyDescent="0.35">
      <c r="A1064" s="1" t="s">
        <v>193</v>
      </c>
      <c r="B1064" s="1" t="s">
        <v>68</v>
      </c>
      <c r="C1064" s="1">
        <v>2033</v>
      </c>
      <c r="D1064" s="1">
        <v>10.06533183</v>
      </c>
    </row>
    <row r="1065" spans="1:4" x14ac:dyDescent="0.35">
      <c r="A1065" s="1" t="s">
        <v>193</v>
      </c>
      <c r="B1065" s="1" t="s">
        <v>68</v>
      </c>
      <c r="C1065" s="1">
        <v>2034</v>
      </c>
      <c r="D1065" s="1">
        <v>10.17089485</v>
      </c>
    </row>
    <row r="1066" spans="1:4" x14ac:dyDescent="0.35">
      <c r="A1066" s="1" t="s">
        <v>193</v>
      </c>
      <c r="B1066" s="1" t="s">
        <v>68</v>
      </c>
      <c r="C1066" s="1">
        <v>2035</v>
      </c>
      <c r="D1066" s="1">
        <v>10.26713932</v>
      </c>
    </row>
    <row r="1067" spans="1:4" x14ac:dyDescent="0.35">
      <c r="A1067" s="1" t="s">
        <v>193</v>
      </c>
      <c r="B1067" s="1" t="s">
        <v>68</v>
      </c>
      <c r="C1067" s="1">
        <v>2036</v>
      </c>
      <c r="D1067" s="1">
        <v>10.35272393</v>
      </c>
    </row>
    <row r="1068" spans="1:4" x14ac:dyDescent="0.35">
      <c r="A1068" s="1" t="s">
        <v>193</v>
      </c>
      <c r="B1068" s="1" t="s">
        <v>68</v>
      </c>
      <c r="C1068" s="1">
        <v>2037</v>
      </c>
      <c r="D1068" s="1">
        <v>10.42996334</v>
      </c>
    </row>
    <row r="1069" spans="1:4" x14ac:dyDescent="0.35">
      <c r="A1069" s="1" t="s">
        <v>193</v>
      </c>
      <c r="B1069" s="1" t="s">
        <v>68</v>
      </c>
      <c r="C1069" s="1">
        <v>2038</v>
      </c>
      <c r="D1069" s="1">
        <v>10.49751979</v>
      </c>
    </row>
    <row r="1070" spans="1:4" x14ac:dyDescent="0.35">
      <c r="A1070" s="1" t="s">
        <v>193</v>
      </c>
      <c r="B1070" s="1" t="s">
        <v>68</v>
      </c>
      <c r="C1070" s="1">
        <v>2039</v>
      </c>
      <c r="D1070" s="1">
        <v>10.557615950000001</v>
      </c>
    </row>
    <row r="1071" spans="1:4" x14ac:dyDescent="0.35">
      <c r="A1071" s="1" t="s">
        <v>193</v>
      </c>
      <c r="B1071" s="1" t="s">
        <v>68</v>
      </c>
      <c r="C1071" s="1">
        <v>2040</v>
      </c>
      <c r="D1071" s="1">
        <v>10.60906127</v>
      </c>
    </row>
    <row r="1072" spans="1:4" x14ac:dyDescent="0.35">
      <c r="A1072" s="1" t="s">
        <v>193</v>
      </c>
      <c r="B1072" s="1" t="s">
        <v>68</v>
      </c>
      <c r="C1072" s="1">
        <v>2041</v>
      </c>
      <c r="D1072" s="1">
        <v>10.65135688</v>
      </c>
    </row>
    <row r="1073" spans="1:4" x14ac:dyDescent="0.35">
      <c r="A1073" s="1" t="s">
        <v>193</v>
      </c>
      <c r="B1073" s="1" t="s">
        <v>68</v>
      </c>
      <c r="C1073" s="1">
        <v>2042</v>
      </c>
      <c r="D1073" s="1">
        <v>10.68390612</v>
      </c>
    </row>
    <row r="1074" spans="1:4" x14ac:dyDescent="0.35">
      <c r="A1074" s="1" t="s">
        <v>193</v>
      </c>
      <c r="B1074" s="1" t="s">
        <v>68</v>
      </c>
      <c r="C1074" s="1">
        <v>2043</v>
      </c>
      <c r="D1074" s="1">
        <v>10.71005909</v>
      </c>
    </row>
    <row r="1075" spans="1:4" x14ac:dyDescent="0.35">
      <c r="A1075" s="1" t="s">
        <v>193</v>
      </c>
      <c r="B1075" s="1" t="s">
        <v>68</v>
      </c>
      <c r="C1075" s="1">
        <v>2044</v>
      </c>
      <c r="D1075" s="1">
        <v>10.730802539999999</v>
      </c>
    </row>
    <row r="1076" spans="1:4" x14ac:dyDescent="0.35">
      <c r="A1076" s="1" t="s">
        <v>193</v>
      </c>
      <c r="B1076" s="1" t="s">
        <v>68</v>
      </c>
      <c r="C1076" s="1">
        <v>2045</v>
      </c>
      <c r="D1076" s="1">
        <v>10.74714204</v>
      </c>
    </row>
    <row r="1077" spans="1:4" x14ac:dyDescent="0.35">
      <c r="A1077" s="1" t="s">
        <v>193</v>
      </c>
      <c r="B1077" s="1" t="s">
        <v>68</v>
      </c>
      <c r="C1077" s="1">
        <v>2046</v>
      </c>
      <c r="D1077" s="1">
        <v>10.75966305</v>
      </c>
    </row>
    <row r="1078" spans="1:4" x14ac:dyDescent="0.35">
      <c r="A1078" s="1" t="s">
        <v>193</v>
      </c>
      <c r="B1078" s="1" t="s">
        <v>68</v>
      </c>
      <c r="C1078" s="1">
        <v>2047</v>
      </c>
      <c r="D1078" s="1">
        <v>10.76753849</v>
      </c>
    </row>
    <row r="1079" spans="1:4" x14ac:dyDescent="0.35">
      <c r="A1079" s="1" t="s">
        <v>193</v>
      </c>
      <c r="B1079" s="1" t="s">
        <v>68</v>
      </c>
      <c r="C1079" s="1">
        <v>2048</v>
      </c>
      <c r="D1079" s="1">
        <v>10.77331304</v>
      </c>
    </row>
    <row r="1080" spans="1:4" x14ac:dyDescent="0.35">
      <c r="A1080" s="1" t="s">
        <v>193</v>
      </c>
      <c r="B1080" s="1" t="s">
        <v>68</v>
      </c>
      <c r="C1080" s="1">
        <v>2049</v>
      </c>
      <c r="D1080" s="1">
        <v>10.77920754</v>
      </c>
    </row>
    <row r="1081" spans="1:4" x14ac:dyDescent="0.35">
      <c r="A1081" s="1" t="s">
        <v>193</v>
      </c>
      <c r="B1081" s="1" t="s">
        <v>68</v>
      </c>
      <c r="C1081" s="1">
        <v>2050</v>
      </c>
      <c r="D1081" s="1">
        <v>10.78482906</v>
      </c>
    </row>
    <row r="1082" spans="1:4" x14ac:dyDescent="0.35">
      <c r="A1082" s="1" t="s">
        <v>193</v>
      </c>
      <c r="B1082" s="1" t="s">
        <v>69</v>
      </c>
      <c r="C1082" s="1">
        <v>2021</v>
      </c>
      <c r="D1082" s="1">
        <v>8.8982910929999992</v>
      </c>
    </row>
    <row r="1083" spans="1:4" x14ac:dyDescent="0.35">
      <c r="A1083" s="1" t="s">
        <v>193</v>
      </c>
      <c r="B1083" s="1" t="s">
        <v>69</v>
      </c>
      <c r="C1083" s="1">
        <v>2022</v>
      </c>
      <c r="D1083" s="1">
        <v>8.9865974430000009</v>
      </c>
    </row>
    <row r="1084" spans="1:4" x14ac:dyDescent="0.35">
      <c r="A1084" s="1" t="s">
        <v>193</v>
      </c>
      <c r="B1084" s="1" t="s">
        <v>69</v>
      </c>
      <c r="C1084" s="1">
        <v>2023</v>
      </c>
      <c r="D1084" s="1">
        <v>9.0704715139999994</v>
      </c>
    </row>
    <row r="1085" spans="1:4" x14ac:dyDescent="0.35">
      <c r="A1085" s="1" t="s">
        <v>193</v>
      </c>
      <c r="B1085" s="1" t="s">
        <v>69</v>
      </c>
      <c r="C1085" s="1">
        <v>2024</v>
      </c>
      <c r="D1085" s="1">
        <v>9.1593739850000002</v>
      </c>
    </row>
    <row r="1086" spans="1:4" x14ac:dyDescent="0.35">
      <c r="A1086" s="1" t="s">
        <v>193</v>
      </c>
      <c r="B1086" s="1" t="s">
        <v>69</v>
      </c>
      <c r="C1086" s="1">
        <v>2025</v>
      </c>
      <c r="D1086" s="1">
        <v>9.2545957790000006</v>
      </c>
    </row>
    <row r="1087" spans="1:4" x14ac:dyDescent="0.35">
      <c r="A1087" s="1" t="s">
        <v>193</v>
      </c>
      <c r="B1087" s="1" t="s">
        <v>69</v>
      </c>
      <c r="C1087" s="1">
        <v>2026</v>
      </c>
      <c r="D1087" s="1">
        <v>9.3555187570000005</v>
      </c>
    </row>
    <row r="1088" spans="1:4" x14ac:dyDescent="0.35">
      <c r="A1088" s="1" t="s">
        <v>193</v>
      </c>
      <c r="B1088" s="1" t="s">
        <v>69</v>
      </c>
      <c r="C1088" s="1">
        <v>2027</v>
      </c>
      <c r="D1088" s="1">
        <v>9.4646818239999995</v>
      </c>
    </row>
    <row r="1089" spans="1:4" x14ac:dyDescent="0.35">
      <c r="A1089" s="1" t="s">
        <v>193</v>
      </c>
      <c r="B1089" s="1" t="s">
        <v>69</v>
      </c>
      <c r="C1089" s="1">
        <v>2028</v>
      </c>
      <c r="D1089" s="1">
        <v>9.5635689569999993</v>
      </c>
    </row>
    <row r="1090" spans="1:4" x14ac:dyDescent="0.35">
      <c r="A1090" s="1" t="s">
        <v>193</v>
      </c>
      <c r="B1090" s="1" t="s">
        <v>69</v>
      </c>
      <c r="C1090" s="1">
        <v>2029</v>
      </c>
      <c r="D1090" s="1">
        <v>9.6661049959999996</v>
      </c>
    </row>
    <row r="1091" spans="1:4" x14ac:dyDescent="0.35">
      <c r="A1091" s="1" t="s">
        <v>193</v>
      </c>
      <c r="B1091" s="1" t="s">
        <v>69</v>
      </c>
      <c r="C1091" s="1">
        <v>2030</v>
      </c>
      <c r="D1091" s="1">
        <v>9.7715913529999998</v>
      </c>
    </row>
    <row r="1092" spans="1:4" x14ac:dyDescent="0.35">
      <c r="A1092" s="1" t="s">
        <v>193</v>
      </c>
      <c r="B1092" s="1" t="s">
        <v>69</v>
      </c>
      <c r="C1092" s="1">
        <v>2031</v>
      </c>
      <c r="D1092" s="1">
        <v>9.8788625299999993</v>
      </c>
    </row>
    <row r="1093" spans="1:4" x14ac:dyDescent="0.35">
      <c r="A1093" s="1" t="s">
        <v>193</v>
      </c>
      <c r="B1093" s="1" t="s">
        <v>69</v>
      </c>
      <c r="C1093" s="1">
        <v>2032</v>
      </c>
      <c r="D1093" s="1">
        <v>9.9854166679999992</v>
      </c>
    </row>
    <row r="1094" spans="1:4" x14ac:dyDescent="0.35">
      <c r="A1094" s="1" t="s">
        <v>193</v>
      </c>
      <c r="B1094" s="1" t="s">
        <v>69</v>
      </c>
      <c r="C1094" s="1">
        <v>2033</v>
      </c>
      <c r="D1094" s="1">
        <v>10.08397952</v>
      </c>
    </row>
    <row r="1095" spans="1:4" x14ac:dyDescent="0.35">
      <c r="A1095" s="1" t="s">
        <v>193</v>
      </c>
      <c r="B1095" s="1" t="s">
        <v>69</v>
      </c>
      <c r="C1095" s="1">
        <v>2034</v>
      </c>
      <c r="D1095" s="1">
        <v>10.175219869999999</v>
      </c>
    </row>
    <row r="1096" spans="1:4" x14ac:dyDescent="0.35">
      <c r="A1096" s="1" t="s">
        <v>193</v>
      </c>
      <c r="B1096" s="1" t="s">
        <v>69</v>
      </c>
      <c r="C1096" s="1">
        <v>2035</v>
      </c>
      <c r="D1096" s="1">
        <v>10.259130020000001</v>
      </c>
    </row>
    <row r="1097" spans="1:4" x14ac:dyDescent="0.35">
      <c r="A1097" s="1" t="s">
        <v>193</v>
      </c>
      <c r="B1097" s="1" t="s">
        <v>69</v>
      </c>
      <c r="C1097" s="1">
        <v>2036</v>
      </c>
      <c r="D1097" s="1">
        <v>10.33492934</v>
      </c>
    </row>
    <row r="1098" spans="1:4" x14ac:dyDescent="0.35">
      <c r="A1098" s="1" t="s">
        <v>193</v>
      </c>
      <c r="B1098" s="1" t="s">
        <v>69</v>
      </c>
      <c r="C1098" s="1">
        <v>2037</v>
      </c>
      <c r="D1098" s="1">
        <v>10.400823519999999</v>
      </c>
    </row>
    <row r="1099" spans="1:4" x14ac:dyDescent="0.35">
      <c r="A1099" s="1" t="s">
        <v>193</v>
      </c>
      <c r="B1099" s="1" t="s">
        <v>69</v>
      </c>
      <c r="C1099" s="1">
        <v>2038</v>
      </c>
      <c r="D1099" s="1">
        <v>10.459194930000001</v>
      </c>
    </row>
    <row r="1100" spans="1:4" x14ac:dyDescent="0.35">
      <c r="A1100" s="1" t="s">
        <v>193</v>
      </c>
      <c r="B1100" s="1" t="s">
        <v>69</v>
      </c>
      <c r="C1100" s="1">
        <v>2039</v>
      </c>
      <c r="D1100" s="1">
        <v>10.51200702</v>
      </c>
    </row>
    <row r="1101" spans="1:4" x14ac:dyDescent="0.35">
      <c r="A1101" s="1" t="s">
        <v>193</v>
      </c>
      <c r="B1101" s="1" t="s">
        <v>69</v>
      </c>
      <c r="C1101" s="1">
        <v>2040</v>
      </c>
      <c r="D1101" s="1">
        <v>10.55814593</v>
      </c>
    </row>
    <row r="1102" spans="1:4" x14ac:dyDescent="0.35">
      <c r="A1102" s="1" t="s">
        <v>193</v>
      </c>
      <c r="B1102" s="1" t="s">
        <v>69</v>
      </c>
      <c r="C1102" s="1">
        <v>2041</v>
      </c>
      <c r="D1102" s="1">
        <v>10.5977199</v>
      </c>
    </row>
    <row r="1103" spans="1:4" x14ac:dyDescent="0.35">
      <c r="A1103" s="1" t="s">
        <v>193</v>
      </c>
      <c r="B1103" s="1" t="s">
        <v>69</v>
      </c>
      <c r="C1103" s="1">
        <v>2042</v>
      </c>
      <c r="D1103" s="1">
        <v>10.62717134</v>
      </c>
    </row>
    <row r="1104" spans="1:4" x14ac:dyDescent="0.35">
      <c r="A1104" s="1" t="s">
        <v>193</v>
      </c>
      <c r="B1104" s="1" t="s">
        <v>69</v>
      </c>
      <c r="C1104" s="1">
        <v>2043</v>
      </c>
      <c r="D1104" s="1">
        <v>10.65266667</v>
      </c>
    </row>
    <row r="1105" spans="1:4" x14ac:dyDescent="0.35">
      <c r="A1105" s="1" t="s">
        <v>193</v>
      </c>
      <c r="B1105" s="1" t="s">
        <v>69</v>
      </c>
      <c r="C1105" s="1">
        <v>2044</v>
      </c>
      <c r="D1105" s="1">
        <v>10.674725199999999</v>
      </c>
    </row>
    <row r="1106" spans="1:4" x14ac:dyDescent="0.35">
      <c r="A1106" s="1" t="s">
        <v>193</v>
      </c>
      <c r="B1106" s="1" t="s">
        <v>69</v>
      </c>
      <c r="C1106" s="1">
        <v>2045</v>
      </c>
      <c r="D1106" s="1">
        <v>10.69448008</v>
      </c>
    </row>
    <row r="1107" spans="1:4" x14ac:dyDescent="0.35">
      <c r="A1107" s="1" t="s">
        <v>193</v>
      </c>
      <c r="B1107" s="1" t="s">
        <v>69</v>
      </c>
      <c r="C1107" s="1">
        <v>2046</v>
      </c>
      <c r="D1107" s="1">
        <v>10.710674709999999</v>
      </c>
    </row>
    <row r="1108" spans="1:4" x14ac:dyDescent="0.35">
      <c r="A1108" s="1" t="s">
        <v>193</v>
      </c>
      <c r="B1108" s="1" t="s">
        <v>69</v>
      </c>
      <c r="C1108" s="1">
        <v>2047</v>
      </c>
      <c r="D1108" s="1">
        <v>10.72671907</v>
      </c>
    </row>
    <row r="1109" spans="1:4" x14ac:dyDescent="0.35">
      <c r="A1109" s="1" t="s">
        <v>193</v>
      </c>
      <c r="B1109" s="1" t="s">
        <v>69</v>
      </c>
      <c r="C1109" s="1">
        <v>2048</v>
      </c>
      <c r="D1109" s="1">
        <v>10.74297623</v>
      </c>
    </row>
    <row r="1110" spans="1:4" x14ac:dyDescent="0.35">
      <c r="A1110" s="1" t="s">
        <v>193</v>
      </c>
      <c r="B1110" s="1" t="s">
        <v>69</v>
      </c>
      <c r="C1110" s="1">
        <v>2049</v>
      </c>
      <c r="D1110" s="1">
        <v>10.760175589999999</v>
      </c>
    </row>
    <row r="1111" spans="1:4" x14ac:dyDescent="0.35">
      <c r="A1111" s="1" t="s">
        <v>193</v>
      </c>
      <c r="B1111" s="1" t="s">
        <v>69</v>
      </c>
      <c r="C1111" s="1">
        <v>2050</v>
      </c>
      <c r="D1111" s="1">
        <v>10.77775113</v>
      </c>
    </row>
    <row r="1112" spans="1:4" x14ac:dyDescent="0.35">
      <c r="A1112" s="1" t="s">
        <v>193</v>
      </c>
      <c r="B1112" s="1" t="s">
        <v>65</v>
      </c>
      <c r="C1112" s="1">
        <v>2021</v>
      </c>
      <c r="D1112" s="1">
        <v>7.1099579999999998</v>
      </c>
    </row>
    <row r="1113" spans="1:4" x14ac:dyDescent="0.35">
      <c r="A1113" s="1" t="s">
        <v>193</v>
      </c>
      <c r="B1113" s="1" t="s">
        <v>65</v>
      </c>
      <c r="C1113" s="1">
        <v>2022</v>
      </c>
      <c r="D1113" s="1">
        <v>6.9156259999999996</v>
      </c>
    </row>
    <row r="1114" spans="1:4" x14ac:dyDescent="0.35">
      <c r="A1114" s="1" t="s">
        <v>193</v>
      </c>
      <c r="B1114" s="1" t="s">
        <v>65</v>
      </c>
      <c r="C1114" s="1">
        <v>2023</v>
      </c>
      <c r="D1114" s="1">
        <v>6.8545189999999998</v>
      </c>
    </row>
    <row r="1115" spans="1:4" x14ac:dyDescent="0.35">
      <c r="A1115" s="1" t="s">
        <v>193</v>
      </c>
      <c r="B1115" s="1" t="s">
        <v>65</v>
      </c>
      <c r="C1115" s="1">
        <v>2024</v>
      </c>
      <c r="D1115" s="1">
        <v>6.8253339999999998</v>
      </c>
    </row>
    <row r="1116" spans="1:4" x14ac:dyDescent="0.35">
      <c r="A1116" s="1" t="s">
        <v>193</v>
      </c>
      <c r="B1116" s="1" t="s">
        <v>65</v>
      </c>
      <c r="C1116" s="1">
        <v>2025</v>
      </c>
      <c r="D1116" s="1">
        <v>6.8080439999999998</v>
      </c>
    </row>
    <row r="1117" spans="1:4" x14ac:dyDescent="0.35">
      <c r="A1117" s="1" t="s">
        <v>193</v>
      </c>
      <c r="B1117" s="1" t="s">
        <v>65</v>
      </c>
      <c r="C1117" s="1">
        <v>2026</v>
      </c>
      <c r="D1117" s="1">
        <v>6.7963040000000001</v>
      </c>
    </row>
    <row r="1118" spans="1:4" x14ac:dyDescent="0.35">
      <c r="A1118" s="1" t="s">
        <v>193</v>
      </c>
      <c r="B1118" s="1" t="s">
        <v>65</v>
      </c>
      <c r="C1118" s="1">
        <v>2027</v>
      </c>
      <c r="D1118" s="1">
        <v>6.7877479999999997</v>
      </c>
    </row>
    <row r="1119" spans="1:4" x14ac:dyDescent="0.35">
      <c r="A1119" s="1" t="s">
        <v>193</v>
      </c>
      <c r="B1119" s="1" t="s">
        <v>65</v>
      </c>
      <c r="C1119" s="1">
        <v>2028</v>
      </c>
      <c r="D1119" s="1">
        <v>6.7810600000000001</v>
      </c>
    </row>
    <row r="1120" spans="1:4" x14ac:dyDescent="0.35">
      <c r="A1120" s="1" t="s">
        <v>193</v>
      </c>
      <c r="B1120" s="1" t="s">
        <v>65</v>
      </c>
      <c r="C1120" s="1">
        <v>2029</v>
      </c>
      <c r="D1120" s="1">
        <v>6.7754849999999998</v>
      </c>
    </row>
    <row r="1121" spans="1:4" x14ac:dyDescent="0.35">
      <c r="A1121" s="1" t="s">
        <v>193</v>
      </c>
      <c r="B1121" s="1" t="s">
        <v>65</v>
      </c>
      <c r="C1121" s="1">
        <v>2030</v>
      </c>
      <c r="D1121" s="1">
        <v>6.7706770000000001</v>
      </c>
    </row>
    <row r="1122" spans="1:4" x14ac:dyDescent="0.35">
      <c r="A1122" s="1" t="s">
        <v>193</v>
      </c>
      <c r="B1122" s="1" t="s">
        <v>65</v>
      </c>
      <c r="C1122" s="1">
        <v>2031</v>
      </c>
      <c r="D1122" s="1">
        <v>6.7664619999999998</v>
      </c>
    </row>
    <row r="1123" spans="1:4" x14ac:dyDescent="0.35">
      <c r="A1123" s="1" t="s">
        <v>193</v>
      </c>
      <c r="B1123" s="1" t="s">
        <v>65</v>
      </c>
      <c r="C1123" s="1">
        <v>2032</v>
      </c>
      <c r="D1123" s="1">
        <v>6.7627410000000001</v>
      </c>
    </row>
    <row r="1124" spans="1:4" x14ac:dyDescent="0.35">
      <c r="A1124" s="1" t="s">
        <v>193</v>
      </c>
      <c r="B1124" s="1" t="s">
        <v>65</v>
      </c>
      <c r="C1124" s="1">
        <v>2033</v>
      </c>
      <c r="D1124" s="1">
        <v>6.759436</v>
      </c>
    </row>
    <row r="1125" spans="1:4" x14ac:dyDescent="0.35">
      <c r="A1125" s="1" t="s">
        <v>193</v>
      </c>
      <c r="B1125" s="1" t="s">
        <v>65</v>
      </c>
      <c r="C1125" s="1">
        <v>2034</v>
      </c>
      <c r="D1125" s="1">
        <v>6.7565229999999996</v>
      </c>
    </row>
    <row r="1126" spans="1:4" x14ac:dyDescent="0.35">
      <c r="A1126" s="1" t="s">
        <v>193</v>
      </c>
      <c r="B1126" s="1" t="s">
        <v>65</v>
      </c>
      <c r="C1126" s="1">
        <v>2035</v>
      </c>
      <c r="D1126" s="1">
        <v>6.7540149999999999</v>
      </c>
    </row>
    <row r="1127" spans="1:4" x14ac:dyDescent="0.35">
      <c r="A1127" s="1" t="s">
        <v>193</v>
      </c>
      <c r="B1127" s="1" t="s">
        <v>65</v>
      </c>
      <c r="C1127" s="1">
        <v>2036</v>
      </c>
      <c r="D1127" s="1">
        <v>6.7519289999999996</v>
      </c>
    </row>
    <row r="1128" spans="1:4" x14ac:dyDescent="0.35">
      <c r="A1128" s="1" t="s">
        <v>193</v>
      </c>
      <c r="B1128" s="1" t="s">
        <v>65</v>
      </c>
      <c r="C1128" s="1">
        <v>2037</v>
      </c>
      <c r="D1128" s="1">
        <v>6.7502880000000003</v>
      </c>
    </row>
    <row r="1129" spans="1:4" x14ac:dyDescent="0.35">
      <c r="A1129" s="1" t="s">
        <v>193</v>
      </c>
      <c r="B1129" s="1" t="s">
        <v>65</v>
      </c>
      <c r="C1129" s="1">
        <v>2038</v>
      </c>
      <c r="D1129" s="1">
        <v>6.7491380000000003</v>
      </c>
    </row>
    <row r="1130" spans="1:4" x14ac:dyDescent="0.35">
      <c r="A1130" s="1" t="s">
        <v>193</v>
      </c>
      <c r="B1130" s="1" t="s">
        <v>65</v>
      </c>
      <c r="C1130" s="1">
        <v>2039</v>
      </c>
      <c r="D1130" s="1">
        <v>6.748513</v>
      </c>
    </row>
    <row r="1131" spans="1:4" x14ac:dyDescent="0.35">
      <c r="A1131" s="1" t="s">
        <v>193</v>
      </c>
      <c r="B1131" s="1" t="s">
        <v>65</v>
      </c>
      <c r="C1131" s="1">
        <v>2040</v>
      </c>
      <c r="D1131" s="1">
        <v>6.7474509999999999</v>
      </c>
    </row>
    <row r="1132" spans="1:4" x14ac:dyDescent="0.35">
      <c r="A1132" s="1" t="s">
        <v>193</v>
      </c>
      <c r="B1132" s="1" t="s">
        <v>65</v>
      </c>
      <c r="C1132" s="1">
        <v>2041</v>
      </c>
      <c r="D1132" s="1">
        <v>6.7463090000000001</v>
      </c>
    </row>
    <row r="1133" spans="1:4" x14ac:dyDescent="0.35">
      <c r="A1133" s="1" t="s">
        <v>193</v>
      </c>
      <c r="B1133" s="1" t="s">
        <v>65</v>
      </c>
      <c r="C1133" s="1">
        <v>2042</v>
      </c>
      <c r="D1133" s="1">
        <v>6.7456750000000003</v>
      </c>
    </row>
    <row r="1134" spans="1:4" x14ac:dyDescent="0.35">
      <c r="A1134" s="1" t="s">
        <v>193</v>
      </c>
      <c r="B1134" s="1" t="s">
        <v>65</v>
      </c>
      <c r="C1134" s="1">
        <v>2043</v>
      </c>
      <c r="D1134" s="1">
        <v>6.7457950000000002</v>
      </c>
    </row>
    <row r="1135" spans="1:4" x14ac:dyDescent="0.35">
      <c r="A1135" s="1" t="s">
        <v>193</v>
      </c>
      <c r="B1135" s="1" t="s">
        <v>65</v>
      </c>
      <c r="C1135" s="1">
        <v>2044</v>
      </c>
      <c r="D1135" s="1">
        <v>6.7455530000000001</v>
      </c>
    </row>
    <row r="1136" spans="1:4" x14ac:dyDescent="0.35">
      <c r="A1136" s="1" t="s">
        <v>193</v>
      </c>
      <c r="B1136" s="1" t="s">
        <v>65</v>
      </c>
      <c r="C1136" s="1">
        <v>2045</v>
      </c>
      <c r="D1136" s="1">
        <v>6.7453190000000003</v>
      </c>
    </row>
    <row r="1137" spans="1:4" x14ac:dyDescent="0.35">
      <c r="A1137" s="1" t="s">
        <v>193</v>
      </c>
      <c r="B1137" s="1" t="s">
        <v>65</v>
      </c>
      <c r="C1137" s="1">
        <v>2046</v>
      </c>
      <c r="D1137" s="1">
        <v>6.745101</v>
      </c>
    </row>
    <row r="1138" spans="1:4" x14ac:dyDescent="0.35">
      <c r="A1138" s="1" t="s">
        <v>193</v>
      </c>
      <c r="B1138" s="1" t="s">
        <v>65</v>
      </c>
      <c r="C1138" s="1">
        <v>2047</v>
      </c>
      <c r="D1138" s="1">
        <v>6.7448940000000004</v>
      </c>
    </row>
    <row r="1139" spans="1:4" x14ac:dyDescent="0.35">
      <c r="A1139" s="1" t="s">
        <v>193</v>
      </c>
      <c r="B1139" s="1" t="s">
        <v>65</v>
      </c>
      <c r="C1139" s="1">
        <v>2048</v>
      </c>
      <c r="D1139" s="1">
        <v>6.7447039999999996</v>
      </c>
    </row>
    <row r="1140" spans="1:4" x14ac:dyDescent="0.35">
      <c r="A1140" s="1" t="s">
        <v>193</v>
      </c>
      <c r="B1140" s="1" t="s">
        <v>65</v>
      </c>
      <c r="C1140" s="1">
        <v>2049</v>
      </c>
      <c r="D1140" s="1">
        <v>6.7445240000000002</v>
      </c>
    </row>
    <row r="1141" spans="1:4" x14ac:dyDescent="0.35">
      <c r="A1141" s="1" t="s">
        <v>193</v>
      </c>
      <c r="B1141" s="1" t="s">
        <v>65</v>
      </c>
      <c r="C1141" s="1">
        <v>2050</v>
      </c>
      <c r="D1141" s="1">
        <v>6.7443520000000001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E9F5-9FA7-4C26-B1A7-D9197D0362AD}">
  <dimension ref="A1:AF39"/>
  <sheetViews>
    <sheetView workbookViewId="0">
      <selection activeCell="F9" sqref="F9"/>
    </sheetView>
  </sheetViews>
  <sheetFormatPr defaultRowHeight="14.5" x14ac:dyDescent="0.35"/>
  <cols>
    <col min="1" max="1" width="22.54296875" customWidth="1"/>
    <col min="2" max="2" width="13.54296875" customWidth="1"/>
  </cols>
  <sheetData>
    <row r="1" spans="1:32" x14ac:dyDescent="0.35">
      <c r="A1" t="s">
        <v>53</v>
      </c>
      <c r="B1" t="s">
        <v>217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  <c r="R1" t="s">
        <v>238</v>
      </c>
      <c r="S1" t="s">
        <v>239</v>
      </c>
      <c r="T1" t="s">
        <v>240</v>
      </c>
      <c r="U1" t="s">
        <v>241</v>
      </c>
      <c r="V1" t="s">
        <v>242</v>
      </c>
      <c r="W1" t="s">
        <v>243</v>
      </c>
      <c r="X1" t="s">
        <v>244</v>
      </c>
      <c r="Y1" t="s">
        <v>245</v>
      </c>
      <c r="Z1" t="s">
        <v>246</v>
      </c>
      <c r="AA1" t="s">
        <v>247</v>
      </c>
      <c r="AB1" t="s">
        <v>248</v>
      </c>
      <c r="AC1" t="s">
        <v>249</v>
      </c>
      <c r="AD1" t="s">
        <v>250</v>
      </c>
      <c r="AE1" t="s">
        <v>251</v>
      </c>
      <c r="AF1" t="s">
        <v>252</v>
      </c>
    </row>
    <row r="2" spans="1:32" x14ac:dyDescent="0.35">
      <c r="A2" t="s">
        <v>204</v>
      </c>
      <c r="B2" s="16" t="s">
        <v>55</v>
      </c>
      <c r="C2" s="14">
        <v>115.37436700000001</v>
      </c>
      <c r="D2" s="14">
        <v>112.572182</v>
      </c>
      <c r="E2" s="14">
        <v>109.58744799999999</v>
      </c>
      <c r="F2" s="14">
        <v>106.49374400000001</v>
      </c>
      <c r="G2" s="14">
        <v>103.333977</v>
      </c>
      <c r="H2" s="14">
        <v>100.192627</v>
      </c>
      <c r="I2" s="14">
        <v>97.046645999999996</v>
      </c>
      <c r="J2" s="14">
        <v>93.890281999999999</v>
      </c>
      <c r="K2" s="14">
        <v>90.741355999999996</v>
      </c>
      <c r="L2" s="14">
        <v>87.630218999999997</v>
      </c>
      <c r="M2" s="14">
        <v>84.583977000000004</v>
      </c>
      <c r="N2" s="14">
        <v>81.612433999999993</v>
      </c>
      <c r="O2" s="14">
        <v>78.739922000000007</v>
      </c>
      <c r="P2" s="14">
        <v>75.984168999999994</v>
      </c>
      <c r="Q2" s="14">
        <v>73.372314000000003</v>
      </c>
      <c r="R2" s="14">
        <v>70.965423999999999</v>
      </c>
      <c r="S2" s="14">
        <v>68.809134999999998</v>
      </c>
      <c r="T2" s="14">
        <v>66.916008000000005</v>
      </c>
      <c r="U2" s="14">
        <v>65.254784000000001</v>
      </c>
      <c r="V2" s="14">
        <v>63.836910000000003</v>
      </c>
      <c r="W2" s="14">
        <v>62.607716000000003</v>
      </c>
      <c r="X2" s="14">
        <v>61.529677999999997</v>
      </c>
      <c r="Y2" s="14">
        <v>60.584193999999997</v>
      </c>
      <c r="Z2" s="15">
        <v>59.737273999999999</v>
      </c>
      <c r="AA2" s="15">
        <v>58.957667999999998</v>
      </c>
      <c r="AB2" s="15">
        <v>58.242046000000002</v>
      </c>
      <c r="AC2" s="15">
        <v>57.552638999999999</v>
      </c>
      <c r="AD2" s="15">
        <v>56.880378999999998</v>
      </c>
      <c r="AE2" s="15">
        <v>56.231440999999997</v>
      </c>
      <c r="AF2" s="15">
        <v>55.599792000000001</v>
      </c>
    </row>
    <row r="3" spans="1:32" x14ac:dyDescent="0.35">
      <c r="A3" t="s">
        <v>204</v>
      </c>
      <c r="B3" s="16" t="s">
        <v>56</v>
      </c>
      <c r="C3" s="14">
        <v>0.19997799999999999</v>
      </c>
      <c r="D3" s="14">
        <v>0.19559599999999999</v>
      </c>
      <c r="E3" s="14">
        <v>0.190665</v>
      </c>
      <c r="F3" s="14">
        <v>0.18495600000000001</v>
      </c>
      <c r="G3" s="14">
        <v>0.17861299999999999</v>
      </c>
      <c r="H3" s="14">
        <v>0.17150399999999999</v>
      </c>
      <c r="I3" s="14">
        <v>0.16356200000000001</v>
      </c>
      <c r="J3" s="14">
        <v>0.154612</v>
      </c>
      <c r="K3" s="14">
        <v>0.144735</v>
      </c>
      <c r="L3" s="14">
        <v>0.13400799999999999</v>
      </c>
      <c r="M3" s="14">
        <v>0.122701</v>
      </c>
      <c r="N3" s="14">
        <v>0.111079</v>
      </c>
      <c r="O3" s="14">
        <v>9.9503999999999995E-2</v>
      </c>
      <c r="P3" s="14">
        <v>8.8347999999999996E-2</v>
      </c>
      <c r="Q3" s="14">
        <v>7.7912999999999996E-2</v>
      </c>
      <c r="R3" s="14">
        <v>6.8575999999999998E-2</v>
      </c>
      <c r="S3" s="14">
        <v>6.055E-2</v>
      </c>
      <c r="T3" s="14">
        <v>5.4181E-2</v>
      </c>
      <c r="U3" s="14">
        <v>4.9052999999999999E-2</v>
      </c>
      <c r="V3" s="14">
        <v>4.5315000000000001E-2</v>
      </c>
      <c r="W3" s="14">
        <v>4.2597000000000003E-2</v>
      </c>
      <c r="X3" s="14">
        <v>4.0642999999999999E-2</v>
      </c>
      <c r="Y3" s="14">
        <v>3.9255999999999999E-2</v>
      </c>
      <c r="Z3" s="15">
        <v>3.8199999999999998E-2</v>
      </c>
      <c r="AA3" s="15">
        <v>3.7447000000000001E-2</v>
      </c>
      <c r="AB3" s="15">
        <v>3.6795000000000001E-2</v>
      </c>
      <c r="AC3" s="15">
        <v>3.6179999999999997E-2</v>
      </c>
      <c r="AD3" s="15">
        <v>3.5603000000000003E-2</v>
      </c>
      <c r="AE3" s="15">
        <v>3.5092999999999999E-2</v>
      </c>
      <c r="AF3" s="15">
        <v>3.4639000000000003E-2</v>
      </c>
    </row>
    <row r="4" spans="1:32" x14ac:dyDescent="0.35">
      <c r="A4" t="s">
        <v>204</v>
      </c>
      <c r="B4" s="16" t="s">
        <v>57</v>
      </c>
      <c r="C4" s="14">
        <v>0.14000599999999999</v>
      </c>
      <c r="D4" s="14">
        <v>0.16708700000000001</v>
      </c>
      <c r="E4" s="14">
        <v>0.19413800000000001</v>
      </c>
      <c r="F4" s="14">
        <v>0.221276</v>
      </c>
      <c r="G4" s="14">
        <v>0.24609200000000001</v>
      </c>
      <c r="H4" s="14">
        <v>0.27038699999999999</v>
      </c>
      <c r="I4" s="14">
        <v>0.29333399999999998</v>
      </c>
      <c r="J4" s="14">
        <v>0.31505100000000003</v>
      </c>
      <c r="K4" s="14">
        <v>0.33624500000000002</v>
      </c>
      <c r="L4" s="14">
        <v>0.35731000000000002</v>
      </c>
      <c r="M4" s="14">
        <v>0.37893700000000002</v>
      </c>
      <c r="N4" s="14">
        <v>0.40075300000000003</v>
      </c>
      <c r="O4" s="14">
        <v>0.422788</v>
      </c>
      <c r="P4" s="14">
        <v>0.44495400000000002</v>
      </c>
      <c r="Q4" s="14">
        <v>0.46716400000000002</v>
      </c>
      <c r="R4" s="14">
        <v>0.48966399999999999</v>
      </c>
      <c r="S4" s="14">
        <v>0.51269399999999998</v>
      </c>
      <c r="T4" s="14">
        <v>0.53646400000000005</v>
      </c>
      <c r="U4" s="14">
        <v>0.56038100000000002</v>
      </c>
      <c r="V4" s="14">
        <v>0.58515300000000003</v>
      </c>
      <c r="W4" s="14">
        <v>0.61018300000000003</v>
      </c>
      <c r="X4" s="14">
        <v>0.635216</v>
      </c>
      <c r="Y4" s="14">
        <v>0.66075600000000001</v>
      </c>
      <c r="Z4" s="15">
        <v>0.687002</v>
      </c>
      <c r="AA4" s="15">
        <v>0.71308000000000005</v>
      </c>
      <c r="AB4" s="15">
        <v>0.73954399999999998</v>
      </c>
      <c r="AC4" s="15">
        <v>0.76512000000000002</v>
      </c>
      <c r="AD4" s="15">
        <v>0.78944700000000001</v>
      </c>
      <c r="AE4" s="15">
        <v>0.81286400000000003</v>
      </c>
      <c r="AF4" s="15">
        <v>0.83520300000000003</v>
      </c>
    </row>
    <row r="5" spans="1:32" x14ac:dyDescent="0.35">
      <c r="A5" t="s">
        <v>204</v>
      </c>
      <c r="B5" s="16" t="s">
        <v>58</v>
      </c>
      <c r="C5" s="14">
        <v>0.72293300000000005</v>
      </c>
      <c r="D5" s="14">
        <v>0.89649100000000004</v>
      </c>
      <c r="E5" s="14">
        <v>1.0838049999999999</v>
      </c>
      <c r="F5" s="14">
        <v>1.2745420000000001</v>
      </c>
      <c r="G5" s="14">
        <v>1.4550540000000001</v>
      </c>
      <c r="H5" s="14">
        <v>1.629734</v>
      </c>
      <c r="I5" s="14">
        <v>1.796921</v>
      </c>
      <c r="J5" s="14">
        <v>1.955848</v>
      </c>
      <c r="K5" s="14">
        <v>2.110598</v>
      </c>
      <c r="L5" s="14">
        <v>2.2686299999999999</v>
      </c>
      <c r="M5" s="14">
        <v>2.4309379999999998</v>
      </c>
      <c r="N5" s="14">
        <v>2.5961590000000001</v>
      </c>
      <c r="O5" s="14">
        <v>2.7629100000000002</v>
      </c>
      <c r="P5" s="14">
        <v>2.9299080000000002</v>
      </c>
      <c r="Q5" s="14">
        <v>3.0955629999999998</v>
      </c>
      <c r="R5" s="14">
        <v>3.2605840000000001</v>
      </c>
      <c r="S5" s="14">
        <v>3.426056</v>
      </c>
      <c r="T5" s="14">
        <v>3.5930819999999999</v>
      </c>
      <c r="U5" s="14">
        <v>3.7602440000000001</v>
      </c>
      <c r="V5" s="14">
        <v>3.9305669999999999</v>
      </c>
      <c r="W5" s="14">
        <v>4.1023860000000001</v>
      </c>
      <c r="X5" s="14">
        <v>4.2740799999999997</v>
      </c>
      <c r="Y5" s="14">
        <v>4.451632</v>
      </c>
      <c r="Z5" s="15">
        <v>4.6342949999999998</v>
      </c>
      <c r="AA5" s="15">
        <v>4.8226069999999996</v>
      </c>
      <c r="AB5" s="15">
        <v>5.0166219999999999</v>
      </c>
      <c r="AC5" s="15">
        <v>5.2112660000000002</v>
      </c>
      <c r="AD5" s="15">
        <v>5.4042690000000002</v>
      </c>
      <c r="AE5" s="15">
        <v>5.5970870000000001</v>
      </c>
      <c r="AF5" s="15">
        <v>5.7896770000000002</v>
      </c>
    </row>
    <row r="6" spans="1:32" x14ac:dyDescent="0.35">
      <c r="A6" t="s">
        <v>204</v>
      </c>
      <c r="B6" s="16" t="s">
        <v>59</v>
      </c>
      <c r="C6" s="14">
        <v>4.4986389999999998</v>
      </c>
      <c r="D6" s="14">
        <v>4.3357970000000003</v>
      </c>
      <c r="E6" s="14">
        <v>4.1571069999999999</v>
      </c>
      <c r="F6" s="14">
        <v>3.961878</v>
      </c>
      <c r="G6" s="14">
        <v>3.7503760000000002</v>
      </c>
      <c r="H6" s="14">
        <v>3.524416</v>
      </c>
      <c r="I6" s="14">
        <v>3.2853720000000002</v>
      </c>
      <c r="J6" s="14">
        <v>3.036918</v>
      </c>
      <c r="K6" s="14">
        <v>2.783455</v>
      </c>
      <c r="L6" s="14">
        <v>2.5317180000000001</v>
      </c>
      <c r="M6" s="14">
        <v>2.2894890000000001</v>
      </c>
      <c r="N6" s="14">
        <v>2.061788</v>
      </c>
      <c r="O6" s="14">
        <v>1.855067</v>
      </c>
      <c r="P6" s="14">
        <v>1.6700250000000001</v>
      </c>
      <c r="Q6" s="14">
        <v>1.508821</v>
      </c>
      <c r="R6" s="14">
        <v>1.375845</v>
      </c>
      <c r="S6" s="14">
        <v>1.2709079999999999</v>
      </c>
      <c r="T6" s="14">
        <v>1.1867369999999999</v>
      </c>
      <c r="U6" s="14">
        <v>1.121621</v>
      </c>
      <c r="V6" s="14">
        <v>1.0719320000000001</v>
      </c>
      <c r="W6" s="14">
        <v>1.0305800000000001</v>
      </c>
      <c r="X6" s="14">
        <v>0.99465000000000003</v>
      </c>
      <c r="Y6" s="14">
        <v>0.96315899999999999</v>
      </c>
      <c r="Z6" s="15">
        <v>0.93524799999999997</v>
      </c>
      <c r="AA6" s="15">
        <v>0.90928500000000001</v>
      </c>
      <c r="AB6" s="15">
        <v>0.88524599999999998</v>
      </c>
      <c r="AC6" s="15">
        <v>0.86248599999999997</v>
      </c>
      <c r="AD6" s="15">
        <v>0.840862</v>
      </c>
      <c r="AE6" s="15">
        <v>0.82047099999999995</v>
      </c>
      <c r="AF6" s="15">
        <v>0.800925</v>
      </c>
    </row>
    <row r="7" spans="1:32" x14ac:dyDescent="0.35">
      <c r="A7" t="s">
        <v>204</v>
      </c>
      <c r="B7" s="16" t="s">
        <v>218</v>
      </c>
      <c r="C7" s="14">
        <v>0.54956199999999999</v>
      </c>
      <c r="D7" s="14">
        <v>0.51478400000000002</v>
      </c>
      <c r="E7" s="14">
        <v>0.48101500000000003</v>
      </c>
      <c r="F7" s="14">
        <v>0.44810800000000001</v>
      </c>
      <c r="G7" s="14">
        <v>0.41583999999999999</v>
      </c>
      <c r="H7" s="14">
        <v>0.38402799999999998</v>
      </c>
      <c r="I7" s="14">
        <v>0.35266700000000001</v>
      </c>
      <c r="J7" s="14">
        <v>0.321432</v>
      </c>
      <c r="K7" s="14">
        <v>0.29014699999999999</v>
      </c>
      <c r="L7" s="14">
        <v>0.25947900000000002</v>
      </c>
      <c r="M7" s="14">
        <v>0.23015099999999999</v>
      </c>
      <c r="N7" s="14">
        <v>0.20202200000000001</v>
      </c>
      <c r="O7" s="14">
        <v>0.17585400000000001</v>
      </c>
      <c r="P7" s="14">
        <v>0.15219299999999999</v>
      </c>
      <c r="Q7" s="14">
        <v>0.13145200000000001</v>
      </c>
      <c r="R7" s="14">
        <v>0.114123</v>
      </c>
      <c r="S7" s="14">
        <v>0.100039</v>
      </c>
      <c r="T7" s="14">
        <v>8.9008000000000004E-2</v>
      </c>
      <c r="U7" s="14">
        <v>8.0946000000000004E-2</v>
      </c>
      <c r="V7" s="14">
        <v>7.4876999999999999E-2</v>
      </c>
      <c r="W7" s="14">
        <v>6.9400000000000003E-2</v>
      </c>
      <c r="X7" s="14">
        <v>6.4491999999999994E-2</v>
      </c>
      <c r="Y7" s="14">
        <v>6.0061999999999997E-2</v>
      </c>
      <c r="Z7" s="15">
        <v>5.5959000000000002E-2</v>
      </c>
      <c r="AA7" s="15">
        <v>5.2142000000000001E-2</v>
      </c>
      <c r="AB7" s="15">
        <v>4.8589E-2</v>
      </c>
      <c r="AC7" s="15">
        <v>4.5282000000000003E-2</v>
      </c>
      <c r="AD7" s="15">
        <v>4.2203999999999998E-2</v>
      </c>
      <c r="AE7" s="15">
        <v>3.9338999999999999E-2</v>
      </c>
      <c r="AF7" s="15">
        <v>3.6672000000000003E-2</v>
      </c>
    </row>
    <row r="8" spans="1:32" x14ac:dyDescent="0.35">
      <c r="A8" t="s">
        <v>204</v>
      </c>
      <c r="B8" s="16" t="s">
        <v>61</v>
      </c>
      <c r="C8" s="14">
        <v>1.9574000000000001E-2</v>
      </c>
      <c r="D8" s="14">
        <v>1.8075999999999998E-2</v>
      </c>
      <c r="E8" s="14">
        <v>1.6765000000000002E-2</v>
      </c>
      <c r="F8" s="14">
        <v>1.5574000000000001E-2</v>
      </c>
      <c r="G8" s="14">
        <v>1.4487E-2</v>
      </c>
      <c r="H8" s="14">
        <v>1.3576999999999999E-2</v>
      </c>
      <c r="I8" s="14">
        <v>1.2792999999999999E-2</v>
      </c>
      <c r="J8" s="14">
        <v>1.2050999999999999E-2</v>
      </c>
      <c r="K8" s="14">
        <v>1.137E-2</v>
      </c>
      <c r="L8" s="14">
        <v>1.0825999999999999E-2</v>
      </c>
      <c r="M8" s="14">
        <v>1.0332000000000001E-2</v>
      </c>
      <c r="N8" s="14">
        <v>9.9209999999999993E-3</v>
      </c>
      <c r="O8" s="14">
        <v>9.5929999999999991E-3</v>
      </c>
      <c r="P8" s="14">
        <v>9.3479999999999987E-3</v>
      </c>
      <c r="Q8" s="14">
        <v>9.1600000000000015E-3</v>
      </c>
      <c r="R8" s="14">
        <v>9.0219999999999988E-3</v>
      </c>
      <c r="S8" s="14">
        <v>8.9580000000000007E-3</v>
      </c>
      <c r="T8" s="14">
        <v>8.9020000000000002E-3</v>
      </c>
      <c r="U8" s="14">
        <v>8.8570000000000003E-3</v>
      </c>
      <c r="V8" s="14">
        <v>8.8100000000000001E-3</v>
      </c>
      <c r="W8" s="14">
        <v>8.7549999999999989E-3</v>
      </c>
      <c r="X8" s="14">
        <v>8.6950000000000013E-3</v>
      </c>
      <c r="Y8" s="14">
        <v>8.6300000000000005E-3</v>
      </c>
      <c r="Z8" s="15">
        <v>8.5690000000000002E-3</v>
      </c>
      <c r="AA8" s="15">
        <v>8.5129999999999997E-3</v>
      </c>
      <c r="AB8" s="15">
        <v>8.4690000000000008E-3</v>
      </c>
      <c r="AC8" s="15">
        <v>8.4320000000000003E-3</v>
      </c>
      <c r="AD8" s="15">
        <v>8.4030000000000007E-3</v>
      </c>
      <c r="AE8" s="15">
        <v>8.3789999999999993E-3</v>
      </c>
      <c r="AF8" s="15">
        <v>8.3639999999999999E-3</v>
      </c>
    </row>
    <row r="9" spans="1:32" x14ac:dyDescent="0.35">
      <c r="A9" t="s">
        <v>204</v>
      </c>
      <c r="B9" s="16" t="s">
        <v>62</v>
      </c>
      <c r="C9" s="14">
        <v>3.9712109999999998</v>
      </c>
      <c r="D9" s="14">
        <v>4.1729229999999999</v>
      </c>
      <c r="E9" s="14">
        <v>4.3819309999999998</v>
      </c>
      <c r="F9" s="14">
        <v>4.5665909999999998</v>
      </c>
      <c r="G9" s="14">
        <v>4.7195210000000003</v>
      </c>
      <c r="H9" s="14">
        <v>4.8566339999999997</v>
      </c>
      <c r="I9" s="14">
        <v>4.9798299999999998</v>
      </c>
      <c r="J9" s="14">
        <v>5.0908439999999997</v>
      </c>
      <c r="K9" s="14">
        <v>5.1945670000000002</v>
      </c>
      <c r="L9" s="14">
        <v>5.2972530000000004</v>
      </c>
      <c r="M9" s="14">
        <v>5.4043700000000001</v>
      </c>
      <c r="N9" s="14">
        <v>5.5130369999999997</v>
      </c>
      <c r="O9" s="14">
        <v>5.6237880000000002</v>
      </c>
      <c r="P9" s="14">
        <v>5.734591</v>
      </c>
      <c r="Q9" s="14">
        <v>5.845567</v>
      </c>
      <c r="R9" s="14">
        <v>5.9553560000000001</v>
      </c>
      <c r="S9" s="14">
        <v>6.065709</v>
      </c>
      <c r="T9" s="14">
        <v>6.1761780000000002</v>
      </c>
      <c r="U9" s="14">
        <v>6.281809</v>
      </c>
      <c r="V9" s="14">
        <v>6.3856099999999998</v>
      </c>
      <c r="W9" s="14">
        <v>6.4840119999999999</v>
      </c>
      <c r="X9" s="14">
        <v>6.5741519999999998</v>
      </c>
      <c r="Y9" s="14">
        <v>6.6591009999999997</v>
      </c>
      <c r="Z9" s="15">
        <v>6.7399959999999997</v>
      </c>
      <c r="AA9" s="15">
        <v>6.8168160000000002</v>
      </c>
      <c r="AB9" s="15">
        <v>6.8935370000000002</v>
      </c>
      <c r="AC9" s="15">
        <v>6.965776</v>
      </c>
      <c r="AD9" s="15">
        <v>7.0329870000000003</v>
      </c>
      <c r="AE9" s="15">
        <v>7.0966399999999998</v>
      </c>
      <c r="AF9" s="15">
        <v>7.1562359999999998</v>
      </c>
    </row>
    <row r="10" spans="1:32" x14ac:dyDescent="0.35">
      <c r="A10" t="s">
        <v>204</v>
      </c>
      <c r="B10" s="16" t="s">
        <v>63</v>
      </c>
      <c r="C10" s="14">
        <v>0.346105</v>
      </c>
      <c r="D10" s="14">
        <v>0.38659500000000002</v>
      </c>
      <c r="E10" s="14">
        <v>0.41896299999999997</v>
      </c>
      <c r="F10" s="14">
        <v>0.44758700000000001</v>
      </c>
      <c r="G10" s="14">
        <v>0.47419699999999998</v>
      </c>
      <c r="H10" s="14">
        <v>0.49900299999999997</v>
      </c>
      <c r="I10" s="14">
        <v>0.52174399999999999</v>
      </c>
      <c r="J10" s="14">
        <v>0.54231099999999999</v>
      </c>
      <c r="K10" s="14">
        <v>0.56120300000000001</v>
      </c>
      <c r="L10" s="14">
        <v>0.57936699999999997</v>
      </c>
      <c r="M10" s="14">
        <v>0.59795299999999996</v>
      </c>
      <c r="N10" s="14">
        <v>0.61644600000000005</v>
      </c>
      <c r="O10" s="14">
        <v>0.63485999999999998</v>
      </c>
      <c r="P10" s="14">
        <v>0.65315299999999998</v>
      </c>
      <c r="Q10" s="14">
        <v>0.67130100000000004</v>
      </c>
      <c r="R10" s="14">
        <v>0.68981999999999999</v>
      </c>
      <c r="S10" s="14">
        <v>0.709171</v>
      </c>
      <c r="T10" s="14">
        <v>0.72983299999999995</v>
      </c>
      <c r="U10" s="14">
        <v>0.75137500000000002</v>
      </c>
      <c r="V10" s="14">
        <v>0.77444100000000005</v>
      </c>
      <c r="W10" s="14">
        <v>0.79812099999999997</v>
      </c>
      <c r="X10" s="14">
        <v>0.82241699999999995</v>
      </c>
      <c r="Y10" s="14">
        <v>0.84761500000000001</v>
      </c>
      <c r="Z10" s="15">
        <v>0.87327200000000005</v>
      </c>
      <c r="AA10" s="15">
        <v>0.89893800000000001</v>
      </c>
      <c r="AB10" s="15">
        <v>0.92504200000000003</v>
      </c>
      <c r="AC10" s="15">
        <v>0.95041299999999995</v>
      </c>
      <c r="AD10" s="15">
        <v>0.97455199999999997</v>
      </c>
      <c r="AE10" s="15">
        <v>0.99763299999999999</v>
      </c>
      <c r="AF10" s="15">
        <v>1.0195270000000001</v>
      </c>
    </row>
    <row r="11" spans="1:32" x14ac:dyDescent="0.35">
      <c r="A11" t="s">
        <v>204</v>
      </c>
      <c r="B11" s="16" t="s">
        <v>64</v>
      </c>
      <c r="C11" s="14">
        <v>0.20677499999999999</v>
      </c>
      <c r="D11" s="14">
        <v>0.20372899999999999</v>
      </c>
      <c r="E11" s="14">
        <v>0.20005300000000001</v>
      </c>
      <c r="F11" s="14">
        <v>0.19575100000000001</v>
      </c>
      <c r="G11" s="14">
        <v>0.19072800000000001</v>
      </c>
      <c r="H11" s="14">
        <v>0.185026</v>
      </c>
      <c r="I11" s="14">
        <v>0.17844299999999999</v>
      </c>
      <c r="J11" s="14">
        <v>0.17084199999999999</v>
      </c>
      <c r="K11" s="14">
        <v>0.16228600000000001</v>
      </c>
      <c r="L11" s="14">
        <v>0.152949</v>
      </c>
      <c r="M11" s="14">
        <v>0.14301900000000001</v>
      </c>
      <c r="N11" s="14">
        <v>0.13261400000000001</v>
      </c>
      <c r="O11" s="14">
        <v>0.122007</v>
      </c>
      <c r="P11" s="14">
        <v>0.11156000000000001</v>
      </c>
      <c r="Q11" s="14">
        <v>0.101647</v>
      </c>
      <c r="R11" s="14">
        <v>9.2688999999999994E-2</v>
      </c>
      <c r="S11" s="14">
        <v>8.5040000000000004E-2</v>
      </c>
      <c r="T11" s="14">
        <v>7.8936999999999993E-2</v>
      </c>
      <c r="U11" s="14">
        <v>7.4398000000000006E-2</v>
      </c>
      <c r="V11" s="14">
        <v>7.1180999999999994E-2</v>
      </c>
      <c r="W11" s="14">
        <v>6.8981000000000001E-2</v>
      </c>
      <c r="X11" s="14">
        <v>6.8053000000000002E-2</v>
      </c>
      <c r="Y11" s="14">
        <v>6.8265999999999993E-2</v>
      </c>
      <c r="Z11" s="15">
        <v>6.8913000000000002E-2</v>
      </c>
      <c r="AA11" s="15">
        <v>6.9766999999999996E-2</v>
      </c>
      <c r="AB11" s="15">
        <v>7.0767999999999998E-2</v>
      </c>
      <c r="AC11" s="15">
        <v>7.1789000000000006E-2</v>
      </c>
      <c r="AD11" s="15">
        <v>7.2805999999999996E-2</v>
      </c>
      <c r="AE11" s="15">
        <v>7.3863999999999999E-2</v>
      </c>
      <c r="AF11" s="15">
        <v>7.4945999999999999E-2</v>
      </c>
    </row>
    <row r="12" spans="1:32" x14ac:dyDescent="0.35">
      <c r="A12" t="s">
        <v>204</v>
      </c>
      <c r="B12" s="16" t="s">
        <v>65</v>
      </c>
      <c r="C12" s="14">
        <v>1.2274999999999999E-2</v>
      </c>
      <c r="D12" s="14">
        <v>1.5100000000000001E-2</v>
      </c>
      <c r="E12" s="14">
        <v>1.8180000000000002E-2</v>
      </c>
      <c r="F12" s="14">
        <v>2.1357000000000001E-2</v>
      </c>
      <c r="G12" s="14">
        <v>2.4799000000000002E-2</v>
      </c>
      <c r="H12" s="14">
        <v>2.8684999999999999E-2</v>
      </c>
      <c r="I12" s="14">
        <v>3.2951000000000001E-2</v>
      </c>
      <c r="J12" s="14">
        <v>3.7581000000000003E-2</v>
      </c>
      <c r="K12" s="14">
        <v>4.2563999999999998E-2</v>
      </c>
      <c r="L12" s="14">
        <v>4.7872999999999999E-2</v>
      </c>
      <c r="M12" s="14">
        <v>5.3511000000000003E-2</v>
      </c>
      <c r="N12" s="14">
        <v>5.9404999999999999E-2</v>
      </c>
      <c r="O12" s="14">
        <v>6.5362000000000003E-2</v>
      </c>
      <c r="P12" s="14">
        <v>7.1263999999999994E-2</v>
      </c>
      <c r="Q12" s="14">
        <v>7.6980999999999994E-2</v>
      </c>
      <c r="R12" s="14">
        <v>8.2437999999999997E-2</v>
      </c>
      <c r="S12" s="14">
        <v>8.7597999999999995E-2</v>
      </c>
      <c r="T12" s="14">
        <v>9.2711000000000002E-2</v>
      </c>
      <c r="U12" s="14">
        <v>9.7784999999999997E-2</v>
      </c>
      <c r="V12" s="14">
        <v>0.10280300000000001</v>
      </c>
      <c r="W12" s="14">
        <v>0.107728</v>
      </c>
      <c r="X12" s="14">
        <v>0.112512</v>
      </c>
      <c r="Y12" s="14">
        <v>0.117118</v>
      </c>
      <c r="Z12" s="15">
        <v>0.12156699999999999</v>
      </c>
      <c r="AA12" s="15">
        <v>0.12586</v>
      </c>
      <c r="AB12" s="15">
        <v>0.12997</v>
      </c>
      <c r="AC12" s="15">
        <v>0.13381599999999999</v>
      </c>
      <c r="AD12" s="15">
        <v>0.13734299999999999</v>
      </c>
      <c r="AE12" s="15">
        <v>0.14056199999999999</v>
      </c>
      <c r="AF12" s="15">
        <v>0.143487</v>
      </c>
    </row>
    <row r="13" spans="1:32" x14ac:dyDescent="0.35">
      <c r="A13" t="s">
        <v>192</v>
      </c>
      <c r="B13" s="16" t="s">
        <v>55</v>
      </c>
      <c r="C13" s="14">
        <v>124.03193473</v>
      </c>
      <c r="D13" s="14">
        <v>127.24011356199999</v>
      </c>
      <c r="E13" s="14">
        <v>130.58533171900001</v>
      </c>
      <c r="F13" s="14">
        <v>134.015427023</v>
      </c>
      <c r="G13" s="14">
        <v>137.54716588300002</v>
      </c>
      <c r="H13" s="14">
        <v>141.19373553899999</v>
      </c>
      <c r="I13" s="14">
        <v>144.81895829699999</v>
      </c>
      <c r="J13" s="14">
        <v>148.31089071099998</v>
      </c>
      <c r="K13" s="14">
        <v>151.70561628099998</v>
      </c>
      <c r="L13" s="14">
        <v>154.935496812</v>
      </c>
      <c r="M13" s="14">
        <v>157.91720121899999</v>
      </c>
      <c r="N13" s="14">
        <v>160.664010031</v>
      </c>
      <c r="O13" s="14">
        <v>163.172020352</v>
      </c>
      <c r="P13" s="14">
        <v>165.39863610199998</v>
      </c>
      <c r="Q13" s="14">
        <v>167.35642797700001</v>
      </c>
      <c r="R13" s="14">
        <v>169.07055791399998</v>
      </c>
      <c r="S13" s="14">
        <v>170.58707801599999</v>
      </c>
      <c r="T13" s="14">
        <v>171.90661535199999</v>
      </c>
      <c r="U13" s="14">
        <v>173.088564445</v>
      </c>
      <c r="V13" s="14">
        <v>174.18038544500001</v>
      </c>
      <c r="W13" s="14">
        <v>175.14346708600002</v>
      </c>
      <c r="X13" s="14">
        <v>175.98377133599999</v>
      </c>
      <c r="Y13" s="14">
        <v>176.728313875</v>
      </c>
      <c r="Z13" s="14">
        <v>177.38405560900003</v>
      </c>
      <c r="AA13" s="15">
        <v>177.97139934399999</v>
      </c>
      <c r="AB13" s="15">
        <v>178.518429602</v>
      </c>
      <c r="AC13" s="15">
        <v>178.99983404699998</v>
      </c>
      <c r="AD13" s="15">
        <v>179.44353743800002</v>
      </c>
      <c r="AE13" s="15">
        <v>179.883328664</v>
      </c>
      <c r="AF13" s="15">
        <v>180.321231219</v>
      </c>
    </row>
    <row r="14" spans="1:32" x14ac:dyDescent="0.35">
      <c r="A14" t="s">
        <v>192</v>
      </c>
      <c r="B14" s="16" t="s">
        <v>56</v>
      </c>
      <c r="C14" s="14">
        <v>1.2110000000000001E-3</v>
      </c>
      <c r="D14" s="14">
        <v>1.225E-3</v>
      </c>
      <c r="E14" s="14">
        <v>1.2409999999999999E-3</v>
      </c>
      <c r="F14" s="14">
        <v>1.2520000000000001E-3</v>
      </c>
      <c r="G14" s="14">
        <v>1.263E-3</v>
      </c>
      <c r="H14" s="14">
        <v>1.271E-3</v>
      </c>
      <c r="I14" s="14">
        <v>1.2780000000000001E-3</v>
      </c>
      <c r="J14" s="14">
        <v>1.2780000000000001E-3</v>
      </c>
      <c r="K14" s="14">
        <v>1.273E-3</v>
      </c>
      <c r="L14" s="14">
        <v>1.261E-3</v>
      </c>
      <c r="M14" s="14">
        <v>1.2440000000000001E-3</v>
      </c>
      <c r="N14" s="14">
        <v>1.2210000000000001E-3</v>
      </c>
      <c r="O14" s="14">
        <v>1.194E-3</v>
      </c>
      <c r="P14" s="14">
        <v>1.16E-3</v>
      </c>
      <c r="Q14" s="14">
        <v>1.1199999999999999E-3</v>
      </c>
      <c r="R14" s="14">
        <v>1.0790000000000001E-3</v>
      </c>
      <c r="S14" s="14">
        <v>1.0330000000000001E-3</v>
      </c>
      <c r="T14" s="14">
        <v>9.8200000000000002E-4</v>
      </c>
      <c r="U14" s="14">
        <v>9.3099999999999997E-4</v>
      </c>
      <c r="V14" s="14">
        <v>8.7799999999999998E-4</v>
      </c>
      <c r="W14" s="14">
        <v>8.25E-4</v>
      </c>
      <c r="X14" s="14">
        <v>7.7300000000000003E-4</v>
      </c>
      <c r="Y14" s="14">
        <v>7.2199999999999999E-4</v>
      </c>
      <c r="Z14" s="14">
        <v>6.7100000000000005E-4</v>
      </c>
      <c r="AA14" s="15">
        <v>6.2799999999999998E-4</v>
      </c>
      <c r="AB14" s="15">
        <v>5.8600000000000004E-4</v>
      </c>
      <c r="AC14" s="15">
        <v>5.44E-4</v>
      </c>
      <c r="AD14" s="15">
        <v>5.0199999999999995E-4</v>
      </c>
      <c r="AE14" s="15">
        <v>4.6000000000000001E-4</v>
      </c>
      <c r="AF14" s="15">
        <v>4.1899999999999999E-4</v>
      </c>
    </row>
    <row r="15" spans="1:32" x14ac:dyDescent="0.35">
      <c r="A15" t="s">
        <v>192</v>
      </c>
      <c r="B15" s="16" t="s">
        <v>57</v>
      </c>
      <c r="C15" s="14">
        <v>5.4580999999999998E-2</v>
      </c>
      <c r="D15" s="14">
        <v>9.7881999999999997E-2</v>
      </c>
      <c r="E15" s="14">
        <v>0.14941399999999999</v>
      </c>
      <c r="F15" s="14">
        <v>0.20760600000000001</v>
      </c>
      <c r="G15" s="14">
        <v>0.26834599999999997</v>
      </c>
      <c r="H15" s="14">
        <v>0.33122600000000002</v>
      </c>
      <c r="I15" s="14">
        <v>0.39512799999999998</v>
      </c>
      <c r="J15" s="14">
        <v>0.45936300000000002</v>
      </c>
      <c r="K15" s="14">
        <v>0.52484600000000003</v>
      </c>
      <c r="L15" s="14">
        <v>0.59209999999999996</v>
      </c>
      <c r="M15" s="14">
        <v>0.65851800000000005</v>
      </c>
      <c r="N15" s="14">
        <v>0.72399599999999997</v>
      </c>
      <c r="O15" s="14">
        <v>0.78807700000000003</v>
      </c>
      <c r="P15" s="14">
        <v>0.85033000000000003</v>
      </c>
      <c r="Q15" s="14">
        <v>0.91017499999999996</v>
      </c>
      <c r="R15" s="14">
        <v>0.96740000000000004</v>
      </c>
      <c r="S15" s="14">
        <v>1.0220370000000001</v>
      </c>
      <c r="T15" s="14">
        <v>1.0734950000000001</v>
      </c>
      <c r="U15" s="14">
        <v>1.1214729999999999</v>
      </c>
      <c r="V15" s="14">
        <v>1.166253</v>
      </c>
      <c r="W15" s="14">
        <v>1.206815</v>
      </c>
      <c r="X15" s="14">
        <v>1.243174</v>
      </c>
      <c r="Y15" s="14">
        <v>1.2759069999999999</v>
      </c>
      <c r="Z15" s="14">
        <v>1.305021</v>
      </c>
      <c r="AA15" s="15">
        <v>1.3312330000000001</v>
      </c>
      <c r="AB15" s="15">
        <v>1.3551150000000001</v>
      </c>
      <c r="AC15" s="15">
        <v>1.3762239999999999</v>
      </c>
      <c r="AD15" s="15">
        <v>1.395238</v>
      </c>
      <c r="AE15" s="15">
        <v>1.413087</v>
      </c>
      <c r="AF15" s="15">
        <v>1.429932</v>
      </c>
    </row>
    <row r="16" spans="1:32" x14ac:dyDescent="0.35">
      <c r="A16" t="s">
        <v>192</v>
      </c>
      <c r="B16" s="16" t="s">
        <v>58</v>
      </c>
      <c r="C16" s="14">
        <v>0.17292758599999999</v>
      </c>
      <c r="D16" s="14">
        <v>0.32445219700000005</v>
      </c>
      <c r="E16" s="14">
        <v>0.50962695199999997</v>
      </c>
      <c r="F16" s="14">
        <v>0.72936472400000008</v>
      </c>
      <c r="G16" s="14">
        <v>0.96865955299999995</v>
      </c>
      <c r="H16" s="14">
        <v>1.225026497</v>
      </c>
      <c r="I16" s="14">
        <v>1.493845369</v>
      </c>
      <c r="J16" s="14">
        <v>1.772103102</v>
      </c>
      <c r="K16" s="14">
        <v>2.0643178169999996</v>
      </c>
      <c r="L16" s="14">
        <v>2.370744314</v>
      </c>
      <c r="M16" s="14">
        <v>2.6943935919999999</v>
      </c>
      <c r="N16" s="14">
        <v>3.0352896390000002</v>
      </c>
      <c r="O16" s="14">
        <v>3.3925044460000002</v>
      </c>
      <c r="P16" s="14">
        <v>3.764365975</v>
      </c>
      <c r="Q16" s="14">
        <v>4.1482681960000001</v>
      </c>
      <c r="R16" s="14">
        <v>4.5442811350000003</v>
      </c>
      <c r="S16" s="14">
        <v>4.9525268110000003</v>
      </c>
      <c r="T16" s="14">
        <v>5.3723192009999998</v>
      </c>
      <c r="U16" s="14">
        <v>5.7992813129999998</v>
      </c>
      <c r="V16" s="14">
        <v>6.236033172</v>
      </c>
      <c r="W16" s="14">
        <v>6.6773927090000003</v>
      </c>
      <c r="X16" s="14">
        <v>7.1200839030000003</v>
      </c>
      <c r="Y16" s="14">
        <v>7.5685087759999998</v>
      </c>
      <c r="Z16" s="14">
        <v>8.0215143159999993</v>
      </c>
      <c r="AA16" s="15">
        <v>8.4787075690000009</v>
      </c>
      <c r="AB16" s="15">
        <v>8.9428755379999991</v>
      </c>
      <c r="AC16" s="15">
        <v>9.4060801709999993</v>
      </c>
      <c r="AD16" s="15">
        <v>9.8660664850000011</v>
      </c>
      <c r="AE16" s="15">
        <v>10.325788526</v>
      </c>
      <c r="AF16" s="15">
        <v>10.785335303</v>
      </c>
    </row>
    <row r="17" spans="1:32" x14ac:dyDescent="0.35">
      <c r="A17" t="s">
        <v>192</v>
      </c>
      <c r="B17" s="16" t="s">
        <v>59</v>
      </c>
      <c r="C17" s="14">
        <v>17.496743414000001</v>
      </c>
      <c r="D17" s="14">
        <v>17.600727307</v>
      </c>
      <c r="E17" s="14">
        <v>17.677282503000001</v>
      </c>
      <c r="F17" s="14">
        <v>17.719744677999998</v>
      </c>
      <c r="G17" s="14">
        <v>17.734270561999999</v>
      </c>
      <c r="H17" s="14">
        <v>17.720748323999999</v>
      </c>
      <c r="I17" s="14">
        <v>17.672927602000001</v>
      </c>
      <c r="J17" s="14">
        <v>17.588981723</v>
      </c>
      <c r="K17" s="14">
        <v>17.480949396</v>
      </c>
      <c r="L17" s="14">
        <v>17.349141498000002</v>
      </c>
      <c r="M17" s="14">
        <v>17.197644191000002</v>
      </c>
      <c r="N17" s="14">
        <v>17.046173225</v>
      </c>
      <c r="O17" s="14">
        <v>16.902685733999999</v>
      </c>
      <c r="P17" s="14">
        <v>16.770630979</v>
      </c>
      <c r="Q17" s="14">
        <v>16.661508248000001</v>
      </c>
      <c r="R17" s="14">
        <v>16.586304648000002</v>
      </c>
      <c r="S17" s="14">
        <v>16.547595570000002</v>
      </c>
      <c r="T17" s="14">
        <v>16.546085941000001</v>
      </c>
      <c r="U17" s="14">
        <v>16.580552637</v>
      </c>
      <c r="V17" s="14">
        <v>16.644393395000002</v>
      </c>
      <c r="W17" s="14">
        <v>16.725117039000001</v>
      </c>
      <c r="X17" s="14">
        <v>16.824037391000001</v>
      </c>
      <c r="Y17" s="14">
        <v>16.936776668</v>
      </c>
      <c r="Z17" s="14">
        <v>17.055458723000001</v>
      </c>
      <c r="AA17" s="15">
        <v>17.183000925999998</v>
      </c>
      <c r="AB17" s="15">
        <v>17.320076691000001</v>
      </c>
      <c r="AC17" s="15">
        <v>17.460637612999999</v>
      </c>
      <c r="AD17" s="15">
        <v>17.609468648</v>
      </c>
      <c r="AE17" s="15">
        <v>17.766246390999999</v>
      </c>
      <c r="AF17" s="15">
        <v>17.934249820000002</v>
      </c>
    </row>
    <row r="18" spans="1:32" x14ac:dyDescent="0.35">
      <c r="A18" t="s">
        <v>192</v>
      </c>
      <c r="B18" s="16" t="s">
        <v>218</v>
      </c>
      <c r="C18" s="14">
        <v>5.8331860430000004</v>
      </c>
      <c r="D18" s="14">
        <v>6.0075742660000007</v>
      </c>
      <c r="E18" s="14">
        <v>6.1866530510000004</v>
      </c>
      <c r="F18" s="14">
        <v>6.3628517230000003</v>
      </c>
      <c r="G18" s="14">
        <v>6.5396625270000008</v>
      </c>
      <c r="H18" s="14">
        <v>6.722126492000001</v>
      </c>
      <c r="I18" s="14">
        <v>6.9029675159999995</v>
      </c>
      <c r="J18" s="14">
        <v>7.0793397659999995</v>
      </c>
      <c r="K18" s="14">
        <v>7.2533892849999999</v>
      </c>
      <c r="L18" s="14">
        <v>7.4208423319999994</v>
      </c>
      <c r="M18" s="14">
        <v>7.5738687110000003</v>
      </c>
      <c r="N18" s="14">
        <v>7.7366628090000003</v>
      </c>
      <c r="O18" s="14">
        <v>7.8873467660000003</v>
      </c>
      <c r="P18" s="14">
        <v>8.0293070469999996</v>
      </c>
      <c r="Q18" s="14">
        <v>8.1526439569999987</v>
      </c>
      <c r="R18" s="14">
        <v>8.2662899379999999</v>
      </c>
      <c r="S18" s="14">
        <v>8.370393945</v>
      </c>
      <c r="T18" s="14">
        <v>8.4629064490000001</v>
      </c>
      <c r="U18" s="14">
        <v>8.5541975309999998</v>
      </c>
      <c r="V18" s="14">
        <v>8.6397562380000004</v>
      </c>
      <c r="W18" s="14">
        <v>8.7373446880000003</v>
      </c>
      <c r="X18" s="14">
        <v>8.8416869299999998</v>
      </c>
      <c r="Y18" s="14">
        <v>8.9711352930000015</v>
      </c>
      <c r="Z18" s="14">
        <v>9.1156886559999997</v>
      </c>
      <c r="AA18" s="15">
        <v>9.2602275939999998</v>
      </c>
      <c r="AB18" s="15">
        <v>9.4039763090000008</v>
      </c>
      <c r="AC18" s="15">
        <v>9.5477891170000007</v>
      </c>
      <c r="AD18" s="15">
        <v>9.6901922190000001</v>
      </c>
      <c r="AE18" s="15">
        <v>9.8169517420000005</v>
      </c>
      <c r="AF18" s="15">
        <v>9.9317202269999996</v>
      </c>
    </row>
    <row r="19" spans="1:32" x14ac:dyDescent="0.35">
      <c r="A19" t="s">
        <v>192</v>
      </c>
      <c r="B19" s="16" t="s">
        <v>61</v>
      </c>
      <c r="C19" s="14">
        <v>2.9621199000000001E-2</v>
      </c>
      <c r="D19" s="14">
        <v>3.1271495999999996E-2</v>
      </c>
      <c r="E19" s="14">
        <v>3.3190786E-2</v>
      </c>
      <c r="F19" s="14">
        <v>3.5328314E-2</v>
      </c>
      <c r="G19" s="14">
        <v>3.7612181000000001E-2</v>
      </c>
      <c r="H19" s="14">
        <v>4.0063397000000001E-2</v>
      </c>
      <c r="I19" s="14">
        <v>4.2597218999999999E-2</v>
      </c>
      <c r="J19" s="14">
        <v>4.5133929000000003E-2</v>
      </c>
      <c r="K19" s="14">
        <v>4.7727564E-2</v>
      </c>
      <c r="L19" s="14">
        <v>5.0327366999999998E-2</v>
      </c>
      <c r="M19" s="14">
        <v>5.2930158000000005E-2</v>
      </c>
      <c r="N19" s="14">
        <v>5.5508471000000004E-2</v>
      </c>
      <c r="O19" s="14">
        <v>5.8023447000000006E-2</v>
      </c>
      <c r="P19" s="14">
        <v>6.0601125999999998E-2</v>
      </c>
      <c r="Q19" s="14">
        <v>6.3206758000000002E-2</v>
      </c>
      <c r="R19" s="14">
        <v>6.5849413999999995E-2</v>
      </c>
      <c r="S19" s="14">
        <v>6.8538917000000005E-2</v>
      </c>
      <c r="T19" s="14">
        <v>7.1256504999999998E-2</v>
      </c>
      <c r="U19" s="14">
        <v>7.4005105000000002E-2</v>
      </c>
      <c r="V19" s="14">
        <v>7.6788453999999992E-2</v>
      </c>
      <c r="W19" s="14">
        <v>7.9580973000000013E-2</v>
      </c>
      <c r="X19" s="14">
        <v>8.2380022999999997E-2</v>
      </c>
      <c r="Y19" s="14">
        <v>8.5207966999999996E-2</v>
      </c>
      <c r="Z19" s="14">
        <v>8.8061054E-2</v>
      </c>
      <c r="AA19" s="15">
        <v>9.0964933999999997E-2</v>
      </c>
      <c r="AB19" s="15">
        <v>9.3879351E-2</v>
      </c>
      <c r="AC19" s="15">
        <v>9.6760118000000006E-2</v>
      </c>
      <c r="AD19" s="15">
        <v>9.9737799999999988E-2</v>
      </c>
      <c r="AE19" s="15">
        <v>0.102828668</v>
      </c>
      <c r="AF19" s="15">
        <v>0.10611132600000001</v>
      </c>
    </row>
    <row r="20" spans="1:32" x14ac:dyDescent="0.35">
      <c r="A20" t="s">
        <v>192</v>
      </c>
      <c r="B20" s="16" t="s">
        <v>62</v>
      </c>
      <c r="C20" s="14">
        <v>1.361432</v>
      </c>
      <c r="D20" s="14">
        <v>1.9009750000000001</v>
      </c>
      <c r="E20" s="14">
        <v>2.4832580000000002</v>
      </c>
      <c r="F20" s="14">
        <v>3.073788</v>
      </c>
      <c r="G20" s="14">
        <v>3.6655570000000002</v>
      </c>
      <c r="H20" s="14">
        <v>4.2602029999999997</v>
      </c>
      <c r="I20" s="14">
        <v>4.8492050000000004</v>
      </c>
      <c r="J20" s="14">
        <v>5.4278639999999996</v>
      </c>
      <c r="K20" s="14">
        <v>5.9984659999999996</v>
      </c>
      <c r="L20" s="14">
        <v>6.5609890000000002</v>
      </c>
      <c r="M20" s="14">
        <v>7.1151390000000001</v>
      </c>
      <c r="N20" s="14">
        <v>7.6566720000000004</v>
      </c>
      <c r="O20" s="14">
        <v>8.1844190000000001</v>
      </c>
      <c r="P20" s="14">
        <v>8.6934920000000009</v>
      </c>
      <c r="Q20" s="14">
        <v>9.1786910000000006</v>
      </c>
      <c r="R20" s="14">
        <v>9.6400240000000004</v>
      </c>
      <c r="S20" s="14">
        <v>10.078022000000001</v>
      </c>
      <c r="T20" s="14">
        <v>10.490627</v>
      </c>
      <c r="U20" s="14">
        <v>10.877283</v>
      </c>
      <c r="V20" s="14">
        <v>11.241063</v>
      </c>
      <c r="W20" s="14">
        <v>11.578118</v>
      </c>
      <c r="X20" s="14">
        <v>11.888999</v>
      </c>
      <c r="Y20" s="14">
        <v>12.178069000000001</v>
      </c>
      <c r="Z20" s="14">
        <v>12.447089999999999</v>
      </c>
      <c r="AA20" s="15">
        <v>12.702023000000001</v>
      </c>
      <c r="AB20" s="15">
        <v>12.947836000000001</v>
      </c>
      <c r="AC20" s="15">
        <v>13.181870999999999</v>
      </c>
      <c r="AD20" s="15">
        <v>13.406072</v>
      </c>
      <c r="AE20" s="15">
        <v>13.623893000000001</v>
      </c>
      <c r="AF20" s="15">
        <v>13.835825</v>
      </c>
    </row>
    <row r="21" spans="1:32" x14ac:dyDescent="0.35">
      <c r="A21" t="s">
        <v>192</v>
      </c>
      <c r="B21" s="16" t="s">
        <v>63</v>
      </c>
      <c r="C21" s="14">
        <v>0.144815</v>
      </c>
      <c r="D21" s="14">
        <v>0.204095</v>
      </c>
      <c r="E21" s="14">
        <v>0.26401799999999997</v>
      </c>
      <c r="F21" s="14">
        <v>0.322658</v>
      </c>
      <c r="G21" s="14">
        <v>0.37985799999999997</v>
      </c>
      <c r="H21" s="14">
        <v>0.43646600000000002</v>
      </c>
      <c r="I21" s="14">
        <v>0.49207499999999998</v>
      </c>
      <c r="J21" s="14">
        <v>0.54652999999999996</v>
      </c>
      <c r="K21" s="14">
        <v>0.60038499999999995</v>
      </c>
      <c r="L21" s="14">
        <v>0.65416399999999997</v>
      </c>
      <c r="M21" s="14">
        <v>0.70808599999999999</v>
      </c>
      <c r="N21" s="14">
        <v>0.76210800000000001</v>
      </c>
      <c r="O21" s="14">
        <v>0.81611400000000001</v>
      </c>
      <c r="P21" s="14">
        <v>0.86977599999999999</v>
      </c>
      <c r="Q21" s="14">
        <v>0.92245900000000003</v>
      </c>
      <c r="R21" s="14">
        <v>0.97417600000000004</v>
      </c>
      <c r="S21" s="14">
        <v>1.0251479999999999</v>
      </c>
      <c r="T21" s="14">
        <v>1.075202</v>
      </c>
      <c r="U21" s="14">
        <v>1.124161</v>
      </c>
      <c r="V21" s="14">
        <v>1.172525</v>
      </c>
      <c r="W21" s="14">
        <v>1.219684</v>
      </c>
      <c r="X21" s="14">
        <v>1.2654540000000001</v>
      </c>
      <c r="Y21" s="14">
        <v>1.310575</v>
      </c>
      <c r="Z21" s="14">
        <v>1.3548800000000001</v>
      </c>
      <c r="AA21" s="15">
        <v>1.398714</v>
      </c>
      <c r="AB21" s="15">
        <v>1.4426559999999999</v>
      </c>
      <c r="AC21" s="15">
        <v>1.486</v>
      </c>
      <c r="AD21" s="15">
        <v>1.5286960000000001</v>
      </c>
      <c r="AE21" s="15">
        <v>1.5710029999999999</v>
      </c>
      <c r="AF21" s="15">
        <v>1.612841</v>
      </c>
    </row>
    <row r="22" spans="1:32" x14ac:dyDescent="0.35">
      <c r="A22" t="s">
        <v>192</v>
      </c>
      <c r="B22" s="16" t="s">
        <v>64</v>
      </c>
      <c r="C22" s="14">
        <v>3.9378621000000003E-2</v>
      </c>
      <c r="D22" s="14">
        <v>0.21826271300000002</v>
      </c>
      <c r="E22" s="14">
        <v>0.43795792499999997</v>
      </c>
      <c r="F22" s="14">
        <v>0.66085608299999998</v>
      </c>
      <c r="G22" s="14">
        <v>0.88215106900000007</v>
      </c>
      <c r="H22" s="14">
        <v>1.1027574800000002</v>
      </c>
      <c r="I22" s="14">
        <v>1.3209078460000001</v>
      </c>
      <c r="J22" s="14">
        <v>1.5360557539999999</v>
      </c>
      <c r="K22" s="14">
        <v>1.750316078</v>
      </c>
      <c r="L22" s="14">
        <v>1.9657645530000001</v>
      </c>
      <c r="M22" s="14">
        <v>2.183821499</v>
      </c>
      <c r="N22" s="14">
        <v>2.404209942</v>
      </c>
      <c r="O22" s="14">
        <v>2.6255113539999999</v>
      </c>
      <c r="P22" s="14">
        <v>2.8465035470000002</v>
      </c>
      <c r="Q22" s="14">
        <v>3.0651825609999999</v>
      </c>
      <c r="R22" s="14">
        <v>3.280453992</v>
      </c>
      <c r="S22" s="14">
        <v>3.49177515</v>
      </c>
      <c r="T22" s="14">
        <v>3.6982873029999999</v>
      </c>
      <c r="U22" s="14">
        <v>3.8987537810000004</v>
      </c>
      <c r="V22" s="14">
        <v>4.0933197479999999</v>
      </c>
      <c r="W22" s="14">
        <v>4.2799199220000004</v>
      </c>
      <c r="X22" s="14">
        <v>4.4579391230000001</v>
      </c>
      <c r="Y22" s="14">
        <v>4.6288477060000002</v>
      </c>
      <c r="Z22" s="14">
        <v>4.7932249899999997</v>
      </c>
      <c r="AA22" s="15">
        <v>4.9529086150000001</v>
      </c>
      <c r="AB22" s="15">
        <v>5.1087671490000002</v>
      </c>
      <c r="AC22" s="15">
        <v>5.2612625029999993</v>
      </c>
      <c r="AD22" s="15">
        <v>5.4108441580000006</v>
      </c>
      <c r="AE22" s="15">
        <v>5.5585680689999997</v>
      </c>
      <c r="AF22" s="15">
        <v>5.7044228599999993</v>
      </c>
    </row>
    <row r="23" spans="1:32" x14ac:dyDescent="0.35">
      <c r="A23" t="s">
        <v>192</v>
      </c>
      <c r="B23" s="16" t="s">
        <v>65</v>
      </c>
      <c r="C23" s="14">
        <v>9.9999999999999995E-7</v>
      </c>
      <c r="D23" s="14">
        <v>5.0000000000000004E-6</v>
      </c>
      <c r="E23" s="14">
        <v>1.2999999999999999E-5</v>
      </c>
      <c r="F23" s="14">
        <v>2.5999999999999998E-5</v>
      </c>
      <c r="G23" s="14">
        <v>4.5000000000000003E-5</v>
      </c>
      <c r="H23" s="14">
        <v>6.7999999999999999E-5</v>
      </c>
      <c r="I23" s="14">
        <v>9.7E-5</v>
      </c>
      <c r="J23" s="14">
        <v>1.3100000000000001E-4</v>
      </c>
      <c r="K23" s="14">
        <v>1.7100000000000001E-4</v>
      </c>
      <c r="L23" s="14">
        <v>2.1699999999999999E-4</v>
      </c>
      <c r="M23" s="14">
        <v>2.6800000000000001E-4</v>
      </c>
      <c r="N23" s="14">
        <v>3.2600000000000001E-4</v>
      </c>
      <c r="O23" s="14">
        <v>3.8900000000000002E-4</v>
      </c>
      <c r="P23" s="14">
        <v>4.6000000000000001E-4</v>
      </c>
      <c r="Q23" s="14">
        <v>5.3700000000000004E-4</v>
      </c>
      <c r="R23" s="14">
        <v>6.2299999999999996E-4</v>
      </c>
      <c r="S23" s="14">
        <v>7.1699999999999997E-4</v>
      </c>
      <c r="T23" s="14">
        <v>8.1999999999999998E-4</v>
      </c>
      <c r="U23" s="14">
        <v>9.3300000000000002E-4</v>
      </c>
      <c r="V23" s="14">
        <v>1.0560000000000001E-3</v>
      </c>
      <c r="W23" s="14">
        <v>1.191E-3</v>
      </c>
      <c r="X23" s="14">
        <v>1.3359999999999999E-3</v>
      </c>
      <c r="Y23" s="14">
        <v>1.493E-3</v>
      </c>
      <c r="Z23" s="14">
        <v>1.6609999999999999E-3</v>
      </c>
      <c r="AA23" s="15">
        <v>1.843E-3</v>
      </c>
      <c r="AB23" s="15">
        <v>2.0379999999999999E-3</v>
      </c>
      <c r="AC23" s="15">
        <v>2.2439999999999999E-3</v>
      </c>
      <c r="AD23" s="15">
        <v>2.4629999999999999E-3</v>
      </c>
      <c r="AE23" s="15">
        <v>2.6949999999999999E-3</v>
      </c>
      <c r="AF23" s="15">
        <v>2.9399999999999999E-3</v>
      </c>
    </row>
    <row r="24" spans="1:32" x14ac:dyDescent="0.35">
      <c r="A24" t="s">
        <v>222</v>
      </c>
      <c r="B24" s="16" t="s">
        <v>156</v>
      </c>
      <c r="C24" s="14">
        <v>5.1051279999999997</v>
      </c>
      <c r="D24" s="14">
        <v>5.2969710000000001</v>
      </c>
      <c r="E24" s="14">
        <v>5.4910589999999999</v>
      </c>
      <c r="F24" s="14">
        <v>5.6818290000000005</v>
      </c>
      <c r="G24" s="14">
        <v>5.87087</v>
      </c>
      <c r="H24" s="14">
        <v>6.0604259999999996</v>
      </c>
      <c r="I24" s="14">
        <v>6.2426010000000005</v>
      </c>
      <c r="J24" s="14">
        <v>6.4145849999999998</v>
      </c>
      <c r="K24" s="14">
        <v>6.5775350000000001</v>
      </c>
      <c r="L24" s="14">
        <v>6.7344330000000001</v>
      </c>
      <c r="M24" s="14">
        <v>6.881704</v>
      </c>
      <c r="N24" s="14">
        <v>7.0231759999999994</v>
      </c>
      <c r="O24" s="14">
        <v>7.1453059999999997</v>
      </c>
      <c r="P24" s="14">
        <v>7.2557179999999999</v>
      </c>
      <c r="Q24" s="14">
        <v>7.3553510000000006</v>
      </c>
      <c r="R24" s="14">
        <v>7.4508559999999999</v>
      </c>
      <c r="S24" s="14">
        <v>7.5433129999999995</v>
      </c>
      <c r="T24" s="14">
        <v>7.6321010000000005</v>
      </c>
      <c r="U24" s="14">
        <v>7.7110950000000003</v>
      </c>
      <c r="V24" s="14">
        <v>7.7786720000000003</v>
      </c>
      <c r="W24" s="14">
        <v>7.8410930000000008</v>
      </c>
      <c r="X24" s="14">
        <v>7.899527</v>
      </c>
      <c r="Y24" s="14">
        <v>7.972893</v>
      </c>
      <c r="Z24" s="14">
        <v>8.0559520000000013</v>
      </c>
      <c r="AA24" s="14">
        <v>8.1346239999999987</v>
      </c>
      <c r="AB24" s="14">
        <v>8.2057350000000007</v>
      </c>
      <c r="AC24" s="14">
        <v>8.2780629999999995</v>
      </c>
      <c r="AD24" s="14">
        <v>8.3482810000000001</v>
      </c>
      <c r="AE24" s="14">
        <v>8.4092009999999995</v>
      </c>
      <c r="AF24" s="14">
        <v>8.4671290000000017</v>
      </c>
    </row>
    <row r="25" spans="1:32" x14ac:dyDescent="0.35">
      <c r="A25" t="s">
        <v>222</v>
      </c>
      <c r="B25" s="16" t="s">
        <v>182</v>
      </c>
      <c r="C25" s="14">
        <v>2.6444559999999999</v>
      </c>
      <c r="D25" s="14">
        <v>2.6935289999999998</v>
      </c>
      <c r="E25" s="14">
        <v>2.7530039999999998</v>
      </c>
      <c r="F25" s="14">
        <v>2.8197670000000001</v>
      </c>
      <c r="G25" s="14">
        <v>2.8940960000000002</v>
      </c>
      <c r="H25" s="14">
        <v>2.975616</v>
      </c>
      <c r="I25" s="14">
        <v>3.0608430000000002</v>
      </c>
      <c r="J25" s="14">
        <v>3.1458889999999999</v>
      </c>
      <c r="K25" s="14">
        <v>3.2316090000000002</v>
      </c>
      <c r="L25" s="14">
        <v>3.3207779999999998</v>
      </c>
      <c r="M25" s="14">
        <v>3.4092899999999999</v>
      </c>
      <c r="N25" s="14">
        <v>3.5020999999999995</v>
      </c>
      <c r="O25" s="14">
        <v>3.592994</v>
      </c>
      <c r="P25" s="14">
        <v>3.685146</v>
      </c>
      <c r="Q25" s="14">
        <v>3.7799250000000004</v>
      </c>
      <c r="R25" s="14">
        <v>3.8792960000000001</v>
      </c>
      <c r="S25" s="14">
        <v>3.9844080000000002</v>
      </c>
      <c r="T25" s="14">
        <v>4.0927569999999998</v>
      </c>
      <c r="U25" s="14">
        <v>4.2057180000000001</v>
      </c>
      <c r="V25" s="14">
        <v>4.3221129999999999</v>
      </c>
      <c r="W25" s="14">
        <v>4.4463620000000006</v>
      </c>
      <c r="X25" s="14">
        <v>4.5729069999999998</v>
      </c>
      <c r="Y25" s="14">
        <v>4.7087880000000002</v>
      </c>
      <c r="Z25" s="14">
        <v>4.8546620000000003</v>
      </c>
      <c r="AA25" s="14">
        <v>5.0049000000000001</v>
      </c>
      <c r="AB25" s="14">
        <v>5.1578869999999997</v>
      </c>
      <c r="AC25" s="14">
        <v>5.3139129999999994</v>
      </c>
      <c r="AD25" s="14">
        <v>5.4707340000000002</v>
      </c>
      <c r="AE25" s="14">
        <v>5.6268919999999998</v>
      </c>
      <c r="AF25" s="14">
        <v>5.7826040000000001</v>
      </c>
    </row>
    <row r="26" spans="1:32" x14ac:dyDescent="0.35">
      <c r="A26" t="s">
        <v>222</v>
      </c>
      <c r="B26" s="16" t="s">
        <v>66</v>
      </c>
      <c r="C26" s="14">
        <v>7.0089999999999996E-3</v>
      </c>
      <c r="D26" s="14">
        <v>8.2509999999999997E-3</v>
      </c>
      <c r="E26" s="14">
        <v>9.5610000000000001E-3</v>
      </c>
      <c r="F26" s="14">
        <v>1.0905000000000001E-2</v>
      </c>
      <c r="G26" s="14">
        <v>1.2282E-2</v>
      </c>
      <c r="H26" s="14">
        <v>1.3701000000000001E-2</v>
      </c>
      <c r="I26" s="14">
        <v>1.5122999999999999E-2</v>
      </c>
      <c r="J26" s="14">
        <v>1.6541E-2</v>
      </c>
      <c r="K26" s="14">
        <v>1.7963E-2</v>
      </c>
      <c r="L26" s="14">
        <v>1.9404000000000001E-2</v>
      </c>
      <c r="M26" s="14">
        <v>2.0854999999999999E-2</v>
      </c>
      <c r="N26" s="14">
        <v>2.2316000000000003E-2</v>
      </c>
      <c r="O26" s="14">
        <v>2.3805999999999997E-2</v>
      </c>
      <c r="P26" s="14">
        <v>2.5283999999999997E-2</v>
      </c>
      <c r="Q26" s="14">
        <v>2.6762999999999999E-2</v>
      </c>
      <c r="R26" s="14">
        <v>2.8277E-2</v>
      </c>
      <c r="S26" s="14">
        <v>2.9844000000000002E-2</v>
      </c>
      <c r="T26" s="14">
        <v>3.1460000000000002E-2</v>
      </c>
      <c r="U26" s="14">
        <v>3.3138000000000001E-2</v>
      </c>
      <c r="V26" s="14">
        <v>3.4879999999999994E-2</v>
      </c>
      <c r="W26" s="14">
        <v>3.6658999999999997E-2</v>
      </c>
      <c r="X26" s="14">
        <v>3.8487E-2</v>
      </c>
      <c r="Y26" s="14">
        <v>4.0349000000000003E-2</v>
      </c>
      <c r="Z26" s="14">
        <v>4.2254000000000007E-2</v>
      </c>
      <c r="AA26" s="14">
        <v>4.4239000000000007E-2</v>
      </c>
      <c r="AB26" s="14">
        <v>4.6299999999999994E-2</v>
      </c>
      <c r="AC26" s="14">
        <v>4.8403000000000009E-2</v>
      </c>
      <c r="AD26" s="14">
        <v>5.0542999999999998E-2</v>
      </c>
      <c r="AE26" s="14">
        <v>5.2707999999999998E-2</v>
      </c>
      <c r="AF26" s="14">
        <v>5.4996999999999997E-2</v>
      </c>
    </row>
    <row r="27" spans="1:32" x14ac:dyDescent="0.35">
      <c r="A27" t="s">
        <v>222</v>
      </c>
      <c r="B27" s="16" t="s">
        <v>183</v>
      </c>
      <c r="C27" s="14">
        <v>0.25736900000000001</v>
      </c>
      <c r="D27" s="14">
        <v>0.26880700000000002</v>
      </c>
      <c r="E27" s="14">
        <v>0.28025699999999998</v>
      </c>
      <c r="F27" s="14">
        <v>0.29145900000000002</v>
      </c>
      <c r="G27" s="14">
        <v>0.30239099999999997</v>
      </c>
      <c r="H27" s="14">
        <v>0.31315700000000002</v>
      </c>
      <c r="I27" s="14">
        <v>0.32351600000000003</v>
      </c>
      <c r="J27" s="14">
        <v>0.33341900000000002</v>
      </c>
      <c r="K27" s="14">
        <v>0.34304899999999999</v>
      </c>
      <c r="L27" s="14">
        <v>0.35247600000000001</v>
      </c>
      <c r="M27" s="14">
        <v>0.361682</v>
      </c>
      <c r="N27" s="14">
        <v>0.37069200000000002</v>
      </c>
      <c r="O27" s="14">
        <v>0.37958400000000003</v>
      </c>
      <c r="P27" s="14">
        <v>0.388372</v>
      </c>
      <c r="Q27" s="14">
        <v>0.397032</v>
      </c>
      <c r="R27" s="14">
        <v>0.40565700000000005</v>
      </c>
      <c r="S27" s="14">
        <v>0.41440500000000002</v>
      </c>
      <c r="T27" s="14">
        <v>0.42329600000000001</v>
      </c>
      <c r="U27" s="14">
        <v>0.43244800000000005</v>
      </c>
      <c r="V27" s="14">
        <v>0.44192700000000001</v>
      </c>
      <c r="W27" s="14">
        <v>0.45159300000000002</v>
      </c>
      <c r="X27" s="14">
        <v>0.46150199999999997</v>
      </c>
      <c r="Y27" s="14">
        <v>0.47179700000000002</v>
      </c>
      <c r="Z27" s="14">
        <v>0.48116700000000001</v>
      </c>
      <c r="AA27" s="14">
        <v>0.487869</v>
      </c>
      <c r="AB27" s="14">
        <v>0.49281799999999998</v>
      </c>
      <c r="AC27" s="14">
        <v>0.496479</v>
      </c>
      <c r="AD27" s="14">
        <v>0.49984799999999996</v>
      </c>
      <c r="AE27" s="14">
        <v>0.50066100000000002</v>
      </c>
      <c r="AF27" s="14">
        <v>0.50140099999999999</v>
      </c>
    </row>
    <row r="28" spans="1:32" x14ac:dyDescent="0.35">
      <c r="A28" t="s">
        <v>222</v>
      </c>
      <c r="B28" s="16" t="s">
        <v>219</v>
      </c>
      <c r="C28" s="14">
        <v>2.05E-4</v>
      </c>
      <c r="D28" s="14">
        <v>2.23E-4</v>
      </c>
      <c r="E28" s="14">
        <v>2.3900000000000001E-4</v>
      </c>
      <c r="F28" s="14">
        <v>2.5399999999999999E-4</v>
      </c>
      <c r="G28" s="14">
        <v>2.6699999999999998E-4</v>
      </c>
      <c r="H28" s="14">
        <v>2.7900000000000001E-4</v>
      </c>
      <c r="I28" s="14">
        <v>2.8899999999999998E-4</v>
      </c>
      <c r="J28" s="14">
        <v>2.99E-4</v>
      </c>
      <c r="K28" s="14">
        <v>3.0699999999999998E-4</v>
      </c>
      <c r="L28" s="14">
        <v>3.1300000000000002E-4</v>
      </c>
      <c r="M28" s="14">
        <v>3.19E-4</v>
      </c>
      <c r="N28" s="14">
        <v>3.2299999999999999E-4</v>
      </c>
      <c r="O28" s="14">
        <v>3.2600000000000001E-4</v>
      </c>
      <c r="P28" s="14">
        <v>3.2899999999999997E-4</v>
      </c>
      <c r="Q28" s="14">
        <v>3.3199999999999999E-4</v>
      </c>
      <c r="R28" s="14">
        <v>3.3300000000000002E-4</v>
      </c>
      <c r="S28" s="14">
        <v>3.3399999999999999E-4</v>
      </c>
      <c r="T28" s="14">
        <v>3.3300000000000002E-4</v>
      </c>
      <c r="U28" s="14">
        <v>3.3299999999999996E-4</v>
      </c>
      <c r="V28" s="14">
        <v>3.3199999999999999E-4</v>
      </c>
      <c r="W28" s="14">
        <v>3.3100000000000002E-4</v>
      </c>
      <c r="X28" s="14">
        <v>3.2899999999999997E-4</v>
      </c>
      <c r="Y28" s="14">
        <v>3.2700000000000003E-4</v>
      </c>
      <c r="Z28" s="14">
        <v>3.1800000000000003E-4</v>
      </c>
      <c r="AA28" s="14">
        <v>3.0499999999999999E-4</v>
      </c>
      <c r="AB28" s="14">
        <v>2.9600000000000004E-4</v>
      </c>
      <c r="AC28" s="14">
        <v>2.8899999999999998E-4</v>
      </c>
      <c r="AD28" s="14">
        <v>2.8299999999999999E-4</v>
      </c>
      <c r="AE28" s="14">
        <v>2.7700000000000001E-4</v>
      </c>
      <c r="AF28" s="14">
        <v>2.7300000000000002E-4</v>
      </c>
    </row>
    <row r="29" spans="1:32" x14ac:dyDescent="0.35">
      <c r="A29" t="s">
        <v>222</v>
      </c>
      <c r="B29" s="16" t="s">
        <v>68</v>
      </c>
      <c r="C29" s="14">
        <v>7.4599999999999992E-4</v>
      </c>
      <c r="D29" s="14">
        <v>1.526E-3</v>
      </c>
      <c r="E29" s="14">
        <v>2.3540000000000002E-3</v>
      </c>
      <c r="F29" s="14">
        <v>3.215E-3</v>
      </c>
      <c r="G29" s="14">
        <v>4.1120000000000002E-3</v>
      </c>
      <c r="H29" s="14">
        <v>5.0509999999999999E-3</v>
      </c>
      <c r="I29" s="14">
        <v>6.0180000000000008E-3</v>
      </c>
      <c r="J29" s="14">
        <v>7.0030000000000005E-3</v>
      </c>
      <c r="K29" s="14">
        <v>8.0199999999999994E-3</v>
      </c>
      <c r="L29" s="14">
        <v>9.0699999999999999E-3</v>
      </c>
      <c r="M29" s="14">
        <v>1.0149000000000002E-2</v>
      </c>
      <c r="N29" s="14">
        <v>1.1258000000000001E-2</v>
      </c>
      <c r="O29" s="14">
        <v>1.2401000000000001E-2</v>
      </c>
      <c r="P29" s="14">
        <v>1.3579000000000001E-2</v>
      </c>
      <c r="Q29" s="14">
        <v>1.4787E-2</v>
      </c>
      <c r="R29" s="14">
        <v>1.6033000000000002E-2</v>
      </c>
      <c r="S29" s="14">
        <v>1.7323999999999999E-2</v>
      </c>
      <c r="T29" s="14">
        <v>1.8661999999999998E-2</v>
      </c>
      <c r="U29" s="14">
        <v>2.0053000000000001E-2</v>
      </c>
      <c r="V29" s="14">
        <v>2.1502E-2</v>
      </c>
      <c r="W29" s="14">
        <v>2.3E-2</v>
      </c>
      <c r="X29" s="14">
        <v>2.4545000000000001E-2</v>
      </c>
      <c r="Y29" s="14">
        <v>2.6145000000000002E-2</v>
      </c>
      <c r="Z29" s="14">
        <v>2.7796000000000001E-2</v>
      </c>
      <c r="AA29" s="14">
        <v>2.9506999999999999E-2</v>
      </c>
      <c r="AB29" s="14">
        <v>3.1282000000000004E-2</v>
      </c>
      <c r="AC29" s="14">
        <v>3.3107999999999999E-2</v>
      </c>
      <c r="AD29" s="14">
        <v>3.4980999999999998E-2</v>
      </c>
      <c r="AE29" s="14">
        <v>3.6926E-2</v>
      </c>
      <c r="AF29" s="14">
        <v>3.8959000000000001E-2</v>
      </c>
    </row>
    <row r="30" spans="1:32" x14ac:dyDescent="0.35">
      <c r="A30" t="s">
        <v>222</v>
      </c>
      <c r="B30" s="16" t="s">
        <v>220</v>
      </c>
      <c r="C30" s="14">
        <v>7.229999999999999E-4</v>
      </c>
      <c r="D30" s="14">
        <v>1.48E-3</v>
      </c>
      <c r="E30" s="14">
        <v>2.281E-3</v>
      </c>
      <c r="F30" s="14">
        <v>3.1159999999999998E-3</v>
      </c>
      <c r="G30" s="14">
        <v>3.9849999999999998E-3</v>
      </c>
      <c r="H30" s="14">
        <v>4.8959999999999993E-3</v>
      </c>
      <c r="I30" s="14">
        <v>5.8329999999999996E-3</v>
      </c>
      <c r="J30" s="14">
        <v>6.79E-3</v>
      </c>
      <c r="K30" s="14">
        <v>7.7770000000000001E-3</v>
      </c>
      <c r="L30" s="14">
        <v>8.796E-3</v>
      </c>
      <c r="M30" s="14">
        <v>9.8429999999999993E-3</v>
      </c>
      <c r="N30" s="14">
        <v>1.0921E-2</v>
      </c>
      <c r="O30" s="14">
        <v>1.2031E-2</v>
      </c>
      <c r="P30" s="14">
        <v>1.3174999999999999E-2</v>
      </c>
      <c r="Q30" s="14">
        <v>1.4350000000000002E-2</v>
      </c>
      <c r="R30" s="14">
        <v>1.5559999999999999E-2</v>
      </c>
      <c r="S30" s="14">
        <v>1.6816000000000001E-2</v>
      </c>
      <c r="T30" s="14">
        <v>1.8117999999999999E-2</v>
      </c>
      <c r="U30" s="14">
        <v>1.9470000000000001E-2</v>
      </c>
      <c r="V30" s="14">
        <v>2.0879999999999999E-2</v>
      </c>
      <c r="W30" s="14">
        <v>2.2336000000000002E-2</v>
      </c>
      <c r="X30" s="14">
        <v>2.384E-2</v>
      </c>
      <c r="Y30" s="14">
        <v>2.5397000000000003E-2</v>
      </c>
      <c r="Z30" s="14">
        <v>2.7004E-2</v>
      </c>
      <c r="AA30" s="14">
        <v>2.8670000000000001E-2</v>
      </c>
      <c r="AB30" s="14">
        <v>3.0397E-2</v>
      </c>
      <c r="AC30" s="14">
        <v>3.2176000000000003E-2</v>
      </c>
      <c r="AD30" s="14">
        <v>3.4000000000000002E-2</v>
      </c>
      <c r="AE30" s="14">
        <v>3.5894999999999996E-2</v>
      </c>
      <c r="AF30" s="14">
        <v>3.7873999999999998E-2</v>
      </c>
    </row>
    <row r="31" spans="1:32" x14ac:dyDescent="0.35">
      <c r="A31" t="s">
        <v>222</v>
      </c>
      <c r="B31" s="16" t="s">
        <v>221</v>
      </c>
      <c r="C31" s="14">
        <v>4.84E-4</v>
      </c>
      <c r="D31" s="14">
        <v>9.990000000000001E-4</v>
      </c>
      <c r="E31" s="14">
        <v>1.5460000000000001E-3</v>
      </c>
      <c r="F31" s="14">
        <v>2.1150000000000001E-3</v>
      </c>
      <c r="G31" s="14">
        <v>2.7030000000000001E-3</v>
      </c>
      <c r="H31" s="14">
        <v>3.3149999999999998E-3</v>
      </c>
      <c r="I31" s="14">
        <v>3.9379999999999997E-3</v>
      </c>
      <c r="J31" s="14">
        <v>4.5669999999999999E-3</v>
      </c>
      <c r="K31" s="14">
        <v>5.2119999999999996E-3</v>
      </c>
      <c r="L31" s="14">
        <v>5.8780000000000004E-3</v>
      </c>
      <c r="M31" s="14">
        <v>6.5570000000000003E-3</v>
      </c>
      <c r="N31" s="14">
        <v>7.2500000000000004E-3</v>
      </c>
      <c r="O31" s="14">
        <v>7.9589999999999991E-3</v>
      </c>
      <c r="P31" s="14">
        <v>8.6869999999999985E-3</v>
      </c>
      <c r="Q31" s="14">
        <v>9.4279999999999989E-3</v>
      </c>
      <c r="R31" s="14">
        <v>1.0185999999999999E-2</v>
      </c>
      <c r="S31" s="14">
        <v>1.0969E-2</v>
      </c>
      <c r="T31" s="14">
        <v>1.1777999999999999E-2</v>
      </c>
      <c r="U31" s="14">
        <v>1.2617E-2</v>
      </c>
      <c r="V31" s="14">
        <v>1.3488999999999999E-2</v>
      </c>
      <c r="W31" s="14">
        <v>1.4383999999999999E-2</v>
      </c>
      <c r="X31" s="14">
        <v>1.5306999999999999E-2</v>
      </c>
      <c r="Y31" s="14">
        <v>1.626E-2</v>
      </c>
      <c r="Z31" s="14">
        <v>1.7240999999999999E-2</v>
      </c>
      <c r="AA31" s="14">
        <v>1.8251E-2</v>
      </c>
      <c r="AB31" s="14">
        <v>1.9296000000000001E-2</v>
      </c>
      <c r="AC31" s="14">
        <v>2.0363000000000003E-2</v>
      </c>
      <c r="AD31" s="14">
        <v>2.1448000000000002E-2</v>
      </c>
      <c r="AE31" s="14">
        <v>2.2577E-2</v>
      </c>
      <c r="AF31" s="14">
        <v>2.3769999999999999E-2</v>
      </c>
    </row>
    <row r="32" spans="1:32" x14ac:dyDescent="0.35">
      <c r="A32" t="s">
        <v>193</v>
      </c>
      <c r="B32" s="16" t="s">
        <v>156</v>
      </c>
      <c r="C32" s="14">
        <v>5.1643530000000002</v>
      </c>
      <c r="D32" s="14">
        <v>5.2507930000000007</v>
      </c>
      <c r="E32" s="14">
        <v>5.340326000000001</v>
      </c>
      <c r="F32" s="14">
        <v>5.4261330000000001</v>
      </c>
      <c r="G32" s="14">
        <v>5.5098539999999998</v>
      </c>
      <c r="H32" s="14">
        <v>5.5928799999999992</v>
      </c>
      <c r="I32" s="14">
        <v>5.6663509999999997</v>
      </c>
      <c r="J32" s="14">
        <v>5.7273329999999998</v>
      </c>
      <c r="K32" s="14">
        <v>5.7769250000000003</v>
      </c>
      <c r="L32" s="14">
        <v>5.8211970000000006</v>
      </c>
      <c r="M32" s="14">
        <v>5.8600919999999999</v>
      </c>
      <c r="N32" s="14">
        <v>5.8900649999999999</v>
      </c>
      <c r="O32" s="14">
        <v>5.9101550000000005</v>
      </c>
      <c r="P32" s="14">
        <v>5.9195970000000004</v>
      </c>
      <c r="Q32" s="14">
        <v>5.9261290000000004</v>
      </c>
      <c r="R32" s="14">
        <v>5.9328909999999997</v>
      </c>
      <c r="S32" s="14">
        <v>5.9381449999999996</v>
      </c>
      <c r="T32" s="14">
        <v>5.9399069999999998</v>
      </c>
      <c r="U32" s="14">
        <v>5.9342110000000003</v>
      </c>
      <c r="V32" s="14">
        <v>5.9233280000000006</v>
      </c>
      <c r="W32" s="14">
        <v>5.8999829999999989</v>
      </c>
      <c r="X32" s="14">
        <v>5.8828639999999996</v>
      </c>
      <c r="Y32" s="14">
        <v>5.8690660000000001</v>
      </c>
      <c r="Z32" s="14">
        <v>5.8584269999999998</v>
      </c>
      <c r="AA32" s="14">
        <v>5.8472290000000005</v>
      </c>
      <c r="AB32" s="14">
        <v>5.8299609999999991</v>
      </c>
      <c r="AC32" s="14">
        <v>5.8056590000000003</v>
      </c>
      <c r="AD32" s="14">
        <v>5.7748810000000006</v>
      </c>
      <c r="AE32" s="14">
        <v>5.738353</v>
      </c>
      <c r="AF32" s="14">
        <v>5.6972649999999998</v>
      </c>
    </row>
    <row r="33" spans="1:32" x14ac:dyDescent="0.35">
      <c r="A33" t="s">
        <v>193</v>
      </c>
      <c r="B33" s="16" t="s">
        <v>182</v>
      </c>
      <c r="C33" s="14">
        <v>4.4518000000000002E-2</v>
      </c>
      <c r="D33" s="14">
        <v>3.8718000000000002E-2</v>
      </c>
      <c r="E33" s="14">
        <v>3.3901000000000001E-2</v>
      </c>
      <c r="F33" s="14">
        <v>2.9756999999999999E-2</v>
      </c>
      <c r="G33" s="14">
        <v>2.6207000000000001E-2</v>
      </c>
      <c r="H33" s="14">
        <v>2.3342999999999999E-2</v>
      </c>
      <c r="I33" s="14">
        <v>2.1041000000000001E-2</v>
      </c>
      <c r="J33" s="14">
        <v>1.9141999999999999E-2</v>
      </c>
      <c r="K33" s="14">
        <v>1.7506000000000001E-2</v>
      </c>
      <c r="L33" s="14">
        <v>1.6154000000000002E-2</v>
      </c>
      <c r="M33" s="14">
        <v>1.4955E-2</v>
      </c>
      <c r="N33" s="14">
        <v>1.3946999999999999E-2</v>
      </c>
      <c r="O33" s="14">
        <v>1.3133000000000001E-2</v>
      </c>
      <c r="P33" s="14">
        <v>1.2478E-2</v>
      </c>
      <c r="Q33" s="14">
        <v>1.1988E-2</v>
      </c>
      <c r="R33" s="14">
        <v>1.1573E-2</v>
      </c>
      <c r="S33" s="14">
        <v>1.1284000000000001E-2</v>
      </c>
      <c r="T33" s="14">
        <v>1.1077999999999999E-2</v>
      </c>
      <c r="U33" s="14">
        <v>1.0898E-2</v>
      </c>
      <c r="V33" s="14">
        <v>1.0711999999999999E-2</v>
      </c>
      <c r="W33" s="14">
        <v>1.0573000000000001E-2</v>
      </c>
      <c r="X33" s="14">
        <v>1.0396000000000001E-2</v>
      </c>
      <c r="Y33" s="14">
        <v>1.0226000000000001E-2</v>
      </c>
      <c r="Z33" s="14">
        <v>1.0132E-2</v>
      </c>
      <c r="AA33" s="14">
        <v>1.0087E-2</v>
      </c>
      <c r="AB33" s="14">
        <v>1.0071E-2</v>
      </c>
      <c r="AC33" s="14">
        <v>1.0062E-2</v>
      </c>
      <c r="AD33" s="14">
        <v>1.0063000000000001E-2</v>
      </c>
      <c r="AE33" s="14">
        <v>1.0059999999999999E-2</v>
      </c>
      <c r="AF33" s="14">
        <v>1.0056000000000001E-2</v>
      </c>
    </row>
    <row r="34" spans="1:32" x14ac:dyDescent="0.35">
      <c r="A34" t="s">
        <v>193</v>
      </c>
      <c r="B34" s="16" t="s">
        <v>70</v>
      </c>
      <c r="C34" s="14">
        <v>3.2859999999999999E-3</v>
      </c>
      <c r="D34" s="14">
        <v>3.2269999999999998E-3</v>
      </c>
      <c r="E34" s="14">
        <v>3.1779999999999998E-3</v>
      </c>
      <c r="F34" s="14">
        <v>3.1469999999999996E-3</v>
      </c>
      <c r="G34" s="14">
        <v>3.1359999999999999E-3</v>
      </c>
      <c r="H34" s="14">
        <v>3.1569999999999997E-3</v>
      </c>
      <c r="I34" s="14">
        <v>3.186E-3</v>
      </c>
      <c r="J34" s="14">
        <v>3.2079999999999999E-3</v>
      </c>
      <c r="K34" s="14">
        <v>3.2109999999999999E-3</v>
      </c>
      <c r="L34" s="14">
        <v>3.2230000000000002E-3</v>
      </c>
      <c r="M34" s="14">
        <v>3.2460000000000002E-3</v>
      </c>
      <c r="N34" s="14">
        <v>3.2629999999999998E-3</v>
      </c>
      <c r="O34" s="14">
        <v>3.3090000000000003E-3</v>
      </c>
      <c r="P34" s="14">
        <v>3.3710000000000003E-3</v>
      </c>
      <c r="Q34" s="14">
        <v>3.4429999999999999E-3</v>
      </c>
      <c r="R34" s="14">
        <v>3.522E-3</v>
      </c>
      <c r="S34" s="14">
        <v>3.6039999999999996E-3</v>
      </c>
      <c r="T34" s="14">
        <v>3.6870000000000002E-3</v>
      </c>
      <c r="U34" s="14">
        <v>3.7749999999999997E-3</v>
      </c>
      <c r="V34" s="14">
        <v>3.862E-3</v>
      </c>
      <c r="W34" s="14">
        <v>3.9499999999999995E-3</v>
      </c>
      <c r="X34" s="14">
        <v>4.0340000000000003E-3</v>
      </c>
      <c r="Y34" s="14">
        <v>4.1180000000000001E-3</v>
      </c>
      <c r="Z34" s="14">
        <v>4.202E-3</v>
      </c>
      <c r="AA34" s="14">
        <v>4.2830000000000003E-3</v>
      </c>
      <c r="AB34" s="14">
        <v>4.3619999999999996E-3</v>
      </c>
      <c r="AC34" s="14">
        <v>4.4410000000000005E-3</v>
      </c>
      <c r="AD34" s="14">
        <v>4.5140000000000007E-3</v>
      </c>
      <c r="AE34" s="14">
        <v>4.5750000000000001E-3</v>
      </c>
      <c r="AF34" s="14">
        <v>4.6259999999999999E-3</v>
      </c>
    </row>
    <row r="35" spans="1:32" x14ac:dyDescent="0.35">
      <c r="A35" t="s">
        <v>193</v>
      </c>
      <c r="B35" s="16" t="s">
        <v>66</v>
      </c>
      <c r="C35" s="14">
        <v>4.6627000000000002E-2</v>
      </c>
      <c r="D35" s="14">
        <v>5.0178E-2</v>
      </c>
      <c r="E35" s="14">
        <v>5.3423999999999999E-2</v>
      </c>
      <c r="F35" s="14">
        <v>5.6327000000000002E-2</v>
      </c>
      <c r="G35" s="14">
        <v>5.8932000000000005E-2</v>
      </c>
      <c r="H35" s="14">
        <v>6.1312999999999999E-2</v>
      </c>
      <c r="I35" s="14">
        <v>6.3450000000000006E-2</v>
      </c>
      <c r="J35" s="14">
        <v>6.5373000000000001E-2</v>
      </c>
      <c r="K35" s="14">
        <v>6.7125000000000004E-2</v>
      </c>
      <c r="L35" s="14">
        <v>6.8764000000000006E-2</v>
      </c>
      <c r="M35" s="14">
        <v>7.0296999999999998E-2</v>
      </c>
      <c r="N35" s="14">
        <v>7.1716000000000002E-2</v>
      </c>
      <c r="O35" s="14">
        <v>7.3071999999999998E-2</v>
      </c>
      <c r="P35" s="14">
        <v>7.4393000000000001E-2</v>
      </c>
      <c r="Q35" s="14">
        <v>7.5686000000000003E-2</v>
      </c>
      <c r="R35" s="14">
        <v>7.6987E-2</v>
      </c>
      <c r="S35" s="14">
        <v>7.8377000000000002E-2</v>
      </c>
      <c r="T35" s="14">
        <v>7.9889000000000002E-2</v>
      </c>
      <c r="U35" s="14">
        <v>8.1592999999999999E-2</v>
      </c>
      <c r="V35" s="14">
        <v>8.3552999999999988E-2</v>
      </c>
      <c r="W35" s="14">
        <v>8.5708999999999994E-2</v>
      </c>
      <c r="X35" s="14">
        <v>8.8081000000000007E-2</v>
      </c>
      <c r="Y35" s="14">
        <v>9.0713000000000016E-2</v>
      </c>
      <c r="Z35" s="14">
        <v>9.367700000000001E-2</v>
      </c>
      <c r="AA35" s="14">
        <v>9.6942E-2</v>
      </c>
      <c r="AB35" s="14">
        <v>0.100534</v>
      </c>
      <c r="AC35" s="14">
        <v>0.104466</v>
      </c>
      <c r="AD35" s="14">
        <v>0.108649</v>
      </c>
      <c r="AE35" s="14">
        <v>0.11334100000000001</v>
      </c>
      <c r="AF35" s="14">
        <v>0.118703</v>
      </c>
    </row>
    <row r="36" spans="1:32" x14ac:dyDescent="0.35">
      <c r="A36" t="s">
        <v>193</v>
      </c>
      <c r="B36" s="16" t="s">
        <v>219</v>
      </c>
      <c r="C36" s="14">
        <v>1.2400000000000001E-4</v>
      </c>
      <c r="D36" s="14">
        <v>1.25E-4</v>
      </c>
      <c r="E36" s="14">
        <v>1.25E-4</v>
      </c>
      <c r="F36" s="14">
        <v>1.26E-4</v>
      </c>
      <c r="G36" s="14">
        <v>1.26E-4</v>
      </c>
      <c r="H36" s="14">
        <v>1.27E-4</v>
      </c>
      <c r="I36" s="14">
        <v>1.25E-4</v>
      </c>
      <c r="J36" s="14">
        <v>1.2400000000000001E-4</v>
      </c>
      <c r="K36" s="14">
        <v>1.2400000000000001E-4</v>
      </c>
      <c r="L36" s="14">
        <v>1.21E-4</v>
      </c>
      <c r="M36" s="14">
        <v>1.2100000000000001E-4</v>
      </c>
      <c r="N36" s="14">
        <v>1.18E-4</v>
      </c>
      <c r="O36" s="14">
        <v>1.17E-4</v>
      </c>
      <c r="P36" s="14">
        <v>1.1300000000000001E-4</v>
      </c>
      <c r="Q36" s="14">
        <v>1.1E-4</v>
      </c>
      <c r="R36" s="14">
        <v>1.0899999999999999E-4</v>
      </c>
      <c r="S36" s="14">
        <v>1.06E-4</v>
      </c>
      <c r="T36" s="14">
        <v>1.02E-4</v>
      </c>
      <c r="U36" s="14">
        <v>9.9999999999999991E-5</v>
      </c>
      <c r="V36" s="14">
        <v>9.7E-5</v>
      </c>
      <c r="W36" s="14">
        <v>9.1999999999999987E-5</v>
      </c>
      <c r="X36" s="14">
        <v>8.7999999999999998E-5</v>
      </c>
      <c r="Y36" s="14">
        <v>8.6000000000000003E-5</v>
      </c>
      <c r="Z36" s="14">
        <v>8.3999999999999995E-5</v>
      </c>
      <c r="AA36" s="14">
        <v>7.8999999999999996E-5</v>
      </c>
      <c r="AB36" s="14">
        <v>7.5000000000000007E-5</v>
      </c>
      <c r="AC36" s="14">
        <v>7.2999999999999999E-5</v>
      </c>
      <c r="AD36" s="14">
        <v>6.8999999999999997E-5</v>
      </c>
      <c r="AE36" s="14">
        <v>6.5000000000000008E-5</v>
      </c>
      <c r="AF36" s="14">
        <v>6.3E-5</v>
      </c>
    </row>
    <row r="37" spans="1:32" x14ac:dyDescent="0.35">
      <c r="A37" t="s">
        <v>193</v>
      </c>
      <c r="B37" s="16" t="s">
        <v>68</v>
      </c>
      <c r="C37" s="14">
        <v>2.4600000000000002E-4</v>
      </c>
      <c r="D37" s="14">
        <v>5.0199999999999995E-4</v>
      </c>
      <c r="E37" s="14">
        <v>7.67E-4</v>
      </c>
      <c r="F37" s="14">
        <v>1.0369999999999999E-3</v>
      </c>
      <c r="G37" s="14">
        <v>1.3110000000000001E-3</v>
      </c>
      <c r="H37" s="14">
        <v>1.588E-3</v>
      </c>
      <c r="I37" s="14">
        <v>1.8630000000000001E-3</v>
      </c>
      <c r="J37" s="14">
        <v>2.1350000000000002E-3</v>
      </c>
      <c r="K37" s="14">
        <v>2.4069999999999999E-3</v>
      </c>
      <c r="L37" s="14">
        <v>2.6800000000000001E-3</v>
      </c>
      <c r="M37" s="14">
        <v>2.9529999999999999E-3</v>
      </c>
      <c r="N37" s="14">
        <v>3.2230000000000002E-3</v>
      </c>
      <c r="O37" s="14">
        <v>3.49E-3</v>
      </c>
      <c r="P37" s="14">
        <v>3.7590000000000002E-3</v>
      </c>
      <c r="Q37" s="14">
        <v>4.0260000000000001E-3</v>
      </c>
      <c r="R37" s="14">
        <v>4.2900000000000004E-3</v>
      </c>
      <c r="S37" s="14">
        <v>4.5539999999999999E-3</v>
      </c>
      <c r="T37" s="14">
        <v>4.8180000000000002E-3</v>
      </c>
      <c r="U37" s="14">
        <v>5.0829999999999998E-3</v>
      </c>
      <c r="V37" s="14">
        <v>5.3509999999999999E-3</v>
      </c>
      <c r="W37" s="14">
        <v>5.6160000000000003E-3</v>
      </c>
      <c r="X37" s="14">
        <v>5.8799999999999998E-3</v>
      </c>
      <c r="Y37" s="14">
        <v>6.1440000000000002E-3</v>
      </c>
      <c r="Z37" s="14">
        <v>6.4070000000000004E-3</v>
      </c>
      <c r="AA37" s="14">
        <v>6.6680000000000003E-3</v>
      </c>
      <c r="AB37" s="14">
        <v>6.927E-3</v>
      </c>
      <c r="AC37" s="14">
        <v>7.1809999999999999E-3</v>
      </c>
      <c r="AD37" s="14">
        <v>7.4310000000000001E-3</v>
      </c>
      <c r="AE37" s="14">
        <v>7.6819999999999996E-3</v>
      </c>
      <c r="AF37" s="14">
        <v>7.9380000000000006E-3</v>
      </c>
    </row>
    <row r="38" spans="1:32" x14ac:dyDescent="0.35">
      <c r="A38" t="s">
        <v>193</v>
      </c>
      <c r="B38" s="16" t="s">
        <v>220</v>
      </c>
      <c r="C38" s="14">
        <v>2.5999999999999998E-4</v>
      </c>
      <c r="D38" s="14">
        <v>5.31E-4</v>
      </c>
      <c r="E38" s="14">
        <v>8.12E-4</v>
      </c>
      <c r="F38" s="14">
        <v>1.096E-3</v>
      </c>
      <c r="G38" s="14">
        <v>1.3860000000000001E-3</v>
      </c>
      <c r="H38" s="14">
        <v>1.6800000000000001E-3</v>
      </c>
      <c r="I38" s="14">
        <v>1.97E-3</v>
      </c>
      <c r="J38" s="14">
        <v>2.258E-3</v>
      </c>
      <c r="K38" s="14">
        <v>2.545E-3</v>
      </c>
      <c r="L38" s="14">
        <v>2.8340000000000001E-3</v>
      </c>
      <c r="M38" s="14">
        <v>3.1220000000000002E-3</v>
      </c>
      <c r="N38" s="14">
        <v>3.408E-3</v>
      </c>
      <c r="O38" s="14">
        <v>3.692E-3</v>
      </c>
      <c r="P38" s="14">
        <v>3.9750000000000002E-3</v>
      </c>
      <c r="Q38" s="14">
        <v>4.2570000000000004E-3</v>
      </c>
      <c r="R38" s="14">
        <v>4.5360000000000001E-3</v>
      </c>
      <c r="S38" s="14">
        <v>4.816E-3</v>
      </c>
      <c r="T38" s="14">
        <v>5.0949999999999997E-3</v>
      </c>
      <c r="U38" s="14">
        <v>5.3759999999999997E-3</v>
      </c>
      <c r="V38" s="14">
        <v>5.6579999999999998E-3</v>
      </c>
      <c r="W38" s="14">
        <v>5.9389999999999998E-3</v>
      </c>
      <c r="X38" s="14">
        <v>6.2189999999999997E-3</v>
      </c>
      <c r="Y38" s="14">
        <v>6.4980000000000003E-3</v>
      </c>
      <c r="Z38" s="14">
        <v>6.7759999999999999E-3</v>
      </c>
      <c r="AA38" s="14">
        <v>7.051E-3</v>
      </c>
      <c r="AB38" s="14">
        <v>7.326E-3</v>
      </c>
      <c r="AC38" s="14">
        <v>7.5940000000000001E-3</v>
      </c>
      <c r="AD38" s="14">
        <v>7.8580000000000004E-3</v>
      </c>
      <c r="AE38" s="14">
        <v>8.1239999999999993E-3</v>
      </c>
      <c r="AF38" s="14">
        <v>8.3940000000000004E-3</v>
      </c>
    </row>
    <row r="39" spans="1:32" x14ac:dyDescent="0.35">
      <c r="A39" t="s">
        <v>193</v>
      </c>
      <c r="B39" s="16" t="s">
        <v>221</v>
      </c>
      <c r="C39" s="14">
        <v>3.0800000000000001E-4</v>
      </c>
      <c r="D39" s="14">
        <v>6.2699999999999995E-4</v>
      </c>
      <c r="E39" s="14">
        <v>9.6000000000000002E-4</v>
      </c>
      <c r="F39" s="14">
        <v>1.297E-3</v>
      </c>
      <c r="G39" s="14">
        <v>1.639E-3</v>
      </c>
      <c r="H39" s="14">
        <v>1.9859999999999999E-3</v>
      </c>
      <c r="I39" s="14">
        <v>2.3310000000000002E-3</v>
      </c>
      <c r="J39" s="14">
        <v>2.6710000000000002E-3</v>
      </c>
      <c r="K39" s="14">
        <v>3.0119999999999999E-3</v>
      </c>
      <c r="L39" s="14">
        <v>3.3540000000000002E-3</v>
      </c>
      <c r="M39" s="14">
        <v>3.6949999999999999E-3</v>
      </c>
      <c r="N39" s="14">
        <v>4.0330000000000001E-3</v>
      </c>
      <c r="O39" s="14">
        <v>4.3680000000000004E-3</v>
      </c>
      <c r="P39" s="14">
        <v>4.7039999999999998E-3</v>
      </c>
      <c r="Q39" s="14">
        <v>5.0369999999999998E-3</v>
      </c>
      <c r="R39" s="14">
        <v>5.3680000000000004E-3</v>
      </c>
      <c r="S39" s="14">
        <v>5.6990000000000001E-3</v>
      </c>
      <c r="T39" s="14">
        <v>6.0289999999999996E-3</v>
      </c>
      <c r="U39" s="14">
        <v>6.3610000000000003E-3</v>
      </c>
      <c r="V39" s="14">
        <v>6.6950000000000004E-3</v>
      </c>
      <c r="W39" s="14">
        <v>7.0270000000000003E-3</v>
      </c>
      <c r="X39" s="14">
        <v>7.358E-3</v>
      </c>
      <c r="Y39" s="14">
        <v>7.6889999999999997E-3</v>
      </c>
      <c r="Z39" s="14">
        <v>8.0180000000000008E-3</v>
      </c>
      <c r="AA39" s="14">
        <v>8.3440000000000007E-3</v>
      </c>
      <c r="AB39" s="14">
        <v>8.6680000000000004E-3</v>
      </c>
      <c r="AC39" s="14">
        <v>8.9870000000000002E-3</v>
      </c>
      <c r="AD39" s="14">
        <v>9.2980000000000007E-3</v>
      </c>
      <c r="AE39" s="14">
        <v>9.6120000000000008E-3</v>
      </c>
      <c r="AF39" s="14">
        <v>9.9340000000000001E-3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0949-FCA8-4E91-97C8-758F882F64C3}">
  <dimension ref="A1:C125"/>
  <sheetViews>
    <sheetView workbookViewId="0">
      <selection activeCell="C25" sqref="C25"/>
    </sheetView>
  </sheetViews>
  <sheetFormatPr defaultRowHeight="14.5" x14ac:dyDescent="0.35"/>
  <cols>
    <col min="1" max="1" width="24" customWidth="1"/>
    <col min="3" max="3" width="20.81640625" customWidth="1"/>
  </cols>
  <sheetData>
    <row r="1" spans="1:3" x14ac:dyDescent="0.35">
      <c r="A1" s="9" t="s">
        <v>53</v>
      </c>
      <c r="B1" s="9" t="s">
        <v>1</v>
      </c>
      <c r="C1" s="9" t="s">
        <v>71</v>
      </c>
    </row>
    <row r="2" spans="1:3" x14ac:dyDescent="0.35">
      <c r="A2" s="1" t="s">
        <v>193</v>
      </c>
      <c r="B2" s="1">
        <v>2020</v>
      </c>
      <c r="C2" s="1">
        <v>0</v>
      </c>
    </row>
    <row r="3" spans="1:3" x14ac:dyDescent="0.35">
      <c r="A3" s="1" t="s">
        <v>192</v>
      </c>
      <c r="B3" s="1">
        <v>2020</v>
      </c>
      <c r="C3" s="1">
        <v>0</v>
      </c>
    </row>
    <row r="4" spans="1:3" x14ac:dyDescent="0.35">
      <c r="A4" s="1" t="s">
        <v>222</v>
      </c>
      <c r="B4" s="1">
        <v>2020</v>
      </c>
      <c r="C4" s="1">
        <v>0</v>
      </c>
    </row>
    <row r="5" spans="1:3" x14ac:dyDescent="0.35">
      <c r="A5" s="1" t="s">
        <v>204</v>
      </c>
      <c r="B5" s="1">
        <v>2020</v>
      </c>
      <c r="C5" s="1">
        <v>0</v>
      </c>
    </row>
    <row r="6" spans="1:3" x14ac:dyDescent="0.35">
      <c r="A6" s="1" t="s">
        <v>193</v>
      </c>
      <c r="B6" s="1">
        <v>2021</v>
      </c>
      <c r="C6" s="1">
        <v>175905.05869999999</v>
      </c>
    </row>
    <row r="7" spans="1:3" x14ac:dyDescent="0.35">
      <c r="A7" s="1" t="s">
        <v>192</v>
      </c>
      <c r="B7" s="1">
        <v>2021</v>
      </c>
      <c r="C7" s="1">
        <v>1453415.709</v>
      </c>
    </row>
    <row r="8" spans="1:3" x14ac:dyDescent="0.35">
      <c r="A8" s="1" t="s">
        <v>222</v>
      </c>
      <c r="B8" s="1">
        <v>2021</v>
      </c>
      <c r="C8" s="1">
        <v>120902.86599999999</v>
      </c>
    </row>
    <row r="9" spans="1:3" x14ac:dyDescent="0.35">
      <c r="A9" s="1" t="s">
        <v>204</v>
      </c>
      <c r="B9" s="1">
        <v>2021</v>
      </c>
      <c r="C9" s="1">
        <v>1385678.007</v>
      </c>
    </row>
    <row r="10" spans="1:3" x14ac:dyDescent="0.35">
      <c r="A10" s="1" t="s">
        <v>193</v>
      </c>
      <c r="B10" s="1">
        <v>2022</v>
      </c>
      <c r="C10" s="1">
        <v>180087.62419999999</v>
      </c>
    </row>
    <row r="11" spans="1:3" x14ac:dyDescent="0.35">
      <c r="A11" s="1" t="s">
        <v>192</v>
      </c>
      <c r="B11" s="1">
        <v>2022</v>
      </c>
      <c r="C11" s="1">
        <v>1587379.9620000001</v>
      </c>
    </row>
    <row r="12" spans="1:3" x14ac:dyDescent="0.35">
      <c r="A12" s="1" t="s">
        <v>222</v>
      </c>
      <c r="B12" s="1">
        <v>2022</v>
      </c>
      <c r="C12" s="1">
        <v>124146.145</v>
      </c>
    </row>
    <row r="13" spans="1:3" x14ac:dyDescent="0.35">
      <c r="A13" s="1" t="s">
        <v>204</v>
      </c>
      <c r="B13" s="1">
        <v>2022</v>
      </c>
      <c r="C13" s="1">
        <v>1293781.5649999999</v>
      </c>
    </row>
    <row r="14" spans="1:3" x14ac:dyDescent="0.35">
      <c r="A14" s="1" t="s">
        <v>193</v>
      </c>
      <c r="B14" s="1">
        <v>2023</v>
      </c>
      <c r="C14" s="1">
        <v>182482.29639999999</v>
      </c>
    </row>
    <row r="15" spans="1:3" x14ac:dyDescent="0.35">
      <c r="A15" s="1" t="s">
        <v>192</v>
      </c>
      <c r="B15" s="1">
        <v>2023</v>
      </c>
      <c r="C15" s="1">
        <v>1697480.8940000001</v>
      </c>
    </row>
    <row r="16" spans="1:3" x14ac:dyDescent="0.35">
      <c r="A16" s="1" t="s">
        <v>222</v>
      </c>
      <c r="B16" s="1">
        <v>2023</v>
      </c>
      <c r="C16" s="1">
        <v>126453.22</v>
      </c>
    </row>
    <row r="17" spans="1:3" x14ac:dyDescent="0.35">
      <c r="A17" s="1" t="s">
        <v>204</v>
      </c>
      <c r="B17" s="1">
        <v>2023</v>
      </c>
      <c r="C17" s="1">
        <v>1314686.4809999999</v>
      </c>
    </row>
    <row r="18" spans="1:3" x14ac:dyDescent="0.35">
      <c r="A18" s="1" t="s">
        <v>193</v>
      </c>
      <c r="B18" s="1">
        <v>2024</v>
      </c>
      <c r="C18" s="1">
        <v>184146.29070000001</v>
      </c>
    </row>
    <row r="19" spans="1:3" x14ac:dyDescent="0.35">
      <c r="A19" s="1" t="s">
        <v>192</v>
      </c>
      <c r="B19" s="1">
        <v>2024</v>
      </c>
      <c r="C19" s="1">
        <v>1797010.4129999999</v>
      </c>
    </row>
    <row r="20" spans="1:3" x14ac:dyDescent="0.35">
      <c r="A20" s="1" t="s">
        <v>222</v>
      </c>
      <c r="B20" s="1">
        <v>2024</v>
      </c>
      <c r="C20" s="1">
        <v>128525.497</v>
      </c>
    </row>
    <row r="21" spans="1:3" x14ac:dyDescent="0.35">
      <c r="A21" s="1" t="s">
        <v>204</v>
      </c>
      <c r="B21" s="1">
        <v>2024</v>
      </c>
      <c r="C21" s="1">
        <v>1316350.733</v>
      </c>
    </row>
    <row r="22" spans="1:3" x14ac:dyDescent="0.35">
      <c r="A22" s="1" t="s">
        <v>193</v>
      </c>
      <c r="B22" s="1">
        <v>2025</v>
      </c>
      <c r="C22" s="1">
        <v>185937.74249999999</v>
      </c>
    </row>
    <row r="23" spans="1:3" x14ac:dyDescent="0.35">
      <c r="A23" s="1" t="s">
        <v>192</v>
      </c>
      <c r="B23" s="1">
        <v>2025</v>
      </c>
      <c r="C23" s="1">
        <v>1871423.4709999999</v>
      </c>
    </row>
    <row r="24" spans="1:3" x14ac:dyDescent="0.35">
      <c r="A24" s="1" t="s">
        <v>222</v>
      </c>
      <c r="B24" s="1">
        <v>2025</v>
      </c>
      <c r="C24" s="1">
        <v>130945.202</v>
      </c>
    </row>
    <row r="25" spans="1:3" x14ac:dyDescent="0.35">
      <c r="A25" s="1" t="s">
        <v>204</v>
      </c>
      <c r="B25" s="1">
        <v>2025</v>
      </c>
      <c r="C25" s="1">
        <v>1290550.6950000001</v>
      </c>
    </row>
    <row r="26" spans="1:3" x14ac:dyDescent="0.35">
      <c r="A26" s="1" t="s">
        <v>193</v>
      </c>
      <c r="B26" s="1">
        <v>2026</v>
      </c>
      <c r="C26" s="1">
        <v>187153.3437</v>
      </c>
    </row>
    <row r="27" spans="1:3" x14ac:dyDescent="0.35">
      <c r="A27" s="1" t="s">
        <v>192</v>
      </c>
      <c r="B27" s="1">
        <v>2026</v>
      </c>
      <c r="C27" s="1">
        <v>1946860.6070000001</v>
      </c>
    </row>
    <row r="28" spans="1:3" x14ac:dyDescent="0.35">
      <c r="A28" s="1" t="s">
        <v>222</v>
      </c>
      <c r="B28" s="1">
        <v>2026</v>
      </c>
      <c r="C28" s="1">
        <v>133322.02499999999</v>
      </c>
    </row>
    <row r="29" spans="1:3" x14ac:dyDescent="0.35">
      <c r="A29" s="1" t="s">
        <v>204</v>
      </c>
      <c r="B29" s="1">
        <v>2026</v>
      </c>
      <c r="C29" s="1">
        <v>1260452.5419999999</v>
      </c>
    </row>
    <row r="30" spans="1:3" x14ac:dyDescent="0.35">
      <c r="A30" s="1" t="s">
        <v>193</v>
      </c>
      <c r="B30" s="1">
        <v>2027</v>
      </c>
      <c r="C30" s="1">
        <v>187637.05809999999</v>
      </c>
    </row>
    <row r="31" spans="1:3" x14ac:dyDescent="0.35">
      <c r="A31" s="1" t="s">
        <v>192</v>
      </c>
      <c r="B31" s="1">
        <v>2027</v>
      </c>
      <c r="C31" s="1">
        <v>2019509.8770000001</v>
      </c>
    </row>
    <row r="32" spans="1:3" x14ac:dyDescent="0.35">
      <c r="A32" s="1" t="s">
        <v>222</v>
      </c>
      <c r="B32" s="1">
        <v>2027</v>
      </c>
      <c r="C32" s="1">
        <v>135653.24100000001</v>
      </c>
    </row>
    <row r="33" spans="1:3" x14ac:dyDescent="0.35">
      <c r="A33" s="1" t="s">
        <v>204</v>
      </c>
      <c r="B33" s="1">
        <v>2027</v>
      </c>
      <c r="C33" s="1">
        <v>1224924.429</v>
      </c>
    </row>
    <row r="34" spans="1:3" x14ac:dyDescent="0.35">
      <c r="A34" s="1" t="s">
        <v>193</v>
      </c>
      <c r="B34" s="1">
        <v>2028</v>
      </c>
      <c r="C34" s="1">
        <v>188223.3774</v>
      </c>
    </row>
    <row r="35" spans="1:3" x14ac:dyDescent="0.35">
      <c r="A35" s="1" t="s">
        <v>192</v>
      </c>
      <c r="B35" s="1">
        <v>2028</v>
      </c>
      <c r="C35" s="1">
        <v>2086422.263</v>
      </c>
    </row>
    <row r="36" spans="1:3" x14ac:dyDescent="0.35">
      <c r="A36" s="1" t="s">
        <v>222</v>
      </c>
      <c r="B36" s="1">
        <v>2028</v>
      </c>
      <c r="C36" s="1">
        <v>138483.856</v>
      </c>
    </row>
    <row r="37" spans="1:3" x14ac:dyDescent="0.35">
      <c r="A37" s="1" t="s">
        <v>204</v>
      </c>
      <c r="B37" s="1">
        <v>2028</v>
      </c>
      <c r="C37" s="1">
        <v>1184882.7139999999</v>
      </c>
    </row>
    <row r="38" spans="1:3" x14ac:dyDescent="0.35">
      <c r="A38" s="1" t="s">
        <v>193</v>
      </c>
      <c r="B38" s="1">
        <v>2029</v>
      </c>
      <c r="C38" s="1">
        <v>188772.98740000001</v>
      </c>
    </row>
    <row r="39" spans="1:3" x14ac:dyDescent="0.35">
      <c r="A39" s="1" t="s">
        <v>192</v>
      </c>
      <c r="B39" s="1">
        <v>2029</v>
      </c>
      <c r="C39" s="1">
        <v>2150056.2030000002</v>
      </c>
    </row>
    <row r="40" spans="1:3" x14ac:dyDescent="0.35">
      <c r="A40" s="1" t="s">
        <v>222</v>
      </c>
      <c r="B40" s="1">
        <v>2029</v>
      </c>
      <c r="C40" s="1">
        <v>141633.06</v>
      </c>
    </row>
    <row r="41" spans="1:3" x14ac:dyDescent="0.35">
      <c r="A41" s="1" t="s">
        <v>204</v>
      </c>
      <c r="B41" s="1">
        <v>2029</v>
      </c>
      <c r="C41" s="1">
        <v>1143207.7690000001</v>
      </c>
    </row>
    <row r="42" spans="1:3" x14ac:dyDescent="0.35">
      <c r="A42" s="1" t="s">
        <v>193</v>
      </c>
      <c r="B42" s="1">
        <v>2030</v>
      </c>
      <c r="C42" s="1">
        <v>189083.60569999999</v>
      </c>
    </row>
    <row r="43" spans="1:3" x14ac:dyDescent="0.35">
      <c r="A43" s="1" t="s">
        <v>192</v>
      </c>
      <c r="B43" s="1">
        <v>2030</v>
      </c>
      <c r="C43" s="1">
        <v>2211753.6189999999</v>
      </c>
    </row>
    <row r="44" spans="1:3" x14ac:dyDescent="0.35">
      <c r="A44" s="1" t="s">
        <v>222</v>
      </c>
      <c r="B44" s="1">
        <v>2030</v>
      </c>
      <c r="C44" s="1">
        <v>144797.84</v>
      </c>
    </row>
    <row r="45" spans="1:3" x14ac:dyDescent="0.35">
      <c r="A45" s="1" t="s">
        <v>204</v>
      </c>
      <c r="B45" s="1">
        <v>2030</v>
      </c>
      <c r="C45" s="1">
        <v>1102584.8289999999</v>
      </c>
    </row>
    <row r="46" spans="1:3" x14ac:dyDescent="0.35">
      <c r="A46" s="1" t="s">
        <v>193</v>
      </c>
      <c r="B46" s="1">
        <v>2031</v>
      </c>
      <c r="C46" s="1">
        <v>189308.39300000001</v>
      </c>
    </row>
    <row r="47" spans="1:3" x14ac:dyDescent="0.35">
      <c r="A47" s="1" t="s">
        <v>192</v>
      </c>
      <c r="B47" s="1">
        <v>2031</v>
      </c>
      <c r="C47" s="1">
        <v>2271951.747</v>
      </c>
    </row>
    <row r="48" spans="1:3" x14ac:dyDescent="0.35">
      <c r="A48" s="1" t="s">
        <v>222</v>
      </c>
      <c r="B48" s="1">
        <v>2031</v>
      </c>
      <c r="C48" s="1">
        <v>148003.883</v>
      </c>
    </row>
    <row r="49" spans="1:3" x14ac:dyDescent="0.35">
      <c r="A49" s="1" t="s">
        <v>204</v>
      </c>
      <c r="B49" s="1">
        <v>2031</v>
      </c>
      <c r="C49" s="1">
        <v>1064723.162</v>
      </c>
    </row>
    <row r="50" spans="1:3" x14ac:dyDescent="0.35">
      <c r="A50" s="1" t="s">
        <v>193</v>
      </c>
      <c r="B50" s="1">
        <v>2032</v>
      </c>
      <c r="C50" s="1">
        <v>189464.01329999999</v>
      </c>
    </row>
    <row r="51" spans="1:3" x14ac:dyDescent="0.35">
      <c r="A51" s="1" t="s">
        <v>192</v>
      </c>
      <c r="B51" s="1">
        <v>2032</v>
      </c>
      <c r="C51" s="1">
        <v>2329925.5959999999</v>
      </c>
    </row>
    <row r="52" spans="1:3" x14ac:dyDescent="0.35">
      <c r="A52" s="1" t="s">
        <v>222</v>
      </c>
      <c r="B52" s="1">
        <v>2032</v>
      </c>
      <c r="C52" s="1">
        <v>151342.39999999999</v>
      </c>
    </row>
    <row r="53" spans="1:3" x14ac:dyDescent="0.35">
      <c r="A53" s="1" t="s">
        <v>204</v>
      </c>
      <c r="B53" s="1">
        <v>2032</v>
      </c>
      <c r="C53" s="1">
        <v>1029644.0429999999</v>
      </c>
    </row>
    <row r="54" spans="1:3" x14ac:dyDescent="0.35">
      <c r="A54" s="1" t="s">
        <v>193</v>
      </c>
      <c r="B54" s="1">
        <v>2033</v>
      </c>
      <c r="C54" s="1">
        <v>189539.73</v>
      </c>
    </row>
    <row r="55" spans="1:3" x14ac:dyDescent="0.35">
      <c r="A55" s="1" t="s">
        <v>192</v>
      </c>
      <c r="B55" s="1">
        <v>2033</v>
      </c>
      <c r="C55" s="1">
        <v>2381138.9350000001</v>
      </c>
    </row>
    <row r="56" spans="1:3" x14ac:dyDescent="0.35">
      <c r="A56" s="1" t="s">
        <v>222</v>
      </c>
      <c r="B56" s="1">
        <v>2033</v>
      </c>
      <c r="C56" s="1">
        <v>154675.133</v>
      </c>
    </row>
    <row r="57" spans="1:3" x14ac:dyDescent="0.35">
      <c r="A57" s="1" t="s">
        <v>204</v>
      </c>
      <c r="B57" s="1">
        <v>2033</v>
      </c>
      <c r="C57" s="1">
        <v>996160.41799999995</v>
      </c>
    </row>
    <row r="58" spans="1:3" x14ac:dyDescent="0.35">
      <c r="A58" s="1" t="s">
        <v>193</v>
      </c>
      <c r="B58" s="1">
        <v>2034</v>
      </c>
      <c r="C58" s="1">
        <v>189592.37040000001</v>
      </c>
    </row>
    <row r="59" spans="1:3" x14ac:dyDescent="0.35">
      <c r="A59" s="1" t="s">
        <v>192</v>
      </c>
      <c r="B59" s="1">
        <v>2034</v>
      </c>
      <c r="C59" s="1">
        <v>2429660.1639999999</v>
      </c>
    </row>
    <row r="60" spans="1:3" x14ac:dyDescent="0.35">
      <c r="A60" s="1" t="s">
        <v>222</v>
      </c>
      <c r="B60" s="1">
        <v>2034</v>
      </c>
      <c r="C60" s="1">
        <v>157937.71400000001</v>
      </c>
    </row>
    <row r="61" spans="1:3" x14ac:dyDescent="0.35">
      <c r="A61" s="1" t="s">
        <v>204</v>
      </c>
      <c r="B61" s="1">
        <v>2034</v>
      </c>
      <c r="C61" s="1">
        <v>966278.76100000006</v>
      </c>
    </row>
    <row r="62" spans="1:3" x14ac:dyDescent="0.35">
      <c r="A62" s="1" t="s">
        <v>193</v>
      </c>
      <c r="B62" s="1">
        <v>2035</v>
      </c>
      <c r="C62" s="1">
        <v>189671.37849999999</v>
      </c>
    </row>
    <row r="63" spans="1:3" x14ac:dyDescent="0.35">
      <c r="A63" s="1" t="s">
        <v>192</v>
      </c>
      <c r="B63" s="1">
        <v>2035</v>
      </c>
      <c r="C63" s="1">
        <v>2473313.2650000001</v>
      </c>
    </row>
    <row r="64" spans="1:3" x14ac:dyDescent="0.35">
      <c r="A64" s="1" t="s">
        <v>222</v>
      </c>
      <c r="B64" s="1">
        <v>2035</v>
      </c>
      <c r="C64" s="1">
        <v>161310.57800000001</v>
      </c>
    </row>
    <row r="65" spans="1:3" x14ac:dyDescent="0.35">
      <c r="A65" s="1" t="s">
        <v>204</v>
      </c>
      <c r="B65" s="1">
        <v>2035</v>
      </c>
      <c r="C65" s="1">
        <v>939809.076</v>
      </c>
    </row>
    <row r="66" spans="1:3" x14ac:dyDescent="0.35">
      <c r="A66" s="1" t="s">
        <v>193</v>
      </c>
      <c r="B66" s="1">
        <v>2036</v>
      </c>
      <c r="C66" s="1">
        <v>189741.73389999999</v>
      </c>
    </row>
    <row r="67" spans="1:3" x14ac:dyDescent="0.35">
      <c r="A67" s="1" t="s">
        <v>192</v>
      </c>
      <c r="B67" s="1">
        <v>2036</v>
      </c>
      <c r="C67" s="1">
        <v>2512835.2769999998</v>
      </c>
    </row>
    <row r="68" spans="1:3" x14ac:dyDescent="0.35">
      <c r="A68" s="1" t="s">
        <v>222</v>
      </c>
      <c r="B68" s="1">
        <v>2036</v>
      </c>
      <c r="C68" s="1">
        <v>164760.88699999999</v>
      </c>
    </row>
    <row r="69" spans="1:3" x14ac:dyDescent="0.35">
      <c r="A69" s="1" t="s">
        <v>204</v>
      </c>
      <c r="B69" s="1">
        <v>2036</v>
      </c>
      <c r="C69" s="1">
        <v>916837.32799999998</v>
      </c>
    </row>
    <row r="70" spans="1:3" x14ac:dyDescent="0.35">
      <c r="A70" s="1" t="s">
        <v>193</v>
      </c>
      <c r="B70" s="1">
        <v>2037</v>
      </c>
      <c r="C70" s="1">
        <v>190016.35509999999</v>
      </c>
    </row>
    <row r="71" spans="1:3" x14ac:dyDescent="0.35">
      <c r="A71" s="1" t="s">
        <v>192</v>
      </c>
      <c r="B71" s="1">
        <v>2037</v>
      </c>
      <c r="C71" s="1">
        <v>2549580.1340000001</v>
      </c>
    </row>
    <row r="72" spans="1:3" x14ac:dyDescent="0.35">
      <c r="A72" s="1" t="s">
        <v>222</v>
      </c>
      <c r="B72" s="1">
        <v>2037</v>
      </c>
      <c r="C72" s="1">
        <v>168423.584</v>
      </c>
    </row>
    <row r="73" spans="1:3" x14ac:dyDescent="0.35">
      <c r="A73" s="1" t="s">
        <v>204</v>
      </c>
      <c r="B73" s="1">
        <v>2037</v>
      </c>
      <c r="C73" s="1">
        <v>897685.51599999995</v>
      </c>
    </row>
    <row r="74" spans="1:3" x14ac:dyDescent="0.35">
      <c r="A74" s="1" t="s">
        <v>193</v>
      </c>
      <c r="B74" s="1">
        <v>2038</v>
      </c>
      <c r="C74" s="1">
        <v>190293.97640000001</v>
      </c>
    </row>
    <row r="75" spans="1:3" x14ac:dyDescent="0.35">
      <c r="A75" s="1" t="s">
        <v>192</v>
      </c>
      <c r="B75" s="1">
        <v>2038</v>
      </c>
      <c r="C75" s="1">
        <v>2583804.2710000002</v>
      </c>
    </row>
    <row r="76" spans="1:3" x14ac:dyDescent="0.35">
      <c r="A76" s="1" t="s">
        <v>222</v>
      </c>
      <c r="B76" s="1">
        <v>2038</v>
      </c>
      <c r="C76" s="1">
        <v>172034.745</v>
      </c>
    </row>
    <row r="77" spans="1:3" x14ac:dyDescent="0.35">
      <c r="A77" s="1" t="s">
        <v>204</v>
      </c>
      <c r="B77" s="1">
        <v>2038</v>
      </c>
      <c r="C77" s="1">
        <v>882476.03300000005</v>
      </c>
    </row>
    <row r="78" spans="1:3" x14ac:dyDescent="0.35">
      <c r="A78" s="1" t="s">
        <v>193</v>
      </c>
      <c r="B78" s="1">
        <v>2039</v>
      </c>
      <c r="C78" s="1">
        <v>190610.7175</v>
      </c>
    </row>
    <row r="79" spans="1:3" x14ac:dyDescent="0.35">
      <c r="A79" s="1" t="s">
        <v>192</v>
      </c>
      <c r="B79" s="1">
        <v>2039</v>
      </c>
      <c r="C79" s="1">
        <v>2615314.9619999998</v>
      </c>
    </row>
    <row r="80" spans="1:3" x14ac:dyDescent="0.35">
      <c r="A80" s="1" t="s">
        <v>222</v>
      </c>
      <c r="B80" s="1">
        <v>2039</v>
      </c>
      <c r="C80" s="1">
        <v>175634.46799999999</v>
      </c>
    </row>
    <row r="81" spans="1:3" x14ac:dyDescent="0.35">
      <c r="A81" s="1" t="s">
        <v>204</v>
      </c>
      <c r="B81" s="1">
        <v>2039</v>
      </c>
      <c r="C81" s="1">
        <v>870383.95499999996</v>
      </c>
    </row>
    <row r="82" spans="1:3" x14ac:dyDescent="0.35">
      <c r="A82" s="1" t="s">
        <v>193</v>
      </c>
      <c r="B82" s="1">
        <v>2040</v>
      </c>
      <c r="C82" s="1">
        <v>190970.98680000001</v>
      </c>
    </row>
    <row r="83" spans="1:3" x14ac:dyDescent="0.35">
      <c r="A83" s="1" t="s">
        <v>192</v>
      </c>
      <c r="B83" s="1">
        <v>2040</v>
      </c>
      <c r="C83" s="1">
        <v>2646150.2910000002</v>
      </c>
    </row>
    <row r="84" spans="1:3" x14ac:dyDescent="0.35">
      <c r="A84" s="1" t="s">
        <v>222</v>
      </c>
      <c r="B84" s="1">
        <v>2040</v>
      </c>
      <c r="C84" s="1">
        <v>179230.97200000001</v>
      </c>
    </row>
    <row r="85" spans="1:3" x14ac:dyDescent="0.35">
      <c r="A85" s="1" t="s">
        <v>204</v>
      </c>
      <c r="B85" s="1">
        <v>2040</v>
      </c>
      <c r="C85" s="1">
        <v>861964.58</v>
      </c>
    </row>
    <row r="86" spans="1:3" x14ac:dyDescent="0.35">
      <c r="A86" s="1" t="s">
        <v>193</v>
      </c>
      <c r="B86" s="1">
        <v>2041</v>
      </c>
      <c r="C86" s="1">
        <v>191453.59779999999</v>
      </c>
    </row>
    <row r="87" spans="1:3" x14ac:dyDescent="0.35">
      <c r="A87" s="1" t="s">
        <v>192</v>
      </c>
      <c r="B87" s="1">
        <v>2041</v>
      </c>
      <c r="C87" s="1">
        <v>2674284.6540000001</v>
      </c>
    </row>
    <row r="88" spans="1:3" x14ac:dyDescent="0.35">
      <c r="A88" s="1" t="s">
        <v>222</v>
      </c>
      <c r="B88" s="1">
        <v>2041</v>
      </c>
      <c r="C88" s="1">
        <v>183064.33100000001</v>
      </c>
    </row>
    <row r="89" spans="1:3" x14ac:dyDescent="0.35">
      <c r="A89" s="1" t="s">
        <v>204</v>
      </c>
      <c r="B89" s="1">
        <v>2041</v>
      </c>
      <c r="C89" s="1">
        <v>855630.73400000005</v>
      </c>
    </row>
    <row r="90" spans="1:3" x14ac:dyDescent="0.35">
      <c r="A90" s="1" t="s">
        <v>193</v>
      </c>
      <c r="B90" s="1">
        <v>2042</v>
      </c>
      <c r="C90" s="1">
        <v>192054.36309999999</v>
      </c>
    </row>
    <row r="91" spans="1:3" x14ac:dyDescent="0.35">
      <c r="A91" s="1" t="s">
        <v>192</v>
      </c>
      <c r="B91" s="1">
        <v>2042</v>
      </c>
      <c r="C91" s="1">
        <v>2699678.19</v>
      </c>
    </row>
    <row r="92" spans="1:3" x14ac:dyDescent="0.35">
      <c r="A92" s="1" t="s">
        <v>222</v>
      </c>
      <c r="B92" s="1">
        <v>2042</v>
      </c>
      <c r="C92" s="1">
        <v>186996.95600000001</v>
      </c>
    </row>
    <row r="93" spans="1:3" x14ac:dyDescent="0.35">
      <c r="A93" s="1" t="s">
        <v>204</v>
      </c>
      <c r="B93" s="1">
        <v>2042</v>
      </c>
      <c r="C93" s="1">
        <v>850804.74699999997</v>
      </c>
    </row>
    <row r="94" spans="1:3" x14ac:dyDescent="0.35">
      <c r="A94" s="1" t="s">
        <v>193</v>
      </c>
      <c r="B94" s="1">
        <v>2043</v>
      </c>
      <c r="C94" s="1">
        <v>192587.74789999999</v>
      </c>
    </row>
    <row r="95" spans="1:3" x14ac:dyDescent="0.35">
      <c r="A95" s="1" t="s">
        <v>192</v>
      </c>
      <c r="B95" s="1">
        <v>2043</v>
      </c>
      <c r="C95" s="1">
        <v>2724653.0090000001</v>
      </c>
    </row>
    <row r="96" spans="1:3" x14ac:dyDescent="0.35">
      <c r="A96" s="1" t="s">
        <v>222</v>
      </c>
      <c r="B96" s="1">
        <v>2043</v>
      </c>
      <c r="C96" s="1">
        <v>190871.391</v>
      </c>
    </row>
    <row r="97" spans="1:3" x14ac:dyDescent="0.35">
      <c r="A97" s="1" t="s">
        <v>204</v>
      </c>
      <c r="B97" s="1">
        <v>2043</v>
      </c>
      <c r="C97" s="1">
        <v>847901.91799999995</v>
      </c>
    </row>
    <row r="98" spans="1:3" x14ac:dyDescent="0.35">
      <c r="A98" s="1" t="s">
        <v>193</v>
      </c>
      <c r="B98" s="1">
        <v>2044</v>
      </c>
      <c r="C98" s="1">
        <v>193047.80609999999</v>
      </c>
    </row>
    <row r="99" spans="1:3" x14ac:dyDescent="0.35">
      <c r="A99" s="1" t="s">
        <v>192</v>
      </c>
      <c r="B99" s="1">
        <v>2044</v>
      </c>
      <c r="C99" s="1">
        <v>2748073.8020000001</v>
      </c>
    </row>
    <row r="100" spans="1:3" x14ac:dyDescent="0.35">
      <c r="A100" s="1" t="s">
        <v>222</v>
      </c>
      <c r="B100" s="1">
        <v>2044</v>
      </c>
      <c r="C100" s="1">
        <v>194784.18700000001</v>
      </c>
    </row>
    <row r="101" spans="1:3" x14ac:dyDescent="0.35">
      <c r="A101" s="1" t="s">
        <v>204</v>
      </c>
      <c r="B101" s="1">
        <v>2044</v>
      </c>
      <c r="C101" s="1">
        <v>846015.01699999999</v>
      </c>
    </row>
    <row r="102" spans="1:3" x14ac:dyDescent="0.35">
      <c r="A102" s="1" t="s">
        <v>193</v>
      </c>
      <c r="B102" s="1">
        <v>2045</v>
      </c>
      <c r="C102" s="1">
        <v>193394.29629999999</v>
      </c>
    </row>
    <row r="103" spans="1:3" x14ac:dyDescent="0.35">
      <c r="A103" s="1" t="s">
        <v>192</v>
      </c>
      <c r="B103" s="1">
        <v>2045</v>
      </c>
      <c r="C103" s="1">
        <v>2770397.1660000002</v>
      </c>
    </row>
    <row r="104" spans="1:3" x14ac:dyDescent="0.35">
      <c r="A104" s="1" t="s">
        <v>222</v>
      </c>
      <c r="B104" s="1">
        <v>2045</v>
      </c>
      <c r="C104" s="1">
        <v>198765.693</v>
      </c>
    </row>
    <row r="105" spans="1:3" x14ac:dyDescent="0.35">
      <c r="A105" s="1" t="s">
        <v>204</v>
      </c>
      <c r="B105" s="1">
        <v>2045</v>
      </c>
      <c r="C105" s="1">
        <v>844884.71200000006</v>
      </c>
    </row>
    <row r="106" spans="1:3" x14ac:dyDescent="0.35">
      <c r="A106" s="1" t="s">
        <v>193</v>
      </c>
      <c r="B106" s="1">
        <v>2046</v>
      </c>
      <c r="C106" s="1">
        <v>193830.55290000001</v>
      </c>
    </row>
    <row r="107" spans="1:3" x14ac:dyDescent="0.35">
      <c r="A107" s="1" t="s">
        <v>192</v>
      </c>
      <c r="B107" s="1">
        <v>2046</v>
      </c>
      <c r="C107" s="1">
        <v>2793342.4109999998</v>
      </c>
    </row>
    <row r="108" spans="1:3" x14ac:dyDescent="0.35">
      <c r="A108" s="1" t="s">
        <v>222</v>
      </c>
      <c r="B108" s="1">
        <v>2046</v>
      </c>
      <c r="C108" s="1">
        <v>202974.114</v>
      </c>
    </row>
    <row r="109" spans="1:3" x14ac:dyDescent="0.35">
      <c r="A109" s="1" t="s">
        <v>204</v>
      </c>
      <c r="B109" s="1">
        <v>2046</v>
      </c>
      <c r="C109" s="1">
        <v>845135.25600000005</v>
      </c>
    </row>
    <row r="110" spans="1:3" x14ac:dyDescent="0.35">
      <c r="A110" s="1" t="s">
        <v>193</v>
      </c>
      <c r="B110" s="1">
        <v>2047</v>
      </c>
      <c r="C110" s="1">
        <v>193839.5312</v>
      </c>
    </row>
    <row r="111" spans="1:3" x14ac:dyDescent="0.35">
      <c r="A111" s="1" t="s">
        <v>192</v>
      </c>
      <c r="B111" s="1">
        <v>2047</v>
      </c>
      <c r="C111" s="1">
        <v>2817418.2620000001</v>
      </c>
    </row>
    <row r="112" spans="1:3" x14ac:dyDescent="0.35">
      <c r="A112" s="1" t="s">
        <v>222</v>
      </c>
      <c r="B112" s="1">
        <v>2047</v>
      </c>
      <c r="C112" s="1">
        <v>206951.79</v>
      </c>
    </row>
    <row r="113" spans="1:3" x14ac:dyDescent="0.35">
      <c r="A113" s="1" t="s">
        <v>204</v>
      </c>
      <c r="B113" s="1">
        <v>2047</v>
      </c>
      <c r="C113" s="1">
        <v>845825.82200000004</v>
      </c>
    </row>
    <row r="114" spans="1:3" x14ac:dyDescent="0.35">
      <c r="A114" s="1" t="s">
        <v>193</v>
      </c>
      <c r="B114" s="1">
        <v>2048</v>
      </c>
      <c r="C114" s="1">
        <v>193480.38269999999</v>
      </c>
    </row>
    <row r="115" spans="1:3" x14ac:dyDescent="0.35">
      <c r="A115" s="1" t="s">
        <v>192</v>
      </c>
      <c r="B115" s="1">
        <v>2048</v>
      </c>
      <c r="C115" s="1">
        <v>2841721.6919999998</v>
      </c>
    </row>
    <row r="116" spans="1:3" x14ac:dyDescent="0.35">
      <c r="A116" s="1" t="s">
        <v>222</v>
      </c>
      <c r="B116" s="1">
        <v>2048</v>
      </c>
      <c r="C116" s="1">
        <v>210744.30100000001</v>
      </c>
    </row>
    <row r="117" spans="1:3" x14ac:dyDescent="0.35">
      <c r="A117" s="1" t="s">
        <v>204</v>
      </c>
      <c r="B117" s="1">
        <v>2048</v>
      </c>
      <c r="C117" s="1">
        <v>846651.25100000005</v>
      </c>
    </row>
    <row r="118" spans="1:3" x14ac:dyDescent="0.35">
      <c r="A118" s="1" t="s">
        <v>193</v>
      </c>
      <c r="B118" s="1">
        <v>2049</v>
      </c>
      <c r="C118" s="1">
        <v>193608.07459999999</v>
      </c>
    </row>
    <row r="119" spans="1:3" x14ac:dyDescent="0.35">
      <c r="A119" s="1" t="s">
        <v>192</v>
      </c>
      <c r="B119" s="1">
        <v>2049</v>
      </c>
      <c r="C119" s="1">
        <v>2866483.3050000002</v>
      </c>
    </row>
    <row r="120" spans="1:3" x14ac:dyDescent="0.35">
      <c r="A120" s="1" t="s">
        <v>222</v>
      </c>
      <c r="B120" s="1">
        <v>2049</v>
      </c>
      <c r="C120" s="1">
        <v>215131.821</v>
      </c>
    </row>
    <row r="121" spans="1:3" x14ac:dyDescent="0.35">
      <c r="A121" s="1" t="s">
        <v>204</v>
      </c>
      <c r="B121" s="1">
        <v>2049</v>
      </c>
      <c r="C121" s="1">
        <v>847708.85499999998</v>
      </c>
    </row>
    <row r="122" spans="1:3" x14ac:dyDescent="0.35">
      <c r="A122" s="1" t="s">
        <v>193</v>
      </c>
      <c r="B122" s="1">
        <v>2050</v>
      </c>
      <c r="C122" s="1">
        <v>194188.55050000001</v>
      </c>
    </row>
    <row r="123" spans="1:3" x14ac:dyDescent="0.35">
      <c r="A123" s="1" t="s">
        <v>192</v>
      </c>
      <c r="B123" s="1">
        <v>2050</v>
      </c>
      <c r="C123" s="1">
        <v>2892942.5290000001</v>
      </c>
    </row>
    <row r="124" spans="1:3" x14ac:dyDescent="0.35">
      <c r="A124" s="1" t="s">
        <v>222</v>
      </c>
      <c r="B124" s="1">
        <v>2050</v>
      </c>
      <c r="C124" s="1">
        <v>220055.75599999999</v>
      </c>
    </row>
    <row r="125" spans="1:3" x14ac:dyDescent="0.35">
      <c r="A125" s="1" t="s">
        <v>204</v>
      </c>
      <c r="B125" s="1">
        <v>2050</v>
      </c>
      <c r="C125" s="1">
        <v>849019.72380000004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9741-B419-4572-B47C-16C53BD7D159}">
  <dimension ref="A1:H743"/>
  <sheetViews>
    <sheetView workbookViewId="0">
      <selection activeCell="E22" sqref="E22"/>
    </sheetView>
  </sheetViews>
  <sheetFormatPr defaultRowHeight="14.5" x14ac:dyDescent="0.35"/>
  <cols>
    <col min="2" max="2" width="13.26953125" customWidth="1"/>
    <col min="4" max="4" width="8.90625" customWidth="1"/>
    <col min="5" max="5" width="14" customWidth="1"/>
    <col min="6" max="6" width="12.54296875" bestFit="1" customWidth="1"/>
    <col min="7" max="7" width="12.08984375" customWidth="1"/>
    <col min="8" max="8" width="11.26953125" customWidth="1"/>
  </cols>
  <sheetData>
    <row r="1" spans="1:8" x14ac:dyDescent="0.35">
      <c r="A1" s="9" t="s">
        <v>0</v>
      </c>
      <c r="B1" s="9" t="s">
        <v>72</v>
      </c>
      <c r="C1" s="9" t="s">
        <v>78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</row>
    <row r="2" spans="1:8" x14ac:dyDescent="0.35">
      <c r="A2" s="1" t="s">
        <v>3</v>
      </c>
      <c r="B2" s="1" t="s">
        <v>79</v>
      </c>
      <c r="C2" s="1" t="s">
        <v>80</v>
      </c>
      <c r="D2" s="1">
        <v>6644.1636019999996</v>
      </c>
      <c r="E2" s="1">
        <v>2434.1060000000002</v>
      </c>
      <c r="F2" s="1">
        <v>570.62400000000002</v>
      </c>
      <c r="G2" s="1"/>
      <c r="H2" s="1">
        <v>7478.3875280000002</v>
      </c>
    </row>
    <row r="3" spans="1:8" x14ac:dyDescent="0.35">
      <c r="A3" s="1" t="s">
        <v>3</v>
      </c>
      <c r="B3" s="1" t="s">
        <v>81</v>
      </c>
      <c r="C3" s="1" t="s">
        <v>80</v>
      </c>
      <c r="D3" s="1">
        <v>6360.0571099999997</v>
      </c>
      <c r="E3" s="1">
        <v>93129.600000000006</v>
      </c>
      <c r="F3" s="1">
        <v>46564.800000000003</v>
      </c>
      <c r="G3" s="1"/>
      <c r="H3" s="1"/>
    </row>
    <row r="4" spans="1:8" x14ac:dyDescent="0.35">
      <c r="A4" s="1" t="s">
        <v>3</v>
      </c>
      <c r="B4" s="1" t="s">
        <v>82</v>
      </c>
      <c r="C4" s="1" t="s">
        <v>80</v>
      </c>
      <c r="D4" s="1">
        <v>4409.6109290000004</v>
      </c>
      <c r="E4" s="1">
        <v>24629.120999999999</v>
      </c>
      <c r="F4" s="1">
        <v>12254.032999999999</v>
      </c>
      <c r="G4" s="1"/>
      <c r="H4" s="1"/>
    </row>
    <row r="5" spans="1:8" x14ac:dyDescent="0.35">
      <c r="A5" s="1" t="s">
        <v>3</v>
      </c>
      <c r="B5" s="1" t="s">
        <v>83</v>
      </c>
      <c r="C5" s="1" t="s">
        <v>80</v>
      </c>
      <c r="D5" s="1">
        <v>4508.987365</v>
      </c>
      <c r="E5" s="1">
        <v>8286.875</v>
      </c>
      <c r="F5" s="1">
        <v>3961.741</v>
      </c>
      <c r="G5" s="1"/>
      <c r="H5" s="1"/>
    </row>
    <row r="6" spans="1:8" x14ac:dyDescent="0.35">
      <c r="A6" s="1" t="s">
        <v>3</v>
      </c>
      <c r="B6" s="1" t="s">
        <v>84</v>
      </c>
      <c r="C6" s="1" t="s">
        <v>80</v>
      </c>
      <c r="D6" s="1">
        <v>1390.3532600000001</v>
      </c>
      <c r="E6" s="1">
        <v>11824.441999999999</v>
      </c>
      <c r="F6" s="1">
        <v>5912.2209999999995</v>
      </c>
      <c r="G6" s="1"/>
      <c r="H6" s="1"/>
    </row>
    <row r="7" spans="1:8" x14ac:dyDescent="0.35">
      <c r="A7" s="1" t="s">
        <v>3</v>
      </c>
      <c r="B7" s="1" t="s">
        <v>85</v>
      </c>
      <c r="C7" s="1" t="s">
        <v>80</v>
      </c>
      <c r="D7" s="1">
        <v>0</v>
      </c>
      <c r="E7" s="1">
        <v>0</v>
      </c>
      <c r="F7" s="1">
        <v>0</v>
      </c>
      <c r="G7" s="1"/>
      <c r="H7" s="1"/>
    </row>
    <row r="8" spans="1:8" x14ac:dyDescent="0.35">
      <c r="A8" s="1" t="s">
        <v>3</v>
      </c>
      <c r="B8" s="1" t="s">
        <v>86</v>
      </c>
      <c r="C8" s="1" t="s">
        <v>80</v>
      </c>
      <c r="D8" s="1">
        <v>5698.1801560000004</v>
      </c>
      <c r="E8" s="1">
        <v>6068.9089999999997</v>
      </c>
      <c r="F8" s="1">
        <v>2030.49</v>
      </c>
      <c r="G8" s="1">
        <v>7688.5148319999998</v>
      </c>
      <c r="H8" s="1">
        <v>2572.3655570000001</v>
      </c>
    </row>
    <row r="9" spans="1:8" x14ac:dyDescent="0.35">
      <c r="A9" s="1" t="s">
        <v>4</v>
      </c>
      <c r="B9" s="1" t="s">
        <v>79</v>
      </c>
      <c r="C9" s="1" t="s">
        <v>80</v>
      </c>
      <c r="D9" s="1">
        <v>850.57823289999999</v>
      </c>
      <c r="E9" s="1">
        <v>2056.8319999999999</v>
      </c>
      <c r="F9" s="1">
        <v>1001.501</v>
      </c>
      <c r="G9" s="1"/>
      <c r="H9" s="1">
        <v>1132.980877</v>
      </c>
    </row>
    <row r="10" spans="1:8" x14ac:dyDescent="0.35">
      <c r="A10" s="1" t="s">
        <v>4</v>
      </c>
      <c r="B10" s="1" t="s">
        <v>81</v>
      </c>
      <c r="C10" s="1" t="s">
        <v>80</v>
      </c>
      <c r="D10" s="1">
        <v>850.09047999999996</v>
      </c>
      <c r="E10" s="1">
        <v>19098.394</v>
      </c>
      <c r="F10" s="1">
        <v>9549.1970000000001</v>
      </c>
      <c r="G10" s="1"/>
      <c r="H10" s="1"/>
    </row>
    <row r="11" spans="1:8" x14ac:dyDescent="0.35">
      <c r="A11" s="1" t="s">
        <v>4</v>
      </c>
      <c r="B11" s="1" t="s">
        <v>82</v>
      </c>
      <c r="C11" s="1" t="s">
        <v>80</v>
      </c>
      <c r="D11" s="1">
        <v>293.0509361</v>
      </c>
      <c r="E11" s="1">
        <v>2741.17</v>
      </c>
      <c r="F11" s="1">
        <v>1370.4860000000001</v>
      </c>
      <c r="G11" s="1"/>
      <c r="H11" s="1"/>
    </row>
    <row r="12" spans="1:8" x14ac:dyDescent="0.35">
      <c r="A12" s="1" t="s">
        <v>4</v>
      </c>
      <c r="B12" s="1" t="s">
        <v>83</v>
      </c>
      <c r="C12" s="1" t="s">
        <v>80</v>
      </c>
      <c r="D12" s="1">
        <v>123.07949910000001</v>
      </c>
      <c r="E12" s="1">
        <v>867.16099999999994</v>
      </c>
      <c r="F12" s="1">
        <v>430.77600000000001</v>
      </c>
      <c r="G12" s="1"/>
      <c r="H12" s="1"/>
    </row>
    <row r="13" spans="1:8" x14ac:dyDescent="0.35">
      <c r="A13" s="1" t="s">
        <v>4</v>
      </c>
      <c r="B13" s="1" t="s">
        <v>84</v>
      </c>
      <c r="C13" s="1" t="s">
        <v>80</v>
      </c>
      <c r="D13" s="1">
        <v>181.87476000000001</v>
      </c>
      <c r="E13" s="1">
        <v>2854.114</v>
      </c>
      <c r="F13" s="1">
        <v>1427.057</v>
      </c>
      <c r="G13" s="1"/>
      <c r="H13" s="1"/>
    </row>
    <row r="14" spans="1:8" x14ac:dyDescent="0.35">
      <c r="A14" s="1" t="s">
        <v>4</v>
      </c>
      <c r="B14" s="1" t="s">
        <v>85</v>
      </c>
      <c r="C14" s="1" t="s">
        <v>80</v>
      </c>
      <c r="D14" s="1">
        <v>0</v>
      </c>
      <c r="E14" s="1">
        <v>0</v>
      </c>
      <c r="F14" s="1">
        <v>0</v>
      </c>
      <c r="G14" s="1"/>
      <c r="H14" s="1"/>
    </row>
    <row r="15" spans="1:8" x14ac:dyDescent="0.35">
      <c r="A15" s="1" t="s">
        <v>4</v>
      </c>
      <c r="B15" s="1" t="s">
        <v>86</v>
      </c>
      <c r="C15" s="1" t="s">
        <v>80</v>
      </c>
      <c r="D15" s="1">
        <v>291.18219449999998</v>
      </c>
      <c r="E15" s="1">
        <v>1611.9349999999999</v>
      </c>
      <c r="F15" s="1">
        <v>799.26700000000005</v>
      </c>
      <c r="G15" s="1">
        <v>998.11381800000004</v>
      </c>
      <c r="H15" s="1">
        <v>494.90794419999997</v>
      </c>
    </row>
    <row r="16" spans="1:8" x14ac:dyDescent="0.35">
      <c r="A16" s="1" t="s">
        <v>5</v>
      </c>
      <c r="B16" s="1" t="s">
        <v>79</v>
      </c>
      <c r="C16" s="1" t="s">
        <v>80</v>
      </c>
      <c r="D16" s="1">
        <v>7158.0484649999999</v>
      </c>
      <c r="E16" s="1">
        <v>3724.6030000000001</v>
      </c>
      <c r="F16" s="1">
        <v>916.173</v>
      </c>
      <c r="G16" s="1"/>
      <c r="H16" s="1">
        <v>5265.2837589999999</v>
      </c>
    </row>
    <row r="17" spans="1:8" x14ac:dyDescent="0.35">
      <c r="A17" s="1" t="s">
        <v>5</v>
      </c>
      <c r="B17" s="1" t="s">
        <v>81</v>
      </c>
      <c r="C17" s="1" t="s">
        <v>80</v>
      </c>
      <c r="D17" s="1">
        <v>1241.5336299999999</v>
      </c>
      <c r="E17" s="1">
        <v>59406.87</v>
      </c>
      <c r="F17" s="1">
        <v>29703.435000000001</v>
      </c>
      <c r="G17" s="1"/>
      <c r="H17" s="1"/>
    </row>
    <row r="18" spans="1:8" x14ac:dyDescent="0.35">
      <c r="A18" s="1" t="s">
        <v>5</v>
      </c>
      <c r="B18" s="1" t="s">
        <v>82</v>
      </c>
      <c r="C18" s="1" t="s">
        <v>80</v>
      </c>
      <c r="D18" s="1">
        <v>1794.357072</v>
      </c>
      <c r="E18" s="1">
        <v>6764.4759999999997</v>
      </c>
      <c r="F18" s="1">
        <v>3342.58</v>
      </c>
      <c r="G18" s="1"/>
      <c r="H18" s="1"/>
    </row>
    <row r="19" spans="1:8" x14ac:dyDescent="0.35">
      <c r="A19" s="1" t="s">
        <v>5</v>
      </c>
      <c r="B19" s="1" t="s">
        <v>83</v>
      </c>
      <c r="C19" s="1" t="s">
        <v>80</v>
      </c>
      <c r="D19" s="1">
        <v>2032.518861</v>
      </c>
      <c r="E19" s="1">
        <v>4561.4719999999998</v>
      </c>
      <c r="F19" s="1">
        <v>2185.864</v>
      </c>
      <c r="G19" s="1"/>
      <c r="H19" s="1"/>
    </row>
    <row r="20" spans="1:8" x14ac:dyDescent="0.35">
      <c r="A20" s="1" t="s">
        <v>5</v>
      </c>
      <c r="B20" s="1" t="s">
        <v>84</v>
      </c>
      <c r="C20" s="1" t="s">
        <v>80</v>
      </c>
      <c r="D20" s="1">
        <v>650.02630999999997</v>
      </c>
      <c r="E20" s="1">
        <v>5922.37</v>
      </c>
      <c r="F20" s="1">
        <v>2961.1849999999999</v>
      </c>
      <c r="G20" s="1"/>
      <c r="H20" s="1"/>
    </row>
    <row r="21" spans="1:8" x14ac:dyDescent="0.35">
      <c r="A21" s="1" t="s">
        <v>5</v>
      </c>
      <c r="B21" s="1" t="s">
        <v>85</v>
      </c>
      <c r="C21" s="1" t="s">
        <v>80</v>
      </c>
      <c r="D21" s="1">
        <v>98.854509280000002</v>
      </c>
      <c r="E21" s="1">
        <v>76.968000000000004</v>
      </c>
      <c r="F21" s="1">
        <v>19.242000000000001</v>
      </c>
      <c r="G21" s="1"/>
      <c r="H21" s="1"/>
    </row>
    <row r="22" spans="1:8" x14ac:dyDescent="0.35">
      <c r="A22" s="1" t="s">
        <v>5</v>
      </c>
      <c r="B22" s="1" t="s">
        <v>86</v>
      </c>
      <c r="C22" s="1" t="s">
        <v>80</v>
      </c>
      <c r="D22" s="1">
        <v>3714.589986</v>
      </c>
      <c r="E22" s="1">
        <v>3599.8780000000002</v>
      </c>
      <c r="F22" s="1">
        <v>1262.9390000000001</v>
      </c>
      <c r="G22" s="1">
        <v>8058.1555129999997</v>
      </c>
      <c r="H22" s="1">
        <v>2827.0288230000001</v>
      </c>
    </row>
    <row r="23" spans="1:8" x14ac:dyDescent="0.35">
      <c r="A23" s="1" t="s">
        <v>6</v>
      </c>
      <c r="B23" s="1" t="s">
        <v>79</v>
      </c>
      <c r="C23" s="1" t="s">
        <v>80</v>
      </c>
      <c r="D23" s="1">
        <v>4296.7689739999996</v>
      </c>
      <c r="E23" s="1">
        <v>1751.711</v>
      </c>
      <c r="F23" s="1">
        <v>438.90499999999997</v>
      </c>
      <c r="G23" s="1"/>
      <c r="H23" s="1">
        <v>6720.269378</v>
      </c>
    </row>
    <row r="24" spans="1:8" x14ac:dyDescent="0.35">
      <c r="A24" s="1" t="s">
        <v>6</v>
      </c>
      <c r="B24" s="1" t="s">
        <v>81</v>
      </c>
      <c r="C24" s="1" t="s">
        <v>80</v>
      </c>
      <c r="D24" s="1">
        <v>2292.3748399999999</v>
      </c>
      <c r="E24" s="1">
        <v>122571.89200000001</v>
      </c>
      <c r="F24" s="1">
        <v>61285.946000000004</v>
      </c>
      <c r="G24" s="1"/>
      <c r="H24" s="1"/>
    </row>
    <row r="25" spans="1:8" x14ac:dyDescent="0.35">
      <c r="A25" s="1" t="s">
        <v>6</v>
      </c>
      <c r="B25" s="1" t="s">
        <v>82</v>
      </c>
      <c r="C25" s="1" t="s">
        <v>80</v>
      </c>
      <c r="D25" s="1">
        <v>3674.4900130000001</v>
      </c>
      <c r="E25" s="1">
        <v>23675.859</v>
      </c>
      <c r="F25" s="1">
        <v>11818.344999999999</v>
      </c>
      <c r="G25" s="1"/>
      <c r="H25" s="1"/>
    </row>
    <row r="26" spans="1:8" x14ac:dyDescent="0.35">
      <c r="A26" s="1" t="s">
        <v>6</v>
      </c>
      <c r="B26" s="1" t="s">
        <v>83</v>
      </c>
      <c r="C26" s="1" t="s">
        <v>80</v>
      </c>
      <c r="D26" s="1">
        <v>2870.6895690000001</v>
      </c>
      <c r="E26" s="1">
        <v>6387.7889999999998</v>
      </c>
      <c r="F26" s="1">
        <v>3066.7049999999999</v>
      </c>
      <c r="G26" s="1"/>
      <c r="H26" s="1"/>
    </row>
    <row r="27" spans="1:8" x14ac:dyDescent="0.35">
      <c r="A27" s="1" t="s">
        <v>6</v>
      </c>
      <c r="B27" s="1" t="s">
        <v>84</v>
      </c>
      <c r="C27" s="1" t="s">
        <v>80</v>
      </c>
      <c r="D27" s="1">
        <v>709.08842000000004</v>
      </c>
      <c r="E27" s="1">
        <v>13524.05</v>
      </c>
      <c r="F27" s="1">
        <v>6762.0249999999996</v>
      </c>
      <c r="G27" s="1"/>
      <c r="H27" s="1"/>
    </row>
    <row r="28" spans="1:8" x14ac:dyDescent="0.35">
      <c r="A28" s="1" t="s">
        <v>6</v>
      </c>
      <c r="B28" s="1" t="s">
        <v>85</v>
      </c>
      <c r="C28" s="1" t="s">
        <v>80</v>
      </c>
      <c r="D28" s="1">
        <v>320.3863321</v>
      </c>
      <c r="E28" s="1">
        <v>288.14400000000001</v>
      </c>
      <c r="F28" s="1">
        <v>72.036000000000001</v>
      </c>
      <c r="G28" s="1"/>
      <c r="H28" s="1"/>
    </row>
    <row r="29" spans="1:8" x14ac:dyDescent="0.35">
      <c r="A29" s="1" t="s">
        <v>6</v>
      </c>
      <c r="B29" s="1" t="s">
        <v>86</v>
      </c>
      <c r="C29" s="1" t="s">
        <v>80</v>
      </c>
      <c r="D29" s="1">
        <v>3781.4796310000002</v>
      </c>
      <c r="E29" s="1">
        <v>5118.8090000000002</v>
      </c>
      <c r="F29" s="1">
        <v>1876.9659999999999</v>
      </c>
      <c r="G29" s="1">
        <v>5519.662139</v>
      </c>
      <c r="H29" s="1">
        <v>2023.950916</v>
      </c>
    </row>
    <row r="30" spans="1:8" x14ac:dyDescent="0.35">
      <c r="A30" s="1" t="s">
        <v>7</v>
      </c>
      <c r="B30" s="1" t="s">
        <v>79</v>
      </c>
      <c r="C30" s="1" t="s">
        <v>80</v>
      </c>
      <c r="D30" s="1">
        <v>17184.357929999998</v>
      </c>
      <c r="E30" s="1">
        <v>5513.9989999999998</v>
      </c>
      <c r="F30" s="1">
        <v>1214.297</v>
      </c>
      <c r="G30" s="1"/>
      <c r="H30" s="1">
        <v>8538.3462479999998</v>
      </c>
    </row>
    <row r="31" spans="1:8" x14ac:dyDescent="0.35">
      <c r="A31" s="1" t="s">
        <v>7</v>
      </c>
      <c r="B31" s="1" t="s">
        <v>81</v>
      </c>
      <c r="C31" s="1" t="s">
        <v>80</v>
      </c>
      <c r="D31" s="1">
        <v>3328.9912599999998</v>
      </c>
      <c r="E31" s="1">
        <v>81594.236000000004</v>
      </c>
      <c r="F31" s="1">
        <v>40797.118000000002</v>
      </c>
      <c r="G31" s="1"/>
      <c r="H31" s="1"/>
    </row>
    <row r="32" spans="1:8" x14ac:dyDescent="0.35">
      <c r="A32" s="1" t="s">
        <v>7</v>
      </c>
      <c r="B32" s="1" t="s">
        <v>82</v>
      </c>
      <c r="C32" s="1" t="s">
        <v>80</v>
      </c>
      <c r="D32" s="1">
        <v>9485.0997449999995</v>
      </c>
      <c r="E32" s="1">
        <v>24370.712</v>
      </c>
      <c r="F32" s="1">
        <v>12052.1</v>
      </c>
      <c r="G32" s="1"/>
      <c r="H32" s="1"/>
    </row>
    <row r="33" spans="1:8" x14ac:dyDescent="0.35">
      <c r="A33" s="1" t="s">
        <v>7</v>
      </c>
      <c r="B33" s="1" t="s">
        <v>83</v>
      </c>
      <c r="C33" s="1" t="s">
        <v>80</v>
      </c>
      <c r="D33" s="1">
        <v>8332.4783920000009</v>
      </c>
      <c r="E33" s="1">
        <v>12861.442999999999</v>
      </c>
      <c r="F33" s="1">
        <v>6184.5709999999999</v>
      </c>
      <c r="G33" s="1"/>
      <c r="H33" s="1"/>
    </row>
    <row r="34" spans="1:8" x14ac:dyDescent="0.35">
      <c r="A34" s="1" t="s">
        <v>7</v>
      </c>
      <c r="B34" s="1" t="s">
        <v>84</v>
      </c>
      <c r="C34" s="1" t="s">
        <v>80</v>
      </c>
      <c r="D34" s="1">
        <v>1023.16837</v>
      </c>
      <c r="E34" s="1">
        <v>14973.08</v>
      </c>
      <c r="F34" s="1">
        <v>7486.54</v>
      </c>
      <c r="G34" s="1"/>
      <c r="H34" s="1"/>
    </row>
    <row r="35" spans="1:8" x14ac:dyDescent="0.35">
      <c r="A35" s="1" t="s">
        <v>7</v>
      </c>
      <c r="B35" s="1" t="s">
        <v>85</v>
      </c>
      <c r="C35" s="1" t="s">
        <v>80</v>
      </c>
      <c r="D35" s="1">
        <v>5976.7556450000002</v>
      </c>
      <c r="E35" s="1">
        <v>1742.3679999999999</v>
      </c>
      <c r="F35" s="1">
        <v>415.69400000000002</v>
      </c>
      <c r="G35" s="1"/>
      <c r="H35" s="1"/>
    </row>
    <row r="36" spans="1:8" x14ac:dyDescent="0.35">
      <c r="A36" s="1" t="s">
        <v>7</v>
      </c>
      <c r="B36" s="1" t="s">
        <v>86</v>
      </c>
      <c r="C36" s="1" t="s">
        <v>80</v>
      </c>
      <c r="D36" s="1">
        <v>11149.62363</v>
      </c>
      <c r="E36" s="1">
        <v>8680.8439999999991</v>
      </c>
      <c r="F36" s="1">
        <v>3375.8020000000001</v>
      </c>
      <c r="G36" s="1">
        <v>9048.7872399999997</v>
      </c>
      <c r="H36" s="1">
        <v>3518.8875720000001</v>
      </c>
    </row>
    <row r="37" spans="1:8" x14ac:dyDescent="0.35">
      <c r="A37" s="1" t="s">
        <v>8</v>
      </c>
      <c r="B37" s="1" t="s">
        <v>79</v>
      </c>
      <c r="C37" s="1" t="s">
        <v>80</v>
      </c>
      <c r="D37" s="1">
        <v>4935.0395859999999</v>
      </c>
      <c r="E37" s="1">
        <v>2628.1089999999999</v>
      </c>
      <c r="F37" s="1">
        <v>648.12099999999998</v>
      </c>
      <c r="G37" s="1"/>
      <c r="H37" s="1">
        <v>5144.6330420000004</v>
      </c>
    </row>
    <row r="38" spans="1:8" x14ac:dyDescent="0.35">
      <c r="A38" s="1" t="s">
        <v>8</v>
      </c>
      <c r="B38" s="1" t="s">
        <v>81</v>
      </c>
      <c r="C38" s="1" t="s">
        <v>80</v>
      </c>
      <c r="D38" s="1">
        <v>1621.6949999999999</v>
      </c>
      <c r="E38" s="1">
        <v>94351.14</v>
      </c>
      <c r="F38" s="1">
        <v>47175.57</v>
      </c>
      <c r="G38" s="1"/>
      <c r="H38" s="1"/>
    </row>
    <row r="39" spans="1:8" x14ac:dyDescent="0.35">
      <c r="A39" s="1" t="s">
        <v>8</v>
      </c>
      <c r="B39" s="1" t="s">
        <v>82</v>
      </c>
      <c r="C39" s="1" t="s">
        <v>80</v>
      </c>
      <c r="D39" s="1">
        <v>1925.0551909999999</v>
      </c>
      <c r="E39" s="1">
        <v>10908.151</v>
      </c>
      <c r="F39" s="1">
        <v>5449.3580000000002</v>
      </c>
      <c r="G39" s="1"/>
      <c r="H39" s="1"/>
    </row>
    <row r="40" spans="1:8" x14ac:dyDescent="0.35">
      <c r="A40" s="1" t="s">
        <v>8</v>
      </c>
      <c r="B40" s="1" t="s">
        <v>83</v>
      </c>
      <c r="C40" s="1" t="s">
        <v>80</v>
      </c>
      <c r="D40" s="1">
        <v>2094.6596970000001</v>
      </c>
      <c r="E40" s="1">
        <v>7015.4610000000002</v>
      </c>
      <c r="F40" s="1">
        <v>3473.4490000000001</v>
      </c>
      <c r="G40" s="1"/>
      <c r="H40" s="1"/>
    </row>
    <row r="41" spans="1:8" x14ac:dyDescent="0.35">
      <c r="A41" s="1" t="s">
        <v>8</v>
      </c>
      <c r="B41" s="1" t="s">
        <v>84</v>
      </c>
      <c r="C41" s="1" t="s">
        <v>80</v>
      </c>
      <c r="D41" s="1">
        <v>810.66499999999996</v>
      </c>
      <c r="E41" s="1">
        <v>17656.428</v>
      </c>
      <c r="F41" s="1">
        <v>8828.2139999999999</v>
      </c>
      <c r="G41" s="1"/>
      <c r="H41" s="1"/>
    </row>
    <row r="42" spans="1:8" x14ac:dyDescent="0.35">
      <c r="A42" s="1" t="s">
        <v>8</v>
      </c>
      <c r="B42" s="1" t="s">
        <v>85</v>
      </c>
      <c r="C42" s="1" t="s">
        <v>80</v>
      </c>
      <c r="D42" s="1">
        <v>282.32326599999999</v>
      </c>
      <c r="E42" s="1">
        <v>114.788</v>
      </c>
      <c r="F42" s="1">
        <v>28.126999999999999</v>
      </c>
      <c r="G42" s="1"/>
      <c r="H42" s="1"/>
    </row>
    <row r="43" spans="1:8" x14ac:dyDescent="0.35">
      <c r="A43" s="1" t="s">
        <v>8</v>
      </c>
      <c r="B43" s="1" t="s">
        <v>86</v>
      </c>
      <c r="C43" s="1" t="s">
        <v>80</v>
      </c>
      <c r="D43" s="1">
        <v>4546.5205990000004</v>
      </c>
      <c r="E43" s="1">
        <v>5783.1850000000004</v>
      </c>
      <c r="F43" s="1">
        <v>2568.471</v>
      </c>
      <c r="G43" s="1">
        <v>4849.6637959999998</v>
      </c>
      <c r="H43" s="1">
        <v>2153.8686419999999</v>
      </c>
    </row>
    <row r="44" spans="1:8" x14ac:dyDescent="0.35">
      <c r="A44" s="1" t="s">
        <v>9</v>
      </c>
      <c r="B44" s="1" t="s">
        <v>79</v>
      </c>
      <c r="C44" s="1" t="s">
        <v>80</v>
      </c>
      <c r="D44" s="1">
        <v>490.17237</v>
      </c>
      <c r="E44" s="1">
        <v>149.82</v>
      </c>
      <c r="F44" s="1">
        <v>28.74</v>
      </c>
      <c r="G44" s="1"/>
      <c r="H44" s="1">
        <v>8963.6764120000007</v>
      </c>
    </row>
    <row r="45" spans="1:8" x14ac:dyDescent="0.35">
      <c r="A45" s="1" t="s">
        <v>9</v>
      </c>
      <c r="B45" s="1" t="s">
        <v>81</v>
      </c>
      <c r="C45" s="1" t="s">
        <v>80</v>
      </c>
      <c r="D45" s="1">
        <v>558.78069000000005</v>
      </c>
      <c r="E45" s="1">
        <v>8019.98</v>
      </c>
      <c r="F45" s="1">
        <v>4009.99</v>
      </c>
      <c r="G45" s="1"/>
      <c r="H45" s="1"/>
    </row>
    <row r="46" spans="1:8" x14ac:dyDescent="0.35">
      <c r="A46" s="1" t="s">
        <v>9</v>
      </c>
      <c r="B46" s="1" t="s">
        <v>82</v>
      </c>
      <c r="C46" s="1" t="s">
        <v>80</v>
      </c>
      <c r="D46" s="1">
        <v>827.63567499999999</v>
      </c>
      <c r="E46" s="1">
        <v>1714.08</v>
      </c>
      <c r="F46" s="1">
        <v>856.35</v>
      </c>
      <c r="G46" s="1"/>
      <c r="H46" s="1"/>
    </row>
    <row r="47" spans="1:8" x14ac:dyDescent="0.35">
      <c r="A47" s="1" t="s">
        <v>9</v>
      </c>
      <c r="B47" s="1" t="s">
        <v>83</v>
      </c>
      <c r="C47" s="1" t="s">
        <v>80</v>
      </c>
      <c r="D47" s="1">
        <v>413.10827749999999</v>
      </c>
      <c r="E47" s="1">
        <v>438.19</v>
      </c>
      <c r="F47" s="1">
        <v>217.55</v>
      </c>
      <c r="G47" s="1"/>
      <c r="H47" s="1"/>
    </row>
    <row r="48" spans="1:8" x14ac:dyDescent="0.35">
      <c r="A48" s="1" t="s">
        <v>9</v>
      </c>
      <c r="B48" s="1" t="s">
        <v>84</v>
      </c>
      <c r="C48" s="1" t="s">
        <v>80</v>
      </c>
      <c r="D48" s="1">
        <v>146.13687999999999</v>
      </c>
      <c r="E48" s="1">
        <v>837.82</v>
      </c>
      <c r="F48" s="1">
        <v>418.91</v>
      </c>
      <c r="G48" s="1"/>
      <c r="H48" s="1"/>
    </row>
    <row r="49" spans="1:8" x14ac:dyDescent="0.35">
      <c r="A49" s="1" t="s">
        <v>9</v>
      </c>
      <c r="B49" s="1" t="s">
        <v>85</v>
      </c>
      <c r="C49" s="1" t="s">
        <v>80</v>
      </c>
      <c r="D49" s="1">
        <v>315.04573499999998</v>
      </c>
      <c r="E49" s="1">
        <v>141.13999999999999</v>
      </c>
      <c r="F49" s="1">
        <v>35.520000000000003</v>
      </c>
      <c r="G49" s="1"/>
      <c r="H49" s="1"/>
    </row>
    <row r="50" spans="1:8" x14ac:dyDescent="0.35">
      <c r="A50" s="1" t="s">
        <v>9</v>
      </c>
      <c r="B50" s="1" t="s">
        <v>86</v>
      </c>
      <c r="C50" s="1" t="s">
        <v>80</v>
      </c>
      <c r="D50" s="1">
        <v>437.80874</v>
      </c>
      <c r="E50" s="1">
        <v>255.1</v>
      </c>
      <c r="F50" s="1">
        <v>122.07</v>
      </c>
      <c r="G50" s="1">
        <v>9826.1325469999992</v>
      </c>
      <c r="H50" s="1">
        <v>4701.9835359999997</v>
      </c>
    </row>
    <row r="51" spans="1:8" x14ac:dyDescent="0.35">
      <c r="A51" s="1" t="s">
        <v>10</v>
      </c>
      <c r="B51" s="1" t="s">
        <v>79</v>
      </c>
      <c r="C51" s="1" t="s">
        <v>80</v>
      </c>
      <c r="D51" s="1">
        <v>0</v>
      </c>
      <c r="E51" s="1">
        <v>0</v>
      </c>
      <c r="F51" s="1">
        <v>0</v>
      </c>
      <c r="G51" s="1"/>
      <c r="H51" s="1">
        <v>0</v>
      </c>
    </row>
    <row r="52" spans="1:8" x14ac:dyDescent="0.35">
      <c r="A52" s="1" t="s">
        <v>10</v>
      </c>
      <c r="B52" s="1" t="s">
        <v>81</v>
      </c>
      <c r="C52" s="1" t="s">
        <v>80</v>
      </c>
      <c r="D52" s="1">
        <v>441.32040999999998</v>
      </c>
      <c r="E52" s="1">
        <v>3981.76</v>
      </c>
      <c r="F52" s="1">
        <v>1990.88</v>
      </c>
      <c r="G52" s="1"/>
      <c r="H52" s="1"/>
    </row>
    <row r="53" spans="1:8" x14ac:dyDescent="0.35">
      <c r="A53" s="1" t="s">
        <v>10</v>
      </c>
      <c r="B53" s="1" t="s">
        <v>82</v>
      </c>
      <c r="C53" s="1" t="s">
        <v>80</v>
      </c>
      <c r="D53" s="1">
        <v>584.98727389999999</v>
      </c>
      <c r="E53" s="1">
        <v>777.28</v>
      </c>
      <c r="F53" s="1">
        <v>388.59</v>
      </c>
      <c r="G53" s="1"/>
      <c r="H53" s="1"/>
    </row>
    <row r="54" spans="1:8" x14ac:dyDescent="0.35">
      <c r="A54" s="1" t="s">
        <v>10</v>
      </c>
      <c r="B54" s="1" t="s">
        <v>83</v>
      </c>
      <c r="C54" s="1" t="s">
        <v>80</v>
      </c>
      <c r="D54" s="1">
        <v>240.0056223</v>
      </c>
      <c r="E54" s="1">
        <v>197.84</v>
      </c>
      <c r="F54" s="1">
        <v>89.19</v>
      </c>
      <c r="G54" s="1"/>
      <c r="H54" s="1"/>
    </row>
    <row r="55" spans="1:8" x14ac:dyDescent="0.35">
      <c r="A55" s="1" t="s">
        <v>10</v>
      </c>
      <c r="B55" s="1" t="s">
        <v>84</v>
      </c>
      <c r="C55" s="1" t="s">
        <v>80</v>
      </c>
      <c r="D55" s="1">
        <v>163.29734999999999</v>
      </c>
      <c r="E55" s="1">
        <v>509.94</v>
      </c>
      <c r="F55" s="1">
        <v>254.97</v>
      </c>
      <c r="G55" s="1"/>
      <c r="H55" s="1"/>
    </row>
    <row r="56" spans="1:8" x14ac:dyDescent="0.35">
      <c r="A56" s="1" t="s">
        <v>10</v>
      </c>
      <c r="B56" s="1" t="s">
        <v>85</v>
      </c>
      <c r="C56" s="1" t="s">
        <v>80</v>
      </c>
      <c r="D56" s="1">
        <v>374.8467875</v>
      </c>
      <c r="E56" s="1">
        <v>125.34</v>
      </c>
      <c r="F56" s="1">
        <v>29.35</v>
      </c>
      <c r="G56" s="1"/>
      <c r="H56" s="1"/>
    </row>
    <row r="57" spans="1:8" x14ac:dyDescent="0.35">
      <c r="A57" s="1" t="s">
        <v>10</v>
      </c>
      <c r="B57" s="1" t="s">
        <v>86</v>
      </c>
      <c r="C57" s="1" t="s">
        <v>80</v>
      </c>
      <c r="D57" s="1">
        <v>722.80035310000005</v>
      </c>
      <c r="E57" s="1">
        <v>332.89</v>
      </c>
      <c r="F57" s="1">
        <v>99.27</v>
      </c>
      <c r="G57" s="1">
        <v>19948.372520000001</v>
      </c>
      <c r="H57" s="1">
        <v>5948.7366400000001</v>
      </c>
    </row>
    <row r="58" spans="1:8" x14ac:dyDescent="0.35">
      <c r="A58" s="1" t="s">
        <v>11</v>
      </c>
      <c r="B58" s="1" t="s">
        <v>79</v>
      </c>
      <c r="C58" s="1" t="s">
        <v>80</v>
      </c>
      <c r="D58" s="1">
        <v>0</v>
      </c>
      <c r="E58" s="1">
        <v>0</v>
      </c>
      <c r="F58" s="1">
        <v>0</v>
      </c>
      <c r="G58" s="1"/>
      <c r="H58" s="1">
        <v>0</v>
      </c>
    </row>
    <row r="59" spans="1:8" x14ac:dyDescent="0.35">
      <c r="A59" s="1" t="s">
        <v>11</v>
      </c>
      <c r="B59" s="1" t="s">
        <v>81</v>
      </c>
      <c r="C59" s="1" t="s">
        <v>80</v>
      </c>
      <c r="D59" s="1">
        <v>0</v>
      </c>
      <c r="E59" s="1">
        <v>0</v>
      </c>
      <c r="F59" s="1">
        <v>0</v>
      </c>
      <c r="G59" s="1"/>
      <c r="H59" s="1"/>
    </row>
    <row r="60" spans="1:8" x14ac:dyDescent="0.35">
      <c r="A60" s="1" t="s">
        <v>11</v>
      </c>
      <c r="B60" s="1" t="s">
        <v>82</v>
      </c>
      <c r="C60" s="1" t="s">
        <v>80</v>
      </c>
      <c r="D60" s="1">
        <v>0</v>
      </c>
      <c r="E60" s="1">
        <v>0</v>
      </c>
      <c r="F60" s="1">
        <v>0</v>
      </c>
      <c r="G60" s="1"/>
      <c r="H60" s="1"/>
    </row>
    <row r="61" spans="1:8" x14ac:dyDescent="0.35">
      <c r="A61" s="1" t="s">
        <v>11</v>
      </c>
      <c r="B61" s="1" t="s">
        <v>83</v>
      </c>
      <c r="C61" s="1" t="s">
        <v>80</v>
      </c>
      <c r="D61" s="1">
        <v>0</v>
      </c>
      <c r="E61" s="1">
        <v>0</v>
      </c>
      <c r="F61" s="1">
        <v>0</v>
      </c>
      <c r="G61" s="1"/>
      <c r="H61" s="1"/>
    </row>
    <row r="62" spans="1:8" x14ac:dyDescent="0.35">
      <c r="A62" s="1" t="s">
        <v>11</v>
      </c>
      <c r="B62" s="1" t="s">
        <v>84</v>
      </c>
      <c r="C62" s="1" t="s">
        <v>80</v>
      </c>
      <c r="D62" s="1">
        <v>0</v>
      </c>
      <c r="E62" s="1">
        <v>0</v>
      </c>
      <c r="F62" s="1">
        <v>0</v>
      </c>
      <c r="G62" s="1"/>
      <c r="H62" s="1"/>
    </row>
    <row r="63" spans="1:8" x14ac:dyDescent="0.35">
      <c r="A63" s="1" t="s">
        <v>11</v>
      </c>
      <c r="B63" s="1" t="s">
        <v>85</v>
      </c>
      <c r="C63" s="1" t="s">
        <v>80</v>
      </c>
      <c r="D63" s="1">
        <v>0</v>
      </c>
      <c r="E63" s="1">
        <v>0</v>
      </c>
      <c r="F63" s="1">
        <v>0</v>
      </c>
      <c r="G63" s="1"/>
      <c r="H63" s="1"/>
    </row>
    <row r="64" spans="1:8" x14ac:dyDescent="0.35">
      <c r="A64" s="1" t="s">
        <v>11</v>
      </c>
      <c r="B64" s="1" t="s">
        <v>86</v>
      </c>
      <c r="C64" s="1" t="s">
        <v>80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 x14ac:dyDescent="0.35">
      <c r="A65" s="1" t="s">
        <v>12</v>
      </c>
      <c r="B65" s="1" t="s">
        <v>79</v>
      </c>
      <c r="C65" s="1" t="s">
        <v>80</v>
      </c>
      <c r="D65" s="1">
        <v>11165.791230000001</v>
      </c>
      <c r="E65" s="1">
        <v>3576.3739999999998</v>
      </c>
      <c r="F65" s="1">
        <v>717.26700000000005</v>
      </c>
      <c r="G65" s="1"/>
      <c r="H65" s="1">
        <v>8553.6940080000004</v>
      </c>
    </row>
    <row r="66" spans="1:8" x14ac:dyDescent="0.35">
      <c r="A66" s="1" t="s">
        <v>12</v>
      </c>
      <c r="B66" s="1" t="s">
        <v>81</v>
      </c>
      <c r="C66" s="1" t="s">
        <v>80</v>
      </c>
      <c r="D66" s="1">
        <v>5575.3611300000002</v>
      </c>
      <c r="E66" s="1">
        <v>46929.275999999998</v>
      </c>
      <c r="F66" s="1">
        <v>23464.637999999999</v>
      </c>
      <c r="G66" s="1"/>
      <c r="H66" s="1"/>
    </row>
    <row r="67" spans="1:8" x14ac:dyDescent="0.35">
      <c r="A67" s="1" t="s">
        <v>12</v>
      </c>
      <c r="B67" s="1" t="s">
        <v>82</v>
      </c>
      <c r="C67" s="1" t="s">
        <v>80</v>
      </c>
      <c r="D67" s="1">
        <v>3956.079757</v>
      </c>
      <c r="E67" s="1">
        <v>8122.875</v>
      </c>
      <c r="F67" s="1">
        <v>4023.018</v>
      </c>
      <c r="G67" s="1"/>
      <c r="H67" s="1"/>
    </row>
    <row r="68" spans="1:8" x14ac:dyDescent="0.35">
      <c r="A68" s="1" t="s">
        <v>12</v>
      </c>
      <c r="B68" s="1" t="s">
        <v>83</v>
      </c>
      <c r="C68" s="1" t="s">
        <v>80</v>
      </c>
      <c r="D68" s="1">
        <v>4062.7288319999998</v>
      </c>
      <c r="E68" s="1">
        <v>4578.8450000000003</v>
      </c>
      <c r="F68" s="1">
        <v>2192.2840000000001</v>
      </c>
      <c r="G68" s="1"/>
      <c r="H68" s="1"/>
    </row>
    <row r="69" spans="1:8" x14ac:dyDescent="0.35">
      <c r="A69" s="1" t="s">
        <v>12</v>
      </c>
      <c r="B69" s="1" t="s">
        <v>84</v>
      </c>
      <c r="C69" s="1" t="s">
        <v>80</v>
      </c>
      <c r="D69" s="1">
        <v>1575.1611499999999</v>
      </c>
      <c r="E69" s="1">
        <v>6409.3140000000003</v>
      </c>
      <c r="F69" s="1">
        <v>3204.6570000000002</v>
      </c>
      <c r="G69" s="1"/>
      <c r="H69" s="1"/>
    </row>
    <row r="70" spans="1:8" x14ac:dyDescent="0.35">
      <c r="A70" s="1" t="s">
        <v>12</v>
      </c>
      <c r="B70" s="1" t="s">
        <v>85</v>
      </c>
      <c r="C70" s="1" t="s">
        <v>80</v>
      </c>
      <c r="D70" s="1">
        <v>2326.1607979999999</v>
      </c>
      <c r="E70" s="1">
        <v>689.50400000000002</v>
      </c>
      <c r="F70" s="1">
        <v>176.71899999999999</v>
      </c>
      <c r="G70" s="1"/>
      <c r="H70" s="1"/>
    </row>
    <row r="71" spans="1:8" x14ac:dyDescent="0.35">
      <c r="A71" s="1" t="s">
        <v>12</v>
      </c>
      <c r="B71" s="1" t="s">
        <v>86</v>
      </c>
      <c r="C71" s="1" t="s">
        <v>80</v>
      </c>
      <c r="D71" s="1">
        <v>8869.7483919999995</v>
      </c>
      <c r="E71" s="1">
        <v>7499.1850000000004</v>
      </c>
      <c r="F71" s="1">
        <v>2616.3150000000001</v>
      </c>
      <c r="G71" s="1">
        <v>9288.1325560000005</v>
      </c>
      <c r="H71" s="1">
        <v>3240.442865</v>
      </c>
    </row>
    <row r="72" spans="1:8" x14ac:dyDescent="0.35">
      <c r="A72" s="1" t="s">
        <v>13</v>
      </c>
      <c r="B72" s="1" t="s">
        <v>79</v>
      </c>
      <c r="C72" s="1" t="s">
        <v>80</v>
      </c>
      <c r="D72" s="1">
        <v>8113.7514979999996</v>
      </c>
      <c r="E72" s="1">
        <v>2567.828</v>
      </c>
      <c r="F72" s="1">
        <v>537.322</v>
      </c>
      <c r="G72" s="1"/>
      <c r="H72" s="1">
        <v>8656.9101050000008</v>
      </c>
    </row>
    <row r="73" spans="1:8" x14ac:dyDescent="0.35">
      <c r="A73" s="1" t="s">
        <v>13</v>
      </c>
      <c r="B73" s="1" t="s">
        <v>81</v>
      </c>
      <c r="C73" s="1" t="s">
        <v>80</v>
      </c>
      <c r="D73" s="1">
        <v>4465.4304400000001</v>
      </c>
      <c r="E73" s="1">
        <v>100379.26</v>
      </c>
      <c r="F73" s="1">
        <v>50189.63</v>
      </c>
      <c r="G73" s="1"/>
      <c r="H73" s="1"/>
    </row>
    <row r="74" spans="1:8" x14ac:dyDescent="0.35">
      <c r="A74" s="1" t="s">
        <v>13</v>
      </c>
      <c r="B74" s="1" t="s">
        <v>82</v>
      </c>
      <c r="C74" s="1" t="s">
        <v>80</v>
      </c>
      <c r="D74" s="1">
        <v>5715.0497370000003</v>
      </c>
      <c r="E74" s="1">
        <v>23248.911</v>
      </c>
      <c r="F74" s="1">
        <v>11594.24</v>
      </c>
      <c r="G74" s="1"/>
      <c r="H74" s="1"/>
    </row>
    <row r="75" spans="1:8" x14ac:dyDescent="0.35">
      <c r="A75" s="1" t="s">
        <v>13</v>
      </c>
      <c r="B75" s="1" t="s">
        <v>83</v>
      </c>
      <c r="C75" s="1" t="s">
        <v>80</v>
      </c>
      <c r="D75" s="1">
        <v>5915.6053229999998</v>
      </c>
      <c r="E75" s="1">
        <v>10058.088</v>
      </c>
      <c r="F75" s="1">
        <v>4720.299</v>
      </c>
      <c r="G75" s="1"/>
      <c r="H75" s="1"/>
    </row>
    <row r="76" spans="1:8" x14ac:dyDescent="0.35">
      <c r="A76" s="1" t="s">
        <v>13</v>
      </c>
      <c r="B76" s="1" t="s">
        <v>84</v>
      </c>
      <c r="C76" s="1" t="s">
        <v>80</v>
      </c>
      <c r="D76" s="1">
        <v>1185.75981</v>
      </c>
      <c r="E76" s="1">
        <v>13471.34</v>
      </c>
      <c r="F76" s="1">
        <v>6735.67</v>
      </c>
      <c r="G76" s="1"/>
      <c r="H76" s="1"/>
    </row>
    <row r="77" spans="1:8" x14ac:dyDescent="0.35">
      <c r="A77" s="1" t="s">
        <v>13</v>
      </c>
      <c r="B77" s="1" t="s">
        <v>85</v>
      </c>
      <c r="C77" s="1" t="s">
        <v>80</v>
      </c>
      <c r="D77" s="1">
        <v>0</v>
      </c>
      <c r="E77" s="1">
        <v>0</v>
      </c>
      <c r="F77" s="1">
        <v>0</v>
      </c>
      <c r="G77" s="1"/>
      <c r="H77" s="1"/>
    </row>
    <row r="78" spans="1:8" x14ac:dyDescent="0.35">
      <c r="A78" s="1" t="s">
        <v>13</v>
      </c>
      <c r="B78" s="1" t="s">
        <v>86</v>
      </c>
      <c r="C78" s="1" t="s">
        <v>80</v>
      </c>
      <c r="D78" s="1">
        <v>6414.26487</v>
      </c>
      <c r="E78" s="1">
        <v>7918.7209999999995</v>
      </c>
      <c r="F78" s="1">
        <v>2428.009</v>
      </c>
      <c r="G78" s="1">
        <v>7237.7525830000004</v>
      </c>
      <c r="H78" s="1">
        <v>2219.212978</v>
      </c>
    </row>
    <row r="79" spans="1:8" x14ac:dyDescent="0.35">
      <c r="A79" s="1" t="s">
        <v>14</v>
      </c>
      <c r="B79" s="1" t="s">
        <v>79</v>
      </c>
      <c r="C79" s="1" t="s">
        <v>80</v>
      </c>
      <c r="D79" s="1">
        <v>0</v>
      </c>
      <c r="E79" s="1">
        <v>0</v>
      </c>
      <c r="F79" s="1">
        <v>0</v>
      </c>
      <c r="G79" s="1"/>
      <c r="H79" s="1">
        <v>0</v>
      </c>
    </row>
    <row r="80" spans="1:8" x14ac:dyDescent="0.35">
      <c r="A80" s="1" t="s">
        <v>14</v>
      </c>
      <c r="B80" s="1" t="s">
        <v>81</v>
      </c>
      <c r="C80" s="1" t="s">
        <v>80</v>
      </c>
      <c r="D80" s="1">
        <v>749.62531999999999</v>
      </c>
      <c r="E80" s="1">
        <v>2048.1219999999998</v>
      </c>
      <c r="F80" s="1">
        <v>1024.0609999999999</v>
      </c>
      <c r="G80" s="1"/>
      <c r="H80" s="1"/>
    </row>
    <row r="81" spans="1:8" x14ac:dyDescent="0.35">
      <c r="A81" s="1" t="s">
        <v>14</v>
      </c>
      <c r="B81" s="1" t="s">
        <v>82</v>
      </c>
      <c r="C81" s="1" t="s">
        <v>80</v>
      </c>
      <c r="D81" s="1">
        <v>173.48460689999999</v>
      </c>
      <c r="E81" s="1">
        <v>440.666</v>
      </c>
      <c r="F81" s="1">
        <v>220.333</v>
      </c>
      <c r="G81" s="1"/>
      <c r="H81" s="1"/>
    </row>
    <row r="82" spans="1:8" x14ac:dyDescent="0.35">
      <c r="A82" s="1" t="s">
        <v>14</v>
      </c>
      <c r="B82" s="1" t="s">
        <v>83</v>
      </c>
      <c r="C82" s="1" t="s">
        <v>80</v>
      </c>
      <c r="D82" s="1">
        <v>560.77053390000003</v>
      </c>
      <c r="E82" s="1">
        <v>511.69400000000002</v>
      </c>
      <c r="F82" s="1">
        <v>255.126</v>
      </c>
      <c r="G82" s="1"/>
      <c r="H82" s="1"/>
    </row>
    <row r="83" spans="1:8" x14ac:dyDescent="0.35">
      <c r="A83" s="1" t="s">
        <v>14</v>
      </c>
      <c r="B83" s="1" t="s">
        <v>84</v>
      </c>
      <c r="C83" s="1" t="s">
        <v>80</v>
      </c>
      <c r="D83" s="1">
        <v>42.525419999999997</v>
      </c>
      <c r="E83" s="1">
        <v>160.82599999999999</v>
      </c>
      <c r="F83" s="1">
        <v>80.412999999999997</v>
      </c>
      <c r="G83" s="1"/>
      <c r="H83" s="1"/>
    </row>
    <row r="84" spans="1:8" x14ac:dyDescent="0.35">
      <c r="A84" s="1" t="s">
        <v>14</v>
      </c>
      <c r="B84" s="1" t="s">
        <v>85</v>
      </c>
      <c r="C84" s="1" t="s">
        <v>80</v>
      </c>
      <c r="D84" s="1">
        <v>0</v>
      </c>
      <c r="E84" s="1">
        <v>0</v>
      </c>
      <c r="F84" s="1">
        <v>0</v>
      </c>
      <c r="G84" s="1"/>
      <c r="H84" s="1"/>
    </row>
    <row r="85" spans="1:8" x14ac:dyDescent="0.35">
      <c r="A85" s="1" t="s">
        <v>14</v>
      </c>
      <c r="B85" s="1" t="s">
        <v>86</v>
      </c>
      <c r="C85" s="1" t="s">
        <v>80</v>
      </c>
      <c r="D85" s="1">
        <v>350.2623585</v>
      </c>
      <c r="E85" s="1">
        <v>157.07</v>
      </c>
      <c r="F85" s="1">
        <v>78.05</v>
      </c>
      <c r="G85" s="1">
        <v>12294.9763</v>
      </c>
      <c r="H85" s="1">
        <v>6109.5237790000001</v>
      </c>
    </row>
    <row r="86" spans="1:8" x14ac:dyDescent="0.35">
      <c r="A86" s="1" t="s">
        <v>15</v>
      </c>
      <c r="B86" s="1" t="s">
        <v>79</v>
      </c>
      <c r="C86" s="1" t="s">
        <v>80</v>
      </c>
      <c r="D86" s="1">
        <v>2787.7912700000002</v>
      </c>
      <c r="E86" s="1">
        <v>2079.8119999999999</v>
      </c>
      <c r="F86" s="1">
        <v>519.44899999999996</v>
      </c>
      <c r="G86" s="1"/>
      <c r="H86" s="1">
        <v>3672.3436059999999</v>
      </c>
    </row>
    <row r="87" spans="1:8" x14ac:dyDescent="0.35">
      <c r="A87" s="1" t="s">
        <v>15</v>
      </c>
      <c r="B87" s="1" t="s">
        <v>81</v>
      </c>
      <c r="C87" s="1" t="s">
        <v>80</v>
      </c>
      <c r="D87" s="1">
        <v>2220.1515599999998</v>
      </c>
      <c r="E87" s="1">
        <v>71039.861999999994</v>
      </c>
      <c r="F87" s="1">
        <v>35519.930999999997</v>
      </c>
      <c r="G87" s="1"/>
      <c r="H87" s="1"/>
    </row>
    <row r="88" spans="1:8" x14ac:dyDescent="0.35">
      <c r="A88" s="1" t="s">
        <v>15</v>
      </c>
      <c r="B88" s="1" t="s">
        <v>82</v>
      </c>
      <c r="C88" s="1" t="s">
        <v>80</v>
      </c>
      <c r="D88" s="1">
        <v>1410.183256</v>
      </c>
      <c r="E88" s="1">
        <v>11895.887000000001</v>
      </c>
      <c r="F88" s="1">
        <v>5930.7550000000001</v>
      </c>
      <c r="G88" s="1"/>
      <c r="H88" s="1"/>
    </row>
    <row r="89" spans="1:8" x14ac:dyDescent="0.35">
      <c r="A89" s="1" t="s">
        <v>15</v>
      </c>
      <c r="B89" s="1" t="s">
        <v>83</v>
      </c>
      <c r="C89" s="1" t="s">
        <v>80</v>
      </c>
      <c r="D89" s="1">
        <v>1116.12293</v>
      </c>
      <c r="E89" s="1">
        <v>3010.9720000000002</v>
      </c>
      <c r="F89" s="1">
        <v>1466.4179999999999</v>
      </c>
      <c r="G89" s="1"/>
      <c r="H89" s="1"/>
    </row>
    <row r="90" spans="1:8" x14ac:dyDescent="0.35">
      <c r="A90" s="1" t="s">
        <v>15</v>
      </c>
      <c r="B90" s="1" t="s">
        <v>84</v>
      </c>
      <c r="C90" s="1" t="s">
        <v>80</v>
      </c>
      <c r="D90" s="1">
        <v>0.219</v>
      </c>
      <c r="E90" s="1">
        <v>10.94</v>
      </c>
      <c r="F90" s="1">
        <v>5.47</v>
      </c>
      <c r="G90" s="1"/>
      <c r="H90" s="1"/>
    </row>
    <row r="91" spans="1:8" x14ac:dyDescent="0.35">
      <c r="A91" s="1" t="s">
        <v>15</v>
      </c>
      <c r="B91" s="1" t="s">
        <v>85</v>
      </c>
      <c r="C91" s="1" t="s">
        <v>80</v>
      </c>
      <c r="D91" s="1">
        <v>420.60614399999997</v>
      </c>
      <c r="E91" s="1">
        <v>359.42500000000001</v>
      </c>
      <c r="F91" s="1">
        <v>111.52</v>
      </c>
      <c r="G91" s="1"/>
      <c r="H91" s="1"/>
    </row>
    <row r="92" spans="1:8" x14ac:dyDescent="0.35">
      <c r="A92" s="1" t="s">
        <v>15</v>
      </c>
      <c r="B92" s="1" t="s">
        <v>86</v>
      </c>
      <c r="C92" s="1" t="s">
        <v>80</v>
      </c>
      <c r="D92" s="1">
        <v>2154.0253010000001</v>
      </c>
      <c r="E92" s="1">
        <v>3761.3429999999998</v>
      </c>
      <c r="F92" s="1">
        <v>1644.692</v>
      </c>
      <c r="G92" s="1">
        <v>3588.172849</v>
      </c>
      <c r="H92" s="1">
        <v>1568.97129</v>
      </c>
    </row>
    <row r="93" spans="1:8" x14ac:dyDescent="0.35">
      <c r="A93" s="1" t="s">
        <v>16</v>
      </c>
      <c r="B93" s="1" t="s">
        <v>79</v>
      </c>
      <c r="C93" s="1" t="s">
        <v>80</v>
      </c>
      <c r="D93" s="1">
        <v>9405.1479130000007</v>
      </c>
      <c r="E93" s="1">
        <v>5040.75</v>
      </c>
      <c r="F93" s="1">
        <v>1243.3399999999999</v>
      </c>
      <c r="G93" s="1"/>
      <c r="H93" s="1">
        <v>5111.8441759999996</v>
      </c>
    </row>
    <row r="94" spans="1:8" x14ac:dyDescent="0.35">
      <c r="A94" s="1" t="s">
        <v>16</v>
      </c>
      <c r="B94" s="1" t="s">
        <v>81</v>
      </c>
      <c r="C94" s="1" t="s">
        <v>80</v>
      </c>
      <c r="D94" s="1">
        <v>3261.0954200000001</v>
      </c>
      <c r="E94" s="1">
        <v>142840.06</v>
      </c>
      <c r="F94" s="1">
        <v>71420.03</v>
      </c>
      <c r="G94" s="1"/>
      <c r="H94" s="1"/>
    </row>
    <row r="95" spans="1:8" x14ac:dyDescent="0.35">
      <c r="A95" s="1" t="s">
        <v>16</v>
      </c>
      <c r="B95" s="1" t="s">
        <v>82</v>
      </c>
      <c r="C95" s="1" t="s">
        <v>80</v>
      </c>
      <c r="D95" s="1">
        <v>3843.3300760000002</v>
      </c>
      <c r="E95" s="1">
        <v>23365.32</v>
      </c>
      <c r="F95" s="1">
        <v>11673.43</v>
      </c>
      <c r="G95" s="1"/>
      <c r="H95" s="1"/>
    </row>
    <row r="96" spans="1:8" x14ac:dyDescent="0.35">
      <c r="A96" s="1" t="s">
        <v>16</v>
      </c>
      <c r="B96" s="1" t="s">
        <v>83</v>
      </c>
      <c r="C96" s="1" t="s">
        <v>80</v>
      </c>
      <c r="D96" s="1">
        <v>4363.1446580000002</v>
      </c>
      <c r="E96" s="1">
        <v>9538.58</v>
      </c>
      <c r="F96" s="1">
        <v>4729.16</v>
      </c>
      <c r="G96" s="1"/>
      <c r="H96" s="1"/>
    </row>
    <row r="97" spans="1:8" x14ac:dyDescent="0.35">
      <c r="A97" s="1" t="s">
        <v>16</v>
      </c>
      <c r="B97" s="1" t="s">
        <v>84</v>
      </c>
      <c r="C97" s="1" t="s">
        <v>80</v>
      </c>
      <c r="D97" s="1">
        <v>521.43133999999998</v>
      </c>
      <c r="E97" s="1">
        <v>9425.52</v>
      </c>
      <c r="F97" s="1">
        <v>4712.76</v>
      </c>
      <c r="G97" s="1"/>
      <c r="H97" s="1"/>
    </row>
    <row r="98" spans="1:8" x14ac:dyDescent="0.35">
      <c r="A98" s="1" t="s">
        <v>16</v>
      </c>
      <c r="B98" s="1" t="s">
        <v>85</v>
      </c>
      <c r="C98" s="1" t="s">
        <v>80</v>
      </c>
      <c r="D98" s="1">
        <v>161.79651749999999</v>
      </c>
      <c r="E98" s="1">
        <v>193.12</v>
      </c>
      <c r="F98" s="1">
        <v>48.28</v>
      </c>
      <c r="G98" s="1"/>
      <c r="H98" s="1"/>
    </row>
    <row r="99" spans="1:8" x14ac:dyDescent="0.35">
      <c r="A99" s="1" t="s">
        <v>16</v>
      </c>
      <c r="B99" s="1" t="s">
        <v>86</v>
      </c>
      <c r="C99" s="1" t="s">
        <v>80</v>
      </c>
      <c r="D99" s="1">
        <v>3819.6412070000001</v>
      </c>
      <c r="E99" s="1">
        <v>5257.5</v>
      </c>
      <c r="F99" s="1">
        <v>2360.1799999999998</v>
      </c>
      <c r="G99" s="1">
        <v>4433.8865809999998</v>
      </c>
      <c r="H99" s="1">
        <v>1990.446111</v>
      </c>
    </row>
    <row r="100" spans="1:8" x14ac:dyDescent="0.35">
      <c r="A100" s="1" t="s">
        <v>17</v>
      </c>
      <c r="B100" s="1" t="s">
        <v>79</v>
      </c>
      <c r="C100" s="1" t="s">
        <v>80</v>
      </c>
      <c r="D100" s="1">
        <v>8118.3254479999996</v>
      </c>
      <c r="E100" s="1">
        <v>3176.4319999999998</v>
      </c>
      <c r="F100" s="1">
        <v>784.79</v>
      </c>
      <c r="G100" s="1"/>
      <c r="H100" s="1">
        <v>7002.1922489999997</v>
      </c>
    </row>
    <row r="101" spans="1:8" x14ac:dyDescent="0.35">
      <c r="A101" s="1" t="s">
        <v>17</v>
      </c>
      <c r="B101" s="1" t="s">
        <v>81</v>
      </c>
      <c r="C101" s="1" t="s">
        <v>80</v>
      </c>
      <c r="D101" s="1">
        <v>5157.34926</v>
      </c>
      <c r="E101" s="1">
        <v>86027.394</v>
      </c>
      <c r="F101" s="1">
        <v>43013.697</v>
      </c>
      <c r="G101" s="1"/>
      <c r="H101" s="1"/>
    </row>
    <row r="102" spans="1:8" x14ac:dyDescent="0.35">
      <c r="A102" s="1" t="s">
        <v>17</v>
      </c>
      <c r="B102" s="1" t="s">
        <v>82</v>
      </c>
      <c r="C102" s="1" t="s">
        <v>80</v>
      </c>
      <c r="D102" s="1">
        <v>5338.9754579999999</v>
      </c>
      <c r="E102" s="1">
        <v>19994.486000000001</v>
      </c>
      <c r="F102" s="1">
        <v>9933.0329999999994</v>
      </c>
      <c r="G102" s="1"/>
      <c r="H102" s="1"/>
    </row>
    <row r="103" spans="1:8" x14ac:dyDescent="0.35">
      <c r="A103" s="1" t="s">
        <v>17</v>
      </c>
      <c r="B103" s="1" t="s">
        <v>83</v>
      </c>
      <c r="C103" s="1" t="s">
        <v>80</v>
      </c>
      <c r="D103" s="1">
        <v>3170.0726300000001</v>
      </c>
      <c r="E103" s="1">
        <v>4315.3580000000002</v>
      </c>
      <c r="F103" s="1">
        <v>2103.5520000000001</v>
      </c>
      <c r="G103" s="1"/>
      <c r="H103" s="1"/>
    </row>
    <row r="104" spans="1:8" x14ac:dyDescent="0.35">
      <c r="A104" s="1" t="s">
        <v>17</v>
      </c>
      <c r="B104" s="1" t="s">
        <v>84</v>
      </c>
      <c r="C104" s="1" t="s">
        <v>80</v>
      </c>
      <c r="D104" s="1">
        <v>1983.5198700000001</v>
      </c>
      <c r="E104" s="1">
        <v>17225.058000000001</v>
      </c>
      <c r="F104" s="1">
        <v>8612.5290000000005</v>
      </c>
      <c r="G104" s="1"/>
      <c r="H104" s="1"/>
    </row>
    <row r="105" spans="1:8" x14ac:dyDescent="0.35">
      <c r="A105" s="1" t="s">
        <v>17</v>
      </c>
      <c r="B105" s="1" t="s">
        <v>85</v>
      </c>
      <c r="C105" s="1" t="s">
        <v>80</v>
      </c>
      <c r="D105" s="1">
        <v>927.66673839999999</v>
      </c>
      <c r="E105" s="1">
        <v>613.90099999999995</v>
      </c>
      <c r="F105" s="1">
        <v>153.571</v>
      </c>
      <c r="G105" s="1"/>
      <c r="H105" s="1"/>
    </row>
    <row r="106" spans="1:8" x14ac:dyDescent="0.35">
      <c r="A106" s="1" t="s">
        <v>17</v>
      </c>
      <c r="B106" s="1" t="s">
        <v>86</v>
      </c>
      <c r="C106" s="1" t="s">
        <v>80</v>
      </c>
      <c r="D106" s="1">
        <v>5410.1286639999998</v>
      </c>
      <c r="E106" s="1">
        <v>5159.067</v>
      </c>
      <c r="F106" s="1">
        <v>1971.75</v>
      </c>
      <c r="G106" s="1">
        <v>7517.3172629999999</v>
      </c>
      <c r="H106" s="1">
        <v>2873.052494</v>
      </c>
    </row>
    <row r="107" spans="1:8" x14ac:dyDescent="0.35">
      <c r="A107" s="1" t="s">
        <v>18</v>
      </c>
      <c r="B107" s="1" t="s">
        <v>79</v>
      </c>
      <c r="C107" s="1" t="s">
        <v>80</v>
      </c>
      <c r="D107" s="1">
        <v>5216.4314519999998</v>
      </c>
      <c r="E107" s="1">
        <v>2442.5079999999998</v>
      </c>
      <c r="F107" s="1">
        <v>614.41899999999998</v>
      </c>
      <c r="G107" s="1"/>
      <c r="H107" s="1">
        <v>5851.1959919999999</v>
      </c>
    </row>
    <row r="108" spans="1:8" x14ac:dyDescent="0.35">
      <c r="A108" s="1" t="s">
        <v>18</v>
      </c>
      <c r="B108" s="1" t="s">
        <v>81</v>
      </c>
      <c r="C108" s="1" t="s">
        <v>80</v>
      </c>
      <c r="D108" s="1">
        <v>1404.69155</v>
      </c>
      <c r="E108" s="1">
        <v>127621.08199999999</v>
      </c>
      <c r="F108" s="1">
        <v>63810.540999999997</v>
      </c>
      <c r="G108" s="1"/>
      <c r="H108" s="1"/>
    </row>
    <row r="109" spans="1:8" x14ac:dyDescent="0.35">
      <c r="A109" s="1" t="s">
        <v>18</v>
      </c>
      <c r="B109" s="1" t="s">
        <v>82</v>
      </c>
      <c r="C109" s="1" t="s">
        <v>80</v>
      </c>
      <c r="D109" s="1">
        <v>3503.3988420000001</v>
      </c>
      <c r="E109" s="1">
        <v>28574.977999999999</v>
      </c>
      <c r="F109" s="1">
        <v>14275.275</v>
      </c>
      <c r="G109" s="1"/>
      <c r="H109" s="1"/>
    </row>
    <row r="110" spans="1:8" x14ac:dyDescent="0.35">
      <c r="A110" s="1" t="s">
        <v>18</v>
      </c>
      <c r="B110" s="1" t="s">
        <v>83</v>
      </c>
      <c r="C110" s="1" t="s">
        <v>80</v>
      </c>
      <c r="D110" s="1">
        <v>2667.57539</v>
      </c>
      <c r="E110" s="1">
        <v>7898.6559999999999</v>
      </c>
      <c r="F110" s="1">
        <v>3910.527</v>
      </c>
      <c r="G110" s="1"/>
      <c r="H110" s="1"/>
    </row>
    <row r="111" spans="1:8" x14ac:dyDescent="0.35">
      <c r="A111" s="1" t="s">
        <v>18</v>
      </c>
      <c r="B111" s="1" t="s">
        <v>84</v>
      </c>
      <c r="C111" s="1" t="s">
        <v>80</v>
      </c>
      <c r="D111" s="1">
        <v>821.29489999999998</v>
      </c>
      <c r="E111" s="1">
        <v>31965.912</v>
      </c>
      <c r="F111" s="1">
        <v>15982.956</v>
      </c>
      <c r="G111" s="1"/>
      <c r="H111" s="1"/>
    </row>
    <row r="112" spans="1:8" x14ac:dyDescent="0.35">
      <c r="A112" s="1" t="s">
        <v>18</v>
      </c>
      <c r="B112" s="1" t="s">
        <v>85</v>
      </c>
      <c r="C112" s="1" t="s">
        <v>80</v>
      </c>
      <c r="D112" s="1">
        <v>0</v>
      </c>
      <c r="E112" s="1">
        <v>0</v>
      </c>
      <c r="F112" s="1">
        <v>0</v>
      </c>
      <c r="G112" s="1"/>
      <c r="H112" s="1"/>
    </row>
    <row r="113" spans="1:8" x14ac:dyDescent="0.35">
      <c r="A113" s="1" t="s">
        <v>18</v>
      </c>
      <c r="B113" s="1" t="s">
        <v>86</v>
      </c>
      <c r="C113" s="1" t="s">
        <v>80</v>
      </c>
      <c r="D113" s="1">
        <v>6342.7749329999997</v>
      </c>
      <c r="E113" s="1">
        <v>8940.6049999999996</v>
      </c>
      <c r="F113" s="1">
        <v>3417.3609999999999</v>
      </c>
      <c r="G113" s="1">
        <v>5085.0541020000001</v>
      </c>
      <c r="H113" s="1">
        <v>1943.656561</v>
      </c>
    </row>
    <row r="114" spans="1:8" x14ac:dyDescent="0.35">
      <c r="A114" s="1" t="s">
        <v>19</v>
      </c>
      <c r="B114" s="1" t="s">
        <v>79</v>
      </c>
      <c r="C114" s="1" t="s">
        <v>80</v>
      </c>
      <c r="D114" s="1">
        <v>3706.1032279999999</v>
      </c>
      <c r="E114" s="1">
        <v>2583.3020000000001</v>
      </c>
      <c r="F114" s="1">
        <v>640.19000000000005</v>
      </c>
      <c r="G114" s="1"/>
      <c r="H114" s="1">
        <v>3930.5150829999998</v>
      </c>
    </row>
    <row r="115" spans="1:8" x14ac:dyDescent="0.35">
      <c r="A115" s="1" t="s">
        <v>19</v>
      </c>
      <c r="B115" s="1" t="s">
        <v>81</v>
      </c>
      <c r="C115" s="1" t="s">
        <v>80</v>
      </c>
      <c r="D115" s="1">
        <v>1449.63948</v>
      </c>
      <c r="E115" s="1">
        <v>172899.58600000001</v>
      </c>
      <c r="F115" s="1">
        <v>86449.793000000005</v>
      </c>
      <c r="G115" s="1"/>
      <c r="H115" s="1"/>
    </row>
    <row r="116" spans="1:8" x14ac:dyDescent="0.35">
      <c r="A116" s="1" t="s">
        <v>19</v>
      </c>
      <c r="B116" s="1" t="s">
        <v>82</v>
      </c>
      <c r="C116" s="1" t="s">
        <v>80</v>
      </c>
      <c r="D116" s="1">
        <v>2747.4349510000002</v>
      </c>
      <c r="E116" s="1">
        <v>44884.527000000002</v>
      </c>
      <c r="F116" s="1">
        <v>22437.195</v>
      </c>
      <c r="G116" s="1"/>
      <c r="H116" s="1"/>
    </row>
    <row r="117" spans="1:8" x14ac:dyDescent="0.35">
      <c r="A117" s="1" t="s">
        <v>19</v>
      </c>
      <c r="B117" s="1" t="s">
        <v>83</v>
      </c>
      <c r="C117" s="1" t="s">
        <v>80</v>
      </c>
      <c r="D117" s="1">
        <v>2346.1224219999999</v>
      </c>
      <c r="E117" s="1">
        <v>8614.3649999999998</v>
      </c>
      <c r="F117" s="1">
        <v>4250.16</v>
      </c>
      <c r="G117" s="1"/>
      <c r="H117" s="1"/>
    </row>
    <row r="118" spans="1:8" x14ac:dyDescent="0.35">
      <c r="A118" s="1" t="s">
        <v>19</v>
      </c>
      <c r="B118" s="1" t="s">
        <v>84</v>
      </c>
      <c r="C118" s="1" t="s">
        <v>80</v>
      </c>
      <c r="D118" s="1">
        <v>351.39134000000001</v>
      </c>
      <c r="E118" s="1">
        <v>18787.322</v>
      </c>
      <c r="F118" s="1">
        <v>9393.6610000000001</v>
      </c>
      <c r="G118" s="1"/>
      <c r="H118" s="1"/>
    </row>
    <row r="119" spans="1:8" x14ac:dyDescent="0.35">
      <c r="A119" s="1" t="s">
        <v>19</v>
      </c>
      <c r="B119" s="1" t="s">
        <v>85</v>
      </c>
      <c r="C119" s="1" t="s">
        <v>80</v>
      </c>
      <c r="D119" s="1">
        <v>1385.337057</v>
      </c>
      <c r="E119" s="1">
        <v>1599.5</v>
      </c>
      <c r="F119" s="1">
        <v>403.55700000000002</v>
      </c>
      <c r="G119" s="1"/>
      <c r="H119" s="1"/>
    </row>
    <row r="120" spans="1:8" x14ac:dyDescent="0.35">
      <c r="A120" s="1" t="s">
        <v>19</v>
      </c>
      <c r="B120" s="1" t="s">
        <v>86</v>
      </c>
      <c r="C120" s="1" t="s">
        <v>80</v>
      </c>
      <c r="D120" s="1">
        <v>3244.4008429999999</v>
      </c>
      <c r="E120" s="1">
        <v>5488.53</v>
      </c>
      <c r="F120" s="1">
        <v>2629.1309999999999</v>
      </c>
      <c r="G120" s="1">
        <v>3380.8773449999999</v>
      </c>
      <c r="H120" s="1">
        <v>1619.517327</v>
      </c>
    </row>
    <row r="121" spans="1:8" x14ac:dyDescent="0.35">
      <c r="A121" s="1" t="s">
        <v>20</v>
      </c>
      <c r="B121" s="1" t="s">
        <v>79</v>
      </c>
      <c r="C121" s="1" t="s">
        <v>80</v>
      </c>
      <c r="D121" s="1">
        <v>8425.8981160000003</v>
      </c>
      <c r="E121" s="1">
        <v>3320.3760000000002</v>
      </c>
      <c r="F121" s="1">
        <v>711.13199999999995</v>
      </c>
      <c r="G121" s="1"/>
      <c r="H121" s="1">
        <v>6952.421163</v>
      </c>
    </row>
    <row r="122" spans="1:8" x14ac:dyDescent="0.35">
      <c r="A122" s="1" t="s">
        <v>20</v>
      </c>
      <c r="B122" s="1" t="s">
        <v>81</v>
      </c>
      <c r="C122" s="1" t="s">
        <v>80</v>
      </c>
      <c r="D122" s="1">
        <v>3134.2550000000001</v>
      </c>
      <c r="E122" s="1">
        <v>90289.63</v>
      </c>
      <c r="F122" s="1">
        <v>45144.815000000002</v>
      </c>
      <c r="G122" s="1"/>
      <c r="H122" s="1"/>
    </row>
    <row r="123" spans="1:8" x14ac:dyDescent="0.35">
      <c r="A123" s="1" t="s">
        <v>20</v>
      </c>
      <c r="B123" s="1" t="s">
        <v>82</v>
      </c>
      <c r="C123" s="1" t="s">
        <v>80</v>
      </c>
      <c r="D123" s="1">
        <v>4028.8833509999999</v>
      </c>
      <c r="E123" s="1">
        <v>11755.187</v>
      </c>
      <c r="F123" s="1">
        <v>5848.0069999999996</v>
      </c>
      <c r="G123" s="1"/>
      <c r="H123" s="1"/>
    </row>
    <row r="124" spans="1:8" x14ac:dyDescent="0.35">
      <c r="A124" s="1" t="s">
        <v>20</v>
      </c>
      <c r="B124" s="1" t="s">
        <v>83</v>
      </c>
      <c r="C124" s="1" t="s">
        <v>80</v>
      </c>
      <c r="D124" s="1">
        <v>3646.0154940000002</v>
      </c>
      <c r="E124" s="1">
        <v>4884.62</v>
      </c>
      <c r="F124" s="1">
        <v>2333.9360000000001</v>
      </c>
      <c r="G124" s="1"/>
      <c r="H124" s="1"/>
    </row>
    <row r="125" spans="1:8" x14ac:dyDescent="0.35">
      <c r="A125" s="1" t="s">
        <v>20</v>
      </c>
      <c r="B125" s="1" t="s">
        <v>84</v>
      </c>
      <c r="C125" s="1" t="s">
        <v>80</v>
      </c>
      <c r="D125" s="1">
        <v>2215.1849999999999</v>
      </c>
      <c r="E125" s="1">
        <v>18681.7</v>
      </c>
      <c r="F125" s="1">
        <v>9340.85</v>
      </c>
      <c r="G125" s="1"/>
      <c r="H125" s="1"/>
    </row>
    <row r="126" spans="1:8" x14ac:dyDescent="0.35">
      <c r="A126" s="1" t="s">
        <v>20</v>
      </c>
      <c r="B126" s="1" t="s">
        <v>85</v>
      </c>
      <c r="C126" s="1" t="s">
        <v>80</v>
      </c>
      <c r="D126" s="1">
        <v>1564.751203</v>
      </c>
      <c r="E126" s="1">
        <v>1541.848</v>
      </c>
      <c r="F126" s="1">
        <v>397.767</v>
      </c>
      <c r="G126" s="1"/>
      <c r="H126" s="1"/>
    </row>
    <row r="127" spans="1:8" x14ac:dyDescent="0.35">
      <c r="A127" s="1" t="s">
        <v>20</v>
      </c>
      <c r="B127" s="1" t="s">
        <v>86</v>
      </c>
      <c r="C127" s="1" t="s">
        <v>80</v>
      </c>
      <c r="D127" s="1">
        <v>3582.1704490000002</v>
      </c>
      <c r="E127" s="1">
        <v>3515.4929999999999</v>
      </c>
      <c r="F127" s="1">
        <v>1232.904</v>
      </c>
      <c r="G127" s="1">
        <v>7960.2025910000002</v>
      </c>
      <c r="H127" s="1">
        <v>2791.6897049999998</v>
      </c>
    </row>
    <row r="128" spans="1:8" x14ac:dyDescent="0.35">
      <c r="A128" s="1" t="s">
        <v>21</v>
      </c>
      <c r="B128" s="1" t="s">
        <v>79</v>
      </c>
      <c r="C128" s="1" t="s">
        <v>80</v>
      </c>
      <c r="D128" s="1">
        <v>6923.8067490000003</v>
      </c>
      <c r="E128" s="1">
        <v>2157.192</v>
      </c>
      <c r="F128" s="1">
        <v>529.29499999999996</v>
      </c>
      <c r="G128" s="1"/>
      <c r="H128" s="1">
        <v>8793.5304599999999</v>
      </c>
    </row>
    <row r="129" spans="1:8" x14ac:dyDescent="0.35">
      <c r="A129" s="1" t="s">
        <v>21</v>
      </c>
      <c r="B129" s="1" t="s">
        <v>81</v>
      </c>
      <c r="C129" s="1" t="s">
        <v>80</v>
      </c>
      <c r="D129" s="1">
        <v>2528.0546100000001</v>
      </c>
      <c r="E129" s="1">
        <v>56535.338000000003</v>
      </c>
      <c r="F129" s="1">
        <v>28267.669000000002</v>
      </c>
      <c r="G129" s="1"/>
      <c r="H129" s="1"/>
    </row>
    <row r="130" spans="1:8" x14ac:dyDescent="0.35">
      <c r="A130" s="1" t="s">
        <v>21</v>
      </c>
      <c r="B130" s="1" t="s">
        <v>82</v>
      </c>
      <c r="C130" s="1" t="s">
        <v>80</v>
      </c>
      <c r="D130" s="1">
        <v>3410.2008970000002</v>
      </c>
      <c r="E130" s="1">
        <v>9906.0959999999995</v>
      </c>
      <c r="F130" s="1">
        <v>4940.4949999999999</v>
      </c>
      <c r="G130" s="1"/>
      <c r="H130" s="1"/>
    </row>
    <row r="131" spans="1:8" x14ac:dyDescent="0.35">
      <c r="A131" s="1" t="s">
        <v>21</v>
      </c>
      <c r="B131" s="1" t="s">
        <v>83</v>
      </c>
      <c r="C131" s="1" t="s">
        <v>80</v>
      </c>
      <c r="D131" s="1">
        <v>2893.2592810000001</v>
      </c>
      <c r="E131" s="1">
        <v>3840.1210000000001</v>
      </c>
      <c r="F131" s="1">
        <v>1851.886</v>
      </c>
      <c r="G131" s="1"/>
      <c r="H131" s="1"/>
    </row>
    <row r="132" spans="1:8" x14ac:dyDescent="0.35">
      <c r="A132" s="1" t="s">
        <v>21</v>
      </c>
      <c r="B132" s="1" t="s">
        <v>84</v>
      </c>
      <c r="C132" s="1" t="s">
        <v>80</v>
      </c>
      <c r="D132" s="1">
        <v>1407.2169899999999</v>
      </c>
      <c r="E132" s="1">
        <v>6726.2179999999998</v>
      </c>
      <c r="F132" s="1">
        <v>3363.1089999999999</v>
      </c>
      <c r="G132" s="1"/>
      <c r="H132" s="1"/>
    </row>
    <row r="133" spans="1:8" x14ac:dyDescent="0.35">
      <c r="A133" s="1" t="s">
        <v>21</v>
      </c>
      <c r="B133" s="1" t="s">
        <v>85</v>
      </c>
      <c r="C133" s="1" t="s">
        <v>80</v>
      </c>
      <c r="D133" s="1">
        <v>123.8210936</v>
      </c>
      <c r="E133" s="1">
        <v>98.715999999999994</v>
      </c>
      <c r="F133" s="1">
        <v>24.678999999999998</v>
      </c>
      <c r="G133" s="1"/>
      <c r="H133" s="1"/>
    </row>
    <row r="134" spans="1:8" x14ac:dyDescent="0.35">
      <c r="A134" s="1" t="s">
        <v>21</v>
      </c>
      <c r="B134" s="1" t="s">
        <v>86</v>
      </c>
      <c r="C134" s="1" t="s">
        <v>80</v>
      </c>
      <c r="D134" s="1">
        <v>2511.9228509999998</v>
      </c>
      <c r="E134" s="1">
        <v>3194.3760000000002</v>
      </c>
      <c r="F134" s="1">
        <v>984.08699999999999</v>
      </c>
      <c r="G134" s="1">
        <v>6993.264228</v>
      </c>
      <c r="H134" s="1">
        <v>2154.4052470000001</v>
      </c>
    </row>
    <row r="135" spans="1:8" x14ac:dyDescent="0.35">
      <c r="A135" s="1" t="s">
        <v>22</v>
      </c>
      <c r="B135" s="1" t="s">
        <v>79</v>
      </c>
      <c r="C135" s="1" t="s">
        <v>80</v>
      </c>
      <c r="D135" s="1">
        <v>2174.834726</v>
      </c>
      <c r="E135" s="1">
        <v>1178.7360000000001</v>
      </c>
      <c r="F135" s="1">
        <v>279.27999999999997</v>
      </c>
      <c r="G135" s="1"/>
      <c r="H135" s="1">
        <v>5054.9497979999996</v>
      </c>
    </row>
    <row r="136" spans="1:8" x14ac:dyDescent="0.35">
      <c r="A136" s="1" t="s">
        <v>22</v>
      </c>
      <c r="B136" s="1" t="s">
        <v>81</v>
      </c>
      <c r="C136" s="1" t="s">
        <v>80</v>
      </c>
      <c r="D136" s="1">
        <v>1442.4632099999999</v>
      </c>
      <c r="E136" s="1">
        <v>24423.41</v>
      </c>
      <c r="F136" s="1">
        <v>12211.705</v>
      </c>
      <c r="G136" s="1"/>
      <c r="H136" s="1"/>
    </row>
    <row r="137" spans="1:8" x14ac:dyDescent="0.35">
      <c r="A137" s="1" t="s">
        <v>22</v>
      </c>
      <c r="B137" s="1" t="s">
        <v>82</v>
      </c>
      <c r="C137" s="1" t="s">
        <v>80</v>
      </c>
      <c r="D137" s="1">
        <v>2260.863601</v>
      </c>
      <c r="E137" s="1">
        <v>6548.5450000000001</v>
      </c>
      <c r="F137" s="1">
        <v>3272.0349999999999</v>
      </c>
      <c r="G137" s="1"/>
      <c r="H137" s="1"/>
    </row>
    <row r="138" spans="1:8" x14ac:dyDescent="0.35">
      <c r="A138" s="1" t="s">
        <v>22</v>
      </c>
      <c r="B138" s="1" t="s">
        <v>83</v>
      </c>
      <c r="C138" s="1" t="s">
        <v>80</v>
      </c>
      <c r="D138" s="1">
        <v>1702.69319</v>
      </c>
      <c r="E138" s="1">
        <v>1900.682</v>
      </c>
      <c r="F138" s="1">
        <v>941.23699999999997</v>
      </c>
      <c r="G138" s="1"/>
      <c r="H138" s="1"/>
    </row>
    <row r="139" spans="1:8" x14ac:dyDescent="0.35">
      <c r="A139" s="1" t="s">
        <v>22</v>
      </c>
      <c r="B139" s="1" t="s">
        <v>84</v>
      </c>
      <c r="C139" s="1" t="s">
        <v>80</v>
      </c>
      <c r="D139" s="1">
        <v>818.72748999999999</v>
      </c>
      <c r="E139" s="1">
        <v>4204.4539999999997</v>
      </c>
      <c r="F139" s="1">
        <v>2102.2269999999999</v>
      </c>
      <c r="G139" s="1"/>
      <c r="H139" s="1"/>
    </row>
    <row r="140" spans="1:8" x14ac:dyDescent="0.35">
      <c r="A140" s="1" t="s">
        <v>22</v>
      </c>
      <c r="B140" s="1" t="s">
        <v>85</v>
      </c>
      <c r="C140" s="1" t="s">
        <v>80</v>
      </c>
      <c r="D140" s="1">
        <v>20.775913150000001</v>
      </c>
      <c r="E140" s="1">
        <v>11.004</v>
      </c>
      <c r="F140" s="1">
        <v>2.64</v>
      </c>
      <c r="G140" s="1"/>
      <c r="H140" s="1"/>
    </row>
    <row r="141" spans="1:8" x14ac:dyDescent="0.35">
      <c r="A141" s="1" t="s">
        <v>22</v>
      </c>
      <c r="B141" s="1" t="s">
        <v>86</v>
      </c>
      <c r="C141" s="1" t="s">
        <v>80</v>
      </c>
      <c r="D141" s="1">
        <v>1830.7911329999999</v>
      </c>
      <c r="E141" s="1">
        <v>1612.0050000000001</v>
      </c>
      <c r="F141" s="1">
        <v>792.00599999999997</v>
      </c>
      <c r="G141" s="1">
        <v>6333.1163120000001</v>
      </c>
      <c r="H141" s="1">
        <v>3111.5698259999999</v>
      </c>
    </row>
    <row r="142" spans="1:8" x14ac:dyDescent="0.35">
      <c r="A142" s="1" t="s">
        <v>23</v>
      </c>
      <c r="B142" s="1" t="s">
        <v>79</v>
      </c>
      <c r="C142" s="1" t="s">
        <v>80</v>
      </c>
      <c r="D142" s="1">
        <v>2198.649856</v>
      </c>
      <c r="E142" s="1">
        <v>672.97299999999996</v>
      </c>
      <c r="F142" s="1">
        <v>142.136</v>
      </c>
      <c r="G142" s="1"/>
      <c r="H142" s="1">
        <v>8950.8765359999998</v>
      </c>
    </row>
    <row r="143" spans="1:8" x14ac:dyDescent="0.35">
      <c r="A143" s="1" t="s">
        <v>23</v>
      </c>
      <c r="B143" s="1" t="s">
        <v>81</v>
      </c>
      <c r="C143" s="1" t="s">
        <v>80</v>
      </c>
      <c r="D143" s="1">
        <v>1741.78</v>
      </c>
      <c r="E143" s="1">
        <v>18690.998</v>
      </c>
      <c r="F143" s="1">
        <v>9345.4989999999998</v>
      </c>
      <c r="G143" s="1"/>
      <c r="H143" s="1"/>
    </row>
    <row r="144" spans="1:8" x14ac:dyDescent="0.35">
      <c r="A144" s="1" t="s">
        <v>23</v>
      </c>
      <c r="B144" s="1" t="s">
        <v>82</v>
      </c>
      <c r="C144" s="1" t="s">
        <v>80</v>
      </c>
      <c r="D144" s="1">
        <v>1624.421932</v>
      </c>
      <c r="E144" s="1">
        <v>2593.4389999999999</v>
      </c>
      <c r="F144" s="1">
        <v>1295.4359999999999</v>
      </c>
      <c r="G144" s="1"/>
      <c r="H144" s="1"/>
    </row>
    <row r="145" spans="1:8" x14ac:dyDescent="0.35">
      <c r="A145" s="1" t="s">
        <v>23</v>
      </c>
      <c r="B145" s="1" t="s">
        <v>83</v>
      </c>
      <c r="C145" s="1" t="s">
        <v>80</v>
      </c>
      <c r="D145" s="1">
        <v>1778.2068830000001</v>
      </c>
      <c r="E145" s="1">
        <v>1425.4449999999999</v>
      </c>
      <c r="F145" s="1">
        <v>706.58500000000004</v>
      </c>
      <c r="G145" s="1"/>
      <c r="H145" s="1"/>
    </row>
    <row r="146" spans="1:8" x14ac:dyDescent="0.35">
      <c r="A146" s="1" t="s">
        <v>23</v>
      </c>
      <c r="B146" s="1" t="s">
        <v>84</v>
      </c>
      <c r="C146" s="1" t="s">
        <v>80</v>
      </c>
      <c r="D146" s="1">
        <v>802.63499999999999</v>
      </c>
      <c r="E146" s="1">
        <v>3406.0720000000001</v>
      </c>
      <c r="F146" s="1">
        <v>1703.0360000000001</v>
      </c>
      <c r="G146" s="1"/>
      <c r="H146" s="1"/>
    </row>
    <row r="147" spans="1:8" x14ac:dyDescent="0.35">
      <c r="A147" s="1" t="s">
        <v>23</v>
      </c>
      <c r="B147" s="1" t="s">
        <v>85</v>
      </c>
      <c r="C147" s="1" t="s">
        <v>80</v>
      </c>
      <c r="D147" s="1">
        <v>523.64511549999997</v>
      </c>
      <c r="E147" s="1">
        <v>251.46799999999999</v>
      </c>
      <c r="F147" s="1">
        <v>69.091999999999999</v>
      </c>
      <c r="G147" s="1"/>
      <c r="H147" s="1"/>
    </row>
    <row r="148" spans="1:8" x14ac:dyDescent="0.35">
      <c r="A148" s="1" t="s">
        <v>23</v>
      </c>
      <c r="B148" s="1" t="s">
        <v>86</v>
      </c>
      <c r="C148" s="1" t="s">
        <v>80</v>
      </c>
      <c r="D148" s="1">
        <v>2043.0814190000001</v>
      </c>
      <c r="E148" s="1">
        <v>982.96</v>
      </c>
      <c r="F148" s="1">
        <v>320.81700000000001</v>
      </c>
      <c r="G148" s="1">
        <v>17447.58956</v>
      </c>
      <c r="H148" s="1">
        <v>5694.5179250000001</v>
      </c>
    </row>
    <row r="149" spans="1:8" x14ac:dyDescent="0.35">
      <c r="A149" s="1" t="s">
        <v>24</v>
      </c>
      <c r="B149" s="1" t="s">
        <v>79</v>
      </c>
      <c r="C149" s="1" t="s">
        <v>80</v>
      </c>
      <c r="D149" s="1">
        <v>852.03332179999995</v>
      </c>
      <c r="E149" s="1">
        <v>270.87900000000002</v>
      </c>
      <c r="F149" s="1">
        <v>62.607999999999997</v>
      </c>
      <c r="G149" s="1"/>
      <c r="H149" s="1">
        <v>8617.6406000000006</v>
      </c>
    </row>
    <row r="150" spans="1:8" x14ac:dyDescent="0.35">
      <c r="A150" s="1" t="s">
        <v>24</v>
      </c>
      <c r="B150" s="1" t="s">
        <v>81</v>
      </c>
      <c r="C150" s="1" t="s">
        <v>80</v>
      </c>
      <c r="D150" s="1">
        <v>537.81655000000001</v>
      </c>
      <c r="E150" s="1">
        <v>8426.7839999999997</v>
      </c>
      <c r="F150" s="1">
        <v>4213.3919999999998</v>
      </c>
      <c r="G150" s="1"/>
      <c r="H150" s="1"/>
    </row>
    <row r="151" spans="1:8" x14ac:dyDescent="0.35">
      <c r="A151" s="1" t="s">
        <v>24</v>
      </c>
      <c r="B151" s="1" t="s">
        <v>82</v>
      </c>
      <c r="C151" s="1" t="s">
        <v>80</v>
      </c>
      <c r="D151" s="1">
        <v>663.81749119999995</v>
      </c>
      <c r="E151" s="1">
        <v>1734.655</v>
      </c>
      <c r="F151" s="1">
        <v>866.87300000000005</v>
      </c>
      <c r="G151" s="1"/>
      <c r="H151" s="1"/>
    </row>
    <row r="152" spans="1:8" x14ac:dyDescent="0.35">
      <c r="A152" s="1" t="s">
        <v>24</v>
      </c>
      <c r="B152" s="1" t="s">
        <v>83</v>
      </c>
      <c r="C152" s="1" t="s">
        <v>80</v>
      </c>
      <c r="D152" s="1">
        <v>469.43582279999998</v>
      </c>
      <c r="E152" s="1">
        <v>645.17999999999995</v>
      </c>
      <c r="F152" s="1">
        <v>314.92500000000001</v>
      </c>
      <c r="G152" s="1"/>
      <c r="H152" s="1"/>
    </row>
    <row r="153" spans="1:8" x14ac:dyDescent="0.35">
      <c r="A153" s="1" t="s">
        <v>24</v>
      </c>
      <c r="B153" s="1" t="s">
        <v>84</v>
      </c>
      <c r="C153" s="1" t="s">
        <v>80</v>
      </c>
      <c r="D153" s="1">
        <v>123.74741</v>
      </c>
      <c r="E153" s="1">
        <v>1235.374</v>
      </c>
      <c r="F153" s="1">
        <v>617.68700000000001</v>
      </c>
      <c r="G153" s="1"/>
      <c r="H153" s="1"/>
    </row>
    <row r="154" spans="1:8" x14ac:dyDescent="0.35">
      <c r="A154" s="1" t="s">
        <v>24</v>
      </c>
      <c r="B154" s="1" t="s">
        <v>85</v>
      </c>
      <c r="C154" s="1" t="s">
        <v>80</v>
      </c>
      <c r="D154" s="1">
        <v>106.8361008</v>
      </c>
      <c r="E154" s="1">
        <v>35.33</v>
      </c>
      <c r="F154" s="1">
        <v>10.446</v>
      </c>
      <c r="G154" s="1"/>
      <c r="H154" s="1"/>
    </row>
    <row r="155" spans="1:8" x14ac:dyDescent="0.35">
      <c r="A155" s="1" t="s">
        <v>24</v>
      </c>
      <c r="B155" s="1" t="s">
        <v>86</v>
      </c>
      <c r="C155" s="1" t="s">
        <v>80</v>
      </c>
      <c r="D155" s="1">
        <v>298.676422</v>
      </c>
      <c r="E155" s="1">
        <v>222.512</v>
      </c>
      <c r="F155" s="1">
        <v>104.89</v>
      </c>
      <c r="G155" s="1">
        <v>7801.4259410000004</v>
      </c>
      <c r="H155" s="1">
        <v>3677.5165699999998</v>
      </c>
    </row>
    <row r="156" spans="1:8" x14ac:dyDescent="0.35">
      <c r="A156" s="1" t="s">
        <v>25</v>
      </c>
      <c r="B156" s="1" t="s">
        <v>79</v>
      </c>
      <c r="C156" s="1" t="s">
        <v>80</v>
      </c>
      <c r="D156" s="1">
        <v>5783.6322250000003</v>
      </c>
      <c r="E156" s="1">
        <v>2355.2689999999998</v>
      </c>
      <c r="F156" s="1">
        <v>562.33000000000004</v>
      </c>
      <c r="G156" s="1"/>
      <c r="H156" s="1">
        <v>6727.7103969999998</v>
      </c>
    </row>
    <row r="157" spans="1:8" x14ac:dyDescent="0.35">
      <c r="A157" s="1" t="s">
        <v>25</v>
      </c>
      <c r="B157" s="1" t="s">
        <v>81</v>
      </c>
      <c r="C157" s="1" t="s">
        <v>80</v>
      </c>
      <c r="D157" s="1">
        <v>2222.1010200000001</v>
      </c>
      <c r="E157" s="1">
        <v>111254.42200000001</v>
      </c>
      <c r="F157" s="1">
        <v>55627.211000000003</v>
      </c>
      <c r="G157" s="1"/>
      <c r="H157" s="1"/>
    </row>
    <row r="158" spans="1:8" x14ac:dyDescent="0.35">
      <c r="A158" s="1" t="s">
        <v>25</v>
      </c>
      <c r="B158" s="1" t="s">
        <v>82</v>
      </c>
      <c r="C158" s="1" t="s">
        <v>80</v>
      </c>
      <c r="D158" s="1">
        <v>8307.1336969999993</v>
      </c>
      <c r="E158" s="1">
        <v>32771.743999999999</v>
      </c>
      <c r="F158" s="1">
        <v>16371.002</v>
      </c>
      <c r="G158" s="1"/>
      <c r="H158" s="1"/>
    </row>
    <row r="159" spans="1:8" x14ac:dyDescent="0.35">
      <c r="A159" s="1" t="s">
        <v>25</v>
      </c>
      <c r="B159" s="1" t="s">
        <v>83</v>
      </c>
      <c r="C159" s="1" t="s">
        <v>80</v>
      </c>
      <c r="D159" s="1">
        <v>6919.7284250000002</v>
      </c>
      <c r="E159" s="1">
        <v>9981.1489999999994</v>
      </c>
      <c r="F159" s="1">
        <v>4887.0439999999999</v>
      </c>
      <c r="G159" s="1"/>
      <c r="H159" s="1"/>
    </row>
    <row r="160" spans="1:8" x14ac:dyDescent="0.35">
      <c r="A160" s="1" t="s">
        <v>25</v>
      </c>
      <c r="B160" s="1" t="s">
        <v>84</v>
      </c>
      <c r="C160" s="1" t="s">
        <v>80</v>
      </c>
      <c r="D160" s="1">
        <v>865.76394000000005</v>
      </c>
      <c r="E160" s="1">
        <v>8480.3060000000005</v>
      </c>
      <c r="F160" s="1">
        <v>4240.1530000000002</v>
      </c>
      <c r="G160" s="1"/>
      <c r="H160" s="1"/>
    </row>
    <row r="161" spans="1:8" x14ac:dyDescent="0.35">
      <c r="A161" s="1" t="s">
        <v>25</v>
      </c>
      <c r="B161" s="1" t="s">
        <v>85</v>
      </c>
      <c r="C161" s="1" t="s">
        <v>80</v>
      </c>
      <c r="D161" s="1">
        <v>2826.650611</v>
      </c>
      <c r="E161" s="1">
        <v>1375.1959999999999</v>
      </c>
      <c r="F161" s="1">
        <v>343.49799999999999</v>
      </c>
      <c r="G161" s="1"/>
      <c r="H161" s="1"/>
    </row>
    <row r="162" spans="1:8" x14ac:dyDescent="0.35">
      <c r="A162" s="1" t="s">
        <v>25</v>
      </c>
      <c r="B162" s="1" t="s">
        <v>86</v>
      </c>
      <c r="C162" s="1" t="s">
        <v>80</v>
      </c>
      <c r="D162" s="1">
        <v>4357.2115110000004</v>
      </c>
      <c r="E162" s="1">
        <v>4523.55</v>
      </c>
      <c r="F162" s="1">
        <v>2129.9969999999998</v>
      </c>
      <c r="G162" s="1">
        <v>5604.4988720000001</v>
      </c>
      <c r="H162" s="1">
        <v>2638.9817250000001</v>
      </c>
    </row>
    <row r="163" spans="1:8" x14ac:dyDescent="0.35">
      <c r="A163" s="1" t="s">
        <v>26</v>
      </c>
      <c r="B163" s="1" t="s">
        <v>79</v>
      </c>
      <c r="C163" s="1" t="s">
        <v>80</v>
      </c>
      <c r="D163" s="1">
        <v>3985.0745200000001</v>
      </c>
      <c r="E163" s="1">
        <v>2358.4960000000001</v>
      </c>
      <c r="F163" s="1">
        <v>588.08100000000002</v>
      </c>
      <c r="G163" s="1"/>
      <c r="H163" s="1">
        <v>4629.2265850000003</v>
      </c>
    </row>
    <row r="164" spans="1:8" x14ac:dyDescent="0.35">
      <c r="A164" s="1" t="s">
        <v>26</v>
      </c>
      <c r="B164" s="1" t="s">
        <v>81</v>
      </c>
      <c r="C164" s="1" t="s">
        <v>80</v>
      </c>
      <c r="D164" s="1">
        <v>2801.2341099999999</v>
      </c>
      <c r="E164" s="1">
        <v>159417.976</v>
      </c>
      <c r="F164" s="1">
        <v>79708.987999999998</v>
      </c>
      <c r="G164" s="1"/>
      <c r="H164" s="1"/>
    </row>
    <row r="165" spans="1:8" x14ac:dyDescent="0.35">
      <c r="A165" s="1" t="s">
        <v>26</v>
      </c>
      <c r="B165" s="1" t="s">
        <v>82</v>
      </c>
      <c r="C165" s="1" t="s">
        <v>80</v>
      </c>
      <c r="D165" s="1">
        <v>4249.9667909999998</v>
      </c>
      <c r="E165" s="1">
        <v>31274.633000000002</v>
      </c>
      <c r="F165" s="1">
        <v>15632.727000000001</v>
      </c>
      <c r="G165" s="1"/>
      <c r="H165" s="1"/>
    </row>
    <row r="166" spans="1:8" x14ac:dyDescent="0.35">
      <c r="A166" s="1" t="s">
        <v>26</v>
      </c>
      <c r="B166" s="1" t="s">
        <v>83</v>
      </c>
      <c r="C166" s="1" t="s">
        <v>80</v>
      </c>
      <c r="D166" s="1">
        <v>5097.6856189999999</v>
      </c>
      <c r="E166" s="1">
        <v>13391.087</v>
      </c>
      <c r="F166" s="1">
        <v>6672.732</v>
      </c>
      <c r="G166" s="1"/>
      <c r="H166" s="1"/>
    </row>
    <row r="167" spans="1:8" x14ac:dyDescent="0.35">
      <c r="A167" s="1" t="s">
        <v>26</v>
      </c>
      <c r="B167" s="1" t="s">
        <v>84</v>
      </c>
      <c r="C167" s="1" t="s">
        <v>80</v>
      </c>
      <c r="D167" s="1">
        <v>1316.37031</v>
      </c>
      <c r="E167" s="1">
        <v>24052.182000000001</v>
      </c>
      <c r="F167" s="1">
        <v>12026.091</v>
      </c>
      <c r="G167" s="1"/>
      <c r="H167" s="1"/>
    </row>
    <row r="168" spans="1:8" x14ac:dyDescent="0.35">
      <c r="A168" s="1" t="s">
        <v>26</v>
      </c>
      <c r="B168" s="1" t="s">
        <v>85</v>
      </c>
      <c r="C168" s="1" t="s">
        <v>80</v>
      </c>
      <c r="D168" s="1">
        <v>209.5540675</v>
      </c>
      <c r="E168" s="1">
        <v>135.184</v>
      </c>
      <c r="F168" s="1">
        <v>33.795999999999999</v>
      </c>
      <c r="G168" s="1"/>
      <c r="H168" s="1"/>
    </row>
    <row r="169" spans="1:8" x14ac:dyDescent="0.35">
      <c r="A169" s="1" t="s">
        <v>26</v>
      </c>
      <c r="B169" s="1" t="s">
        <v>86</v>
      </c>
      <c r="C169" s="1" t="s">
        <v>80</v>
      </c>
      <c r="D169" s="1">
        <v>7167.2779890000002</v>
      </c>
      <c r="E169" s="1">
        <v>8668.1659999999993</v>
      </c>
      <c r="F169" s="1">
        <v>3453.7469999999998</v>
      </c>
      <c r="G169" s="1">
        <v>5685.5288039999996</v>
      </c>
      <c r="H169" s="1">
        <v>2265.344024</v>
      </c>
    </row>
    <row r="170" spans="1:8" x14ac:dyDescent="0.35">
      <c r="A170" s="1" t="s">
        <v>27</v>
      </c>
      <c r="B170" s="1" t="s">
        <v>79</v>
      </c>
      <c r="C170" s="1" t="s">
        <v>80</v>
      </c>
      <c r="D170" s="1">
        <v>4829.3233069999997</v>
      </c>
      <c r="E170" s="1">
        <v>2326.2280000000001</v>
      </c>
      <c r="F170" s="1">
        <v>578.43700000000001</v>
      </c>
      <c r="G170" s="1"/>
      <c r="H170" s="1">
        <v>5687.7583619999996</v>
      </c>
    </row>
    <row r="171" spans="1:8" x14ac:dyDescent="0.35">
      <c r="A171" s="1" t="s">
        <v>27</v>
      </c>
      <c r="B171" s="1" t="s">
        <v>81</v>
      </c>
      <c r="C171" s="1" t="s">
        <v>80</v>
      </c>
      <c r="D171" s="1">
        <v>5880.2529299999997</v>
      </c>
      <c r="E171" s="1">
        <v>88080.9</v>
      </c>
      <c r="F171" s="1">
        <v>44040.45</v>
      </c>
      <c r="G171" s="1"/>
      <c r="H171" s="1"/>
    </row>
    <row r="172" spans="1:8" x14ac:dyDescent="0.35">
      <c r="A172" s="1" t="s">
        <v>27</v>
      </c>
      <c r="B172" s="1" t="s">
        <v>82</v>
      </c>
      <c r="C172" s="1" t="s">
        <v>80</v>
      </c>
      <c r="D172" s="1">
        <v>3976.5991730000001</v>
      </c>
      <c r="E172" s="1">
        <v>24034.564999999999</v>
      </c>
      <c r="F172" s="1">
        <v>11950.358</v>
      </c>
      <c r="G172" s="1"/>
      <c r="H172" s="1"/>
    </row>
    <row r="173" spans="1:8" x14ac:dyDescent="0.35">
      <c r="A173" s="1" t="s">
        <v>27</v>
      </c>
      <c r="B173" s="1" t="s">
        <v>83</v>
      </c>
      <c r="C173" s="1" t="s">
        <v>80</v>
      </c>
      <c r="D173" s="1">
        <v>3579.9107939999999</v>
      </c>
      <c r="E173" s="1">
        <v>7662.3580000000002</v>
      </c>
      <c r="F173" s="1">
        <v>3754.0680000000002</v>
      </c>
      <c r="G173" s="1"/>
      <c r="H173" s="1"/>
    </row>
    <row r="174" spans="1:8" x14ac:dyDescent="0.35">
      <c r="A174" s="1" t="s">
        <v>27</v>
      </c>
      <c r="B174" s="1" t="s">
        <v>84</v>
      </c>
      <c r="C174" s="1" t="s">
        <v>80</v>
      </c>
      <c r="D174" s="1">
        <v>395.25558000000001</v>
      </c>
      <c r="E174" s="1">
        <v>4623.2560000000003</v>
      </c>
      <c r="F174" s="1">
        <v>2311.6280000000002</v>
      </c>
      <c r="G174" s="1"/>
      <c r="H174" s="1"/>
    </row>
    <row r="175" spans="1:8" x14ac:dyDescent="0.35">
      <c r="A175" s="1" t="s">
        <v>27</v>
      </c>
      <c r="B175" s="1" t="s">
        <v>85</v>
      </c>
      <c r="C175" s="1" t="s">
        <v>80</v>
      </c>
      <c r="D175" s="1">
        <v>0</v>
      </c>
      <c r="E175" s="1">
        <v>0</v>
      </c>
      <c r="F175" s="1">
        <v>0</v>
      </c>
      <c r="G175" s="1"/>
      <c r="H175" s="1"/>
    </row>
    <row r="176" spans="1:8" x14ac:dyDescent="0.35">
      <c r="A176" s="1" t="s">
        <v>27</v>
      </c>
      <c r="B176" s="1" t="s">
        <v>86</v>
      </c>
      <c r="C176" s="1" t="s">
        <v>80</v>
      </c>
      <c r="D176" s="1">
        <v>5334.2520940000004</v>
      </c>
      <c r="E176" s="1">
        <v>6534.6639999999998</v>
      </c>
      <c r="F176" s="1">
        <v>1783.2360000000001</v>
      </c>
      <c r="G176" s="1">
        <v>8195.431955</v>
      </c>
      <c r="H176" s="1">
        <v>2236.4408170000002</v>
      </c>
    </row>
    <row r="177" spans="1:8" x14ac:dyDescent="0.35">
      <c r="A177" s="1" t="s">
        <v>28</v>
      </c>
      <c r="B177" s="1" t="s">
        <v>79</v>
      </c>
      <c r="C177" s="1" t="s">
        <v>80</v>
      </c>
      <c r="D177" s="1">
        <v>7115.1113400000004</v>
      </c>
      <c r="E177" s="1">
        <v>3425.998</v>
      </c>
      <c r="F177" s="1">
        <v>841.53399999999999</v>
      </c>
      <c r="G177" s="1"/>
      <c r="H177" s="1">
        <v>5689.8619689999996</v>
      </c>
    </row>
    <row r="178" spans="1:8" x14ac:dyDescent="0.35">
      <c r="A178" s="1" t="s">
        <v>28</v>
      </c>
      <c r="B178" s="1" t="s">
        <v>81</v>
      </c>
      <c r="C178" s="1" t="s">
        <v>80</v>
      </c>
      <c r="D178" s="1">
        <v>9372.2926100000004</v>
      </c>
      <c r="E178" s="1">
        <v>154525.95600000001</v>
      </c>
      <c r="F178" s="1">
        <v>77262.978000000003</v>
      </c>
      <c r="G178" s="1"/>
      <c r="H178" s="1"/>
    </row>
    <row r="179" spans="1:8" x14ac:dyDescent="0.35">
      <c r="A179" s="1" t="s">
        <v>28</v>
      </c>
      <c r="B179" s="1" t="s">
        <v>82</v>
      </c>
      <c r="C179" s="1" t="s">
        <v>80</v>
      </c>
      <c r="D179" s="1">
        <v>5093.8554459999996</v>
      </c>
      <c r="E179" s="1">
        <v>32881.815999999999</v>
      </c>
      <c r="F179" s="1">
        <v>16240.173000000001</v>
      </c>
      <c r="G179" s="1"/>
      <c r="H179" s="1"/>
    </row>
    <row r="180" spans="1:8" x14ac:dyDescent="0.35">
      <c r="A180" s="1" t="s">
        <v>28</v>
      </c>
      <c r="B180" s="1" t="s">
        <v>83</v>
      </c>
      <c r="C180" s="1" t="s">
        <v>80</v>
      </c>
      <c r="D180" s="1">
        <v>3715.8297579999999</v>
      </c>
      <c r="E180" s="1">
        <v>8196.4920000000002</v>
      </c>
      <c r="F180" s="1">
        <v>4015.4180000000001</v>
      </c>
      <c r="G180" s="1"/>
      <c r="H180" s="1"/>
    </row>
    <row r="181" spans="1:8" x14ac:dyDescent="0.35">
      <c r="A181" s="1" t="s">
        <v>28</v>
      </c>
      <c r="B181" s="1" t="s">
        <v>84</v>
      </c>
      <c r="C181" s="1" t="s">
        <v>80</v>
      </c>
      <c r="D181" s="1">
        <v>694.26868999999999</v>
      </c>
      <c r="E181" s="1">
        <v>12529.022000000001</v>
      </c>
      <c r="F181" s="1">
        <v>6264.5110000000004</v>
      </c>
      <c r="G181" s="1"/>
      <c r="H181" s="1"/>
    </row>
    <row r="182" spans="1:8" x14ac:dyDescent="0.35">
      <c r="A182" s="1" t="s">
        <v>28</v>
      </c>
      <c r="B182" s="1" t="s">
        <v>85</v>
      </c>
      <c r="C182" s="1" t="s">
        <v>80</v>
      </c>
      <c r="D182" s="1">
        <v>5234.4281650000003</v>
      </c>
      <c r="E182" s="1">
        <v>4544.6120000000001</v>
      </c>
      <c r="F182" s="1">
        <v>1125.48</v>
      </c>
      <c r="G182" s="1"/>
      <c r="H182" s="1"/>
    </row>
    <row r="183" spans="1:8" x14ac:dyDescent="0.35">
      <c r="A183" s="1" t="s">
        <v>28</v>
      </c>
      <c r="B183" s="1" t="s">
        <v>86</v>
      </c>
      <c r="C183" s="1" t="s">
        <v>80</v>
      </c>
      <c r="D183" s="1">
        <v>3283.7953579999999</v>
      </c>
      <c r="E183" s="1">
        <v>4360.4560000000001</v>
      </c>
      <c r="F183" s="1">
        <v>1879.672</v>
      </c>
      <c r="G183" s="1">
        <v>4786.3135759999996</v>
      </c>
      <c r="H183" s="1">
        <v>2063.247425</v>
      </c>
    </row>
    <row r="184" spans="1:8" x14ac:dyDescent="0.35">
      <c r="A184" s="1" t="s">
        <v>29</v>
      </c>
      <c r="B184" s="1" t="s">
        <v>79</v>
      </c>
      <c r="C184" s="1" t="s">
        <v>80</v>
      </c>
      <c r="D184" s="1">
        <v>2642.281058</v>
      </c>
      <c r="E184" s="1">
        <v>4377.1499999999996</v>
      </c>
      <c r="F184" s="1">
        <v>1094.4849999999999</v>
      </c>
      <c r="G184" s="1"/>
      <c r="H184" s="1">
        <v>1653.8446670000001</v>
      </c>
    </row>
    <row r="185" spans="1:8" x14ac:dyDescent="0.35">
      <c r="A185" s="1" t="s">
        <v>29</v>
      </c>
      <c r="B185" s="1" t="s">
        <v>81</v>
      </c>
      <c r="C185" s="1" t="s">
        <v>80</v>
      </c>
      <c r="D185" s="1">
        <v>1196.6802399999999</v>
      </c>
      <c r="E185" s="1">
        <v>93935.02</v>
      </c>
      <c r="F185" s="1">
        <v>46967.51</v>
      </c>
      <c r="G185" s="1"/>
      <c r="H185" s="1"/>
    </row>
    <row r="186" spans="1:8" x14ac:dyDescent="0.35">
      <c r="A186" s="1" t="s">
        <v>29</v>
      </c>
      <c r="B186" s="1" t="s">
        <v>82</v>
      </c>
      <c r="C186" s="1" t="s">
        <v>80</v>
      </c>
      <c r="D186" s="1">
        <v>860.65094299999998</v>
      </c>
      <c r="E186" s="1">
        <v>13679.084000000001</v>
      </c>
      <c r="F186" s="1">
        <v>6869.1850000000004</v>
      </c>
      <c r="G186" s="1"/>
      <c r="H186" s="1"/>
    </row>
    <row r="187" spans="1:8" x14ac:dyDescent="0.35">
      <c r="A187" s="1" t="s">
        <v>29</v>
      </c>
      <c r="B187" s="1" t="s">
        <v>83</v>
      </c>
      <c r="C187" s="1" t="s">
        <v>80</v>
      </c>
      <c r="D187" s="1">
        <v>1159.4713750000001</v>
      </c>
      <c r="E187" s="1">
        <v>5733.27</v>
      </c>
      <c r="F187" s="1">
        <v>2851.0880000000002</v>
      </c>
      <c r="G187" s="1"/>
      <c r="H187" s="1"/>
    </row>
    <row r="188" spans="1:8" x14ac:dyDescent="0.35">
      <c r="A188" s="1" t="s">
        <v>29</v>
      </c>
      <c r="B188" s="1" t="s">
        <v>84</v>
      </c>
      <c r="C188" s="1" t="s">
        <v>80</v>
      </c>
      <c r="D188" s="1">
        <v>452.17842999999999</v>
      </c>
      <c r="E188" s="1">
        <v>17632.95</v>
      </c>
      <c r="F188" s="1">
        <v>8816.4750000000004</v>
      </c>
      <c r="G188" s="1"/>
      <c r="H188" s="1"/>
    </row>
    <row r="189" spans="1:8" x14ac:dyDescent="0.35">
      <c r="A189" s="1" t="s">
        <v>29</v>
      </c>
      <c r="B189" s="1" t="s">
        <v>85</v>
      </c>
      <c r="C189" s="1" t="s">
        <v>80</v>
      </c>
      <c r="D189" s="1">
        <v>0</v>
      </c>
      <c r="E189" s="1">
        <v>0</v>
      </c>
      <c r="F189" s="1">
        <v>0</v>
      </c>
      <c r="G189" s="1"/>
      <c r="H189" s="1"/>
    </row>
    <row r="190" spans="1:8" x14ac:dyDescent="0.35">
      <c r="A190" s="1" t="s">
        <v>29</v>
      </c>
      <c r="B190" s="1" t="s">
        <v>86</v>
      </c>
      <c r="C190" s="1" t="s">
        <v>80</v>
      </c>
      <c r="D190" s="1">
        <v>2629.5558190000002</v>
      </c>
      <c r="E190" s="1">
        <v>5968.2839999999997</v>
      </c>
      <c r="F190" s="1">
        <v>2773.944</v>
      </c>
      <c r="G190" s="1">
        <v>2597.1189469999999</v>
      </c>
      <c r="H190" s="1">
        <v>1207.091103</v>
      </c>
    </row>
    <row r="191" spans="1:8" x14ac:dyDescent="0.35">
      <c r="A191" s="1" t="s">
        <v>30</v>
      </c>
      <c r="B191" s="1" t="s">
        <v>79</v>
      </c>
      <c r="C191" s="1" t="s">
        <v>80</v>
      </c>
      <c r="D191" s="1">
        <v>2940.6950069999998</v>
      </c>
      <c r="E191" s="1">
        <v>1714.36</v>
      </c>
      <c r="F191" s="1">
        <v>414.6</v>
      </c>
      <c r="G191" s="1"/>
      <c r="H191" s="1">
        <v>4699.537233</v>
      </c>
    </row>
    <row r="192" spans="1:8" x14ac:dyDescent="0.35">
      <c r="A192" s="1" t="s">
        <v>30</v>
      </c>
      <c r="B192" s="1" t="s">
        <v>81</v>
      </c>
      <c r="C192" s="1" t="s">
        <v>80</v>
      </c>
      <c r="D192" s="1">
        <v>1161.38401</v>
      </c>
      <c r="E192" s="1">
        <v>119721.702</v>
      </c>
      <c r="F192" s="1">
        <v>59860.851000000002</v>
      </c>
      <c r="G192" s="1"/>
      <c r="H192" s="1"/>
    </row>
    <row r="193" spans="1:8" x14ac:dyDescent="0.35">
      <c r="A193" s="1" t="s">
        <v>30</v>
      </c>
      <c r="B193" s="1" t="s">
        <v>82</v>
      </c>
      <c r="C193" s="1" t="s">
        <v>80</v>
      </c>
      <c r="D193" s="1">
        <v>1476.8982350000001</v>
      </c>
      <c r="E193" s="1">
        <v>22741.867999999999</v>
      </c>
      <c r="F193" s="1">
        <v>11366.999</v>
      </c>
      <c r="G193" s="1"/>
      <c r="H193" s="1"/>
    </row>
    <row r="194" spans="1:8" x14ac:dyDescent="0.35">
      <c r="A194" s="1" t="s">
        <v>30</v>
      </c>
      <c r="B194" s="1" t="s">
        <v>83</v>
      </c>
      <c r="C194" s="1" t="s">
        <v>80</v>
      </c>
      <c r="D194" s="1">
        <v>2403.6936230000001</v>
      </c>
      <c r="E194" s="1">
        <v>8408.34</v>
      </c>
      <c r="F194" s="1">
        <v>4180.07</v>
      </c>
      <c r="G194" s="1"/>
      <c r="H194" s="1"/>
    </row>
    <row r="195" spans="1:8" x14ac:dyDescent="0.35">
      <c r="A195" s="1" t="s">
        <v>30</v>
      </c>
      <c r="B195" s="1" t="s">
        <v>84</v>
      </c>
      <c r="C195" s="1" t="s">
        <v>80</v>
      </c>
      <c r="D195" s="1">
        <v>277.44015000000002</v>
      </c>
      <c r="E195" s="1">
        <v>17523.82</v>
      </c>
      <c r="F195" s="1">
        <v>8761.91</v>
      </c>
      <c r="G195" s="1"/>
      <c r="H195" s="1"/>
    </row>
    <row r="196" spans="1:8" x14ac:dyDescent="0.35">
      <c r="A196" s="1" t="s">
        <v>30</v>
      </c>
      <c r="B196" s="1" t="s">
        <v>85</v>
      </c>
      <c r="C196" s="1" t="s">
        <v>80</v>
      </c>
      <c r="D196" s="1">
        <v>1038.481542</v>
      </c>
      <c r="E196" s="1">
        <v>1324.6</v>
      </c>
      <c r="F196" s="1">
        <v>331.58</v>
      </c>
      <c r="G196" s="1"/>
      <c r="H196" s="1"/>
    </row>
    <row r="197" spans="1:8" x14ac:dyDescent="0.35">
      <c r="A197" s="1" t="s">
        <v>30</v>
      </c>
      <c r="B197" s="1" t="s">
        <v>86</v>
      </c>
      <c r="C197" s="1" t="s">
        <v>80</v>
      </c>
      <c r="D197" s="1">
        <v>2364.5846139999999</v>
      </c>
      <c r="E197" s="1">
        <v>4847.38</v>
      </c>
      <c r="F197" s="1">
        <v>2338.85</v>
      </c>
      <c r="G197" s="1">
        <v>2769.8715219999999</v>
      </c>
      <c r="H197" s="1">
        <v>1336.4568099999999</v>
      </c>
    </row>
    <row r="198" spans="1:8" x14ac:dyDescent="0.35">
      <c r="A198" s="1" t="s">
        <v>31</v>
      </c>
      <c r="B198" s="1" t="s">
        <v>79</v>
      </c>
      <c r="C198" s="1" t="s">
        <v>80</v>
      </c>
      <c r="D198" s="1">
        <v>2327.7955160000001</v>
      </c>
      <c r="E198" s="1">
        <v>1879.0640000000001</v>
      </c>
      <c r="F198" s="1">
        <v>456.673</v>
      </c>
      <c r="G198" s="1"/>
      <c r="H198" s="1">
        <v>3393.9886889999998</v>
      </c>
    </row>
    <row r="199" spans="1:8" x14ac:dyDescent="0.35">
      <c r="A199" s="1" t="s">
        <v>31</v>
      </c>
      <c r="B199" s="1" t="s">
        <v>81</v>
      </c>
      <c r="C199" s="1" t="s">
        <v>80</v>
      </c>
      <c r="D199" s="1">
        <v>474.32625999999999</v>
      </c>
      <c r="E199" s="1">
        <v>59759.462</v>
      </c>
      <c r="F199" s="1">
        <v>29879.731</v>
      </c>
      <c r="G199" s="1"/>
      <c r="H199" s="1"/>
    </row>
    <row r="200" spans="1:8" x14ac:dyDescent="0.35">
      <c r="A200" s="1" t="s">
        <v>31</v>
      </c>
      <c r="B200" s="1" t="s">
        <v>82</v>
      </c>
      <c r="C200" s="1" t="s">
        <v>80</v>
      </c>
      <c r="D200" s="1">
        <v>419.22080770000002</v>
      </c>
      <c r="E200" s="1">
        <v>4530.3500000000004</v>
      </c>
      <c r="F200" s="1">
        <v>2259.2649999999999</v>
      </c>
      <c r="G200" s="1"/>
      <c r="H200" s="1"/>
    </row>
    <row r="201" spans="1:8" x14ac:dyDescent="0.35">
      <c r="A201" s="1" t="s">
        <v>31</v>
      </c>
      <c r="B201" s="1" t="s">
        <v>83</v>
      </c>
      <c r="C201" s="1" t="s">
        <v>80</v>
      </c>
      <c r="D201" s="1">
        <v>444.66316990000001</v>
      </c>
      <c r="E201" s="1">
        <v>1487.3689999999999</v>
      </c>
      <c r="F201" s="1">
        <v>725.51</v>
      </c>
      <c r="G201" s="1"/>
      <c r="H201" s="1"/>
    </row>
    <row r="202" spans="1:8" x14ac:dyDescent="0.35">
      <c r="A202" s="1" t="s">
        <v>31</v>
      </c>
      <c r="B202" s="1" t="s">
        <v>84</v>
      </c>
      <c r="C202" s="1" t="s">
        <v>80</v>
      </c>
      <c r="D202" s="1">
        <v>254.18818999999999</v>
      </c>
      <c r="E202" s="1">
        <v>4990.6019999999999</v>
      </c>
      <c r="F202" s="1">
        <v>2495.3009999999999</v>
      </c>
      <c r="G202" s="1"/>
      <c r="H202" s="1"/>
    </row>
    <row r="203" spans="1:8" x14ac:dyDescent="0.35">
      <c r="A203" s="1" t="s">
        <v>31</v>
      </c>
      <c r="B203" s="1" t="s">
        <v>85</v>
      </c>
      <c r="C203" s="1" t="s">
        <v>80</v>
      </c>
      <c r="D203" s="1">
        <v>0</v>
      </c>
      <c r="E203" s="1">
        <v>0</v>
      </c>
      <c r="F203" s="1">
        <v>0</v>
      </c>
      <c r="G203" s="1"/>
      <c r="H203" s="1"/>
    </row>
    <row r="204" spans="1:8" x14ac:dyDescent="0.35">
      <c r="A204" s="1" t="s">
        <v>31</v>
      </c>
      <c r="B204" s="1" t="s">
        <v>86</v>
      </c>
      <c r="C204" s="1" t="s">
        <v>80</v>
      </c>
      <c r="D204" s="1">
        <v>1718.9349380000001</v>
      </c>
      <c r="E204" s="1">
        <v>3436.848</v>
      </c>
      <c r="F204" s="1">
        <v>1519.424</v>
      </c>
      <c r="G204" s="1">
        <v>3099.4711090000001</v>
      </c>
      <c r="H204" s="1">
        <v>1370.270315</v>
      </c>
    </row>
    <row r="205" spans="1:8" x14ac:dyDescent="0.35">
      <c r="A205" s="1" t="s">
        <v>32</v>
      </c>
      <c r="B205" s="1" t="s">
        <v>79</v>
      </c>
      <c r="C205" s="1" t="s">
        <v>80</v>
      </c>
      <c r="D205" s="1">
        <v>1100.0158530000001</v>
      </c>
      <c r="E205" s="1">
        <v>567.00400000000002</v>
      </c>
      <c r="F205" s="1">
        <v>141.96100000000001</v>
      </c>
      <c r="G205" s="1"/>
      <c r="H205" s="1">
        <v>5315.2042369999999</v>
      </c>
    </row>
    <row r="206" spans="1:8" x14ac:dyDescent="0.35">
      <c r="A206" s="1" t="s">
        <v>32</v>
      </c>
      <c r="B206" s="1" t="s">
        <v>81</v>
      </c>
      <c r="C206" s="1" t="s">
        <v>80</v>
      </c>
      <c r="D206" s="1">
        <v>389.45499999999998</v>
      </c>
      <c r="E206" s="1">
        <v>15810.18</v>
      </c>
      <c r="F206" s="1">
        <v>7905.09</v>
      </c>
      <c r="G206" s="1"/>
      <c r="H206" s="1"/>
    </row>
    <row r="207" spans="1:8" x14ac:dyDescent="0.35">
      <c r="A207" s="1" t="s">
        <v>32</v>
      </c>
      <c r="B207" s="1" t="s">
        <v>82</v>
      </c>
      <c r="C207" s="1" t="s">
        <v>80</v>
      </c>
      <c r="D207" s="1">
        <v>1102.0435560000001</v>
      </c>
      <c r="E207" s="1">
        <v>2089.5639999999999</v>
      </c>
      <c r="F207" s="1">
        <v>1041.2750000000001</v>
      </c>
      <c r="G207" s="1"/>
      <c r="H207" s="1"/>
    </row>
    <row r="208" spans="1:8" x14ac:dyDescent="0.35">
      <c r="A208" s="1" t="s">
        <v>32</v>
      </c>
      <c r="B208" s="1" t="s">
        <v>83</v>
      </c>
      <c r="C208" s="1" t="s">
        <v>80</v>
      </c>
      <c r="D208" s="1">
        <v>1175.5037279999999</v>
      </c>
      <c r="E208" s="1">
        <v>1263.5909999999999</v>
      </c>
      <c r="F208" s="1">
        <v>625.38199999999995</v>
      </c>
      <c r="G208" s="1"/>
      <c r="H208" s="1"/>
    </row>
    <row r="209" spans="1:8" x14ac:dyDescent="0.35">
      <c r="A209" s="1" t="s">
        <v>32</v>
      </c>
      <c r="B209" s="1" t="s">
        <v>84</v>
      </c>
      <c r="C209" s="1" t="s">
        <v>80</v>
      </c>
      <c r="D209" s="1">
        <v>525.23500000000001</v>
      </c>
      <c r="E209" s="1">
        <v>2130.1019999999999</v>
      </c>
      <c r="F209" s="1">
        <v>1065.0509999999999</v>
      </c>
      <c r="G209" s="1"/>
      <c r="H209" s="1"/>
    </row>
    <row r="210" spans="1:8" x14ac:dyDescent="0.35">
      <c r="A210" s="1" t="s">
        <v>32</v>
      </c>
      <c r="B210" s="1" t="s">
        <v>85</v>
      </c>
      <c r="C210" s="1" t="s">
        <v>80</v>
      </c>
      <c r="D210" s="1">
        <v>153.57479789999999</v>
      </c>
      <c r="E210" s="1">
        <v>36.896000000000001</v>
      </c>
      <c r="F210" s="1">
        <v>9.2240000000000002</v>
      </c>
      <c r="G210" s="1"/>
      <c r="H210" s="1"/>
    </row>
    <row r="211" spans="1:8" x14ac:dyDescent="0.35">
      <c r="A211" s="1" t="s">
        <v>32</v>
      </c>
      <c r="B211" s="1" t="s">
        <v>86</v>
      </c>
      <c r="C211" s="1" t="s">
        <v>80</v>
      </c>
      <c r="D211" s="1">
        <v>1108.365061</v>
      </c>
      <c r="E211" s="1">
        <v>674.90599999999995</v>
      </c>
      <c r="F211" s="1">
        <v>322.74200000000002</v>
      </c>
      <c r="G211" s="1">
        <v>9408.8051909999995</v>
      </c>
      <c r="H211" s="1">
        <v>4499.3178379999999</v>
      </c>
    </row>
    <row r="212" spans="1:8" x14ac:dyDescent="0.35">
      <c r="A212" s="1" t="s">
        <v>33</v>
      </c>
      <c r="B212" s="1" t="s">
        <v>79</v>
      </c>
      <c r="C212" s="1" t="s">
        <v>80</v>
      </c>
      <c r="D212" s="1">
        <v>1237.2280169999999</v>
      </c>
      <c r="E212" s="1">
        <v>277.38</v>
      </c>
      <c r="F212" s="1">
        <v>44.88</v>
      </c>
      <c r="G212" s="1"/>
      <c r="H212" s="1">
        <v>12220.296340000001</v>
      </c>
    </row>
    <row r="213" spans="1:8" x14ac:dyDescent="0.35">
      <c r="A213" s="1" t="s">
        <v>33</v>
      </c>
      <c r="B213" s="1" t="s">
        <v>81</v>
      </c>
      <c r="C213" s="1" t="s">
        <v>80</v>
      </c>
      <c r="D213" s="1">
        <v>893.52</v>
      </c>
      <c r="E213" s="1">
        <v>7574.96</v>
      </c>
      <c r="F213" s="1">
        <v>3787.48</v>
      </c>
      <c r="G213" s="1"/>
      <c r="H213" s="1"/>
    </row>
    <row r="214" spans="1:8" x14ac:dyDescent="0.35">
      <c r="A214" s="1" t="s">
        <v>33</v>
      </c>
      <c r="B214" s="1" t="s">
        <v>82</v>
      </c>
      <c r="C214" s="1" t="s">
        <v>80</v>
      </c>
      <c r="D214" s="1">
        <v>814.54158110000003</v>
      </c>
      <c r="E214" s="1">
        <v>1557.59</v>
      </c>
      <c r="F214" s="1">
        <v>774.56</v>
      </c>
      <c r="G214" s="1"/>
      <c r="H214" s="1"/>
    </row>
    <row r="215" spans="1:8" x14ac:dyDescent="0.35">
      <c r="A215" s="1" t="s">
        <v>33</v>
      </c>
      <c r="B215" s="1" t="s">
        <v>83</v>
      </c>
      <c r="C215" s="1" t="s">
        <v>80</v>
      </c>
      <c r="D215" s="1">
        <v>676.91940050000005</v>
      </c>
      <c r="E215" s="1">
        <v>640.524</v>
      </c>
      <c r="F215" s="1">
        <v>307.14</v>
      </c>
      <c r="G215" s="1"/>
      <c r="H215" s="1"/>
    </row>
    <row r="216" spans="1:8" x14ac:dyDescent="0.35">
      <c r="A216" s="1" t="s">
        <v>33</v>
      </c>
      <c r="B216" s="1" t="s">
        <v>84</v>
      </c>
      <c r="C216" s="1" t="s">
        <v>80</v>
      </c>
      <c r="D216" s="1">
        <v>170.82</v>
      </c>
      <c r="E216" s="1">
        <v>675.08</v>
      </c>
      <c r="F216" s="1">
        <v>337.54</v>
      </c>
      <c r="G216" s="1"/>
      <c r="H216" s="1"/>
    </row>
    <row r="217" spans="1:8" x14ac:dyDescent="0.35">
      <c r="A217" s="1" t="s">
        <v>33</v>
      </c>
      <c r="B217" s="1" t="s">
        <v>85</v>
      </c>
      <c r="C217" s="1" t="s">
        <v>80</v>
      </c>
      <c r="D217" s="1">
        <v>485.86533350000002</v>
      </c>
      <c r="E217" s="1">
        <v>185.94200000000001</v>
      </c>
      <c r="F217" s="1">
        <v>35.450000000000003</v>
      </c>
      <c r="G217" s="1"/>
      <c r="H217" s="1"/>
    </row>
    <row r="218" spans="1:8" x14ac:dyDescent="0.35">
      <c r="A218" s="1" t="s">
        <v>33</v>
      </c>
      <c r="B218" s="1" t="s">
        <v>86</v>
      </c>
      <c r="C218" s="1" t="s">
        <v>80</v>
      </c>
      <c r="D218" s="1">
        <v>688.48757179999996</v>
      </c>
      <c r="E218" s="1">
        <v>369.64100000000002</v>
      </c>
      <c r="F218" s="1">
        <v>159.63999999999999</v>
      </c>
      <c r="G218" s="1">
        <v>11815.7562</v>
      </c>
      <c r="H218" s="1">
        <v>5102.9710450000002</v>
      </c>
    </row>
    <row r="219" spans="1:8" x14ac:dyDescent="0.35">
      <c r="A219" s="1" t="s">
        <v>34</v>
      </c>
      <c r="B219" s="1" t="s">
        <v>79</v>
      </c>
      <c r="C219" s="1" t="s">
        <v>80</v>
      </c>
      <c r="D219" s="1">
        <v>4698.2916310000001</v>
      </c>
      <c r="E219" s="1">
        <v>3415.6280000000002</v>
      </c>
      <c r="F219" s="1">
        <v>843.33600000000001</v>
      </c>
      <c r="G219" s="1"/>
      <c r="H219" s="1">
        <v>3768.569606</v>
      </c>
    </row>
    <row r="220" spans="1:8" x14ac:dyDescent="0.35">
      <c r="A220" s="1" t="s">
        <v>34</v>
      </c>
      <c r="B220" s="1" t="s">
        <v>81</v>
      </c>
      <c r="C220" s="1" t="s">
        <v>80</v>
      </c>
      <c r="D220" s="1">
        <v>4374.0322500000002</v>
      </c>
      <c r="E220" s="1">
        <v>95750.627999999997</v>
      </c>
      <c r="F220" s="1">
        <v>47875.313999999998</v>
      </c>
      <c r="G220" s="1"/>
      <c r="H220" s="1"/>
    </row>
    <row r="221" spans="1:8" x14ac:dyDescent="0.35">
      <c r="A221" s="1" t="s">
        <v>34</v>
      </c>
      <c r="B221" s="1" t="s">
        <v>82</v>
      </c>
      <c r="C221" s="1" t="s">
        <v>80</v>
      </c>
      <c r="D221" s="1">
        <v>1602.619524</v>
      </c>
      <c r="E221" s="1">
        <v>9090.8889999999992</v>
      </c>
      <c r="F221" s="1">
        <v>4513.7340000000004</v>
      </c>
      <c r="G221" s="1"/>
      <c r="H221" s="1"/>
    </row>
    <row r="222" spans="1:8" x14ac:dyDescent="0.35">
      <c r="A222" s="1" t="s">
        <v>34</v>
      </c>
      <c r="B222" s="1" t="s">
        <v>83</v>
      </c>
      <c r="C222" s="1" t="s">
        <v>80</v>
      </c>
      <c r="D222" s="1">
        <v>1759.47594</v>
      </c>
      <c r="E222" s="1">
        <v>4714.4160000000002</v>
      </c>
      <c r="F222" s="1">
        <v>2269.92</v>
      </c>
      <c r="G222" s="1"/>
      <c r="H222" s="1"/>
    </row>
    <row r="223" spans="1:8" x14ac:dyDescent="0.35">
      <c r="A223" s="1" t="s">
        <v>34</v>
      </c>
      <c r="B223" s="1" t="s">
        <v>84</v>
      </c>
      <c r="C223" s="1" t="s">
        <v>80</v>
      </c>
      <c r="D223" s="1">
        <v>508.4169</v>
      </c>
      <c r="E223" s="1">
        <v>6237.9660000000003</v>
      </c>
      <c r="F223" s="1">
        <v>3118.9830000000002</v>
      </c>
      <c r="G223" s="1"/>
      <c r="H223" s="1"/>
    </row>
    <row r="224" spans="1:8" x14ac:dyDescent="0.35">
      <c r="A224" s="1" t="s">
        <v>34</v>
      </c>
      <c r="B224" s="1" t="s">
        <v>85</v>
      </c>
      <c r="C224" s="1" t="s">
        <v>80</v>
      </c>
      <c r="D224" s="1">
        <v>0</v>
      </c>
      <c r="E224" s="1">
        <v>0</v>
      </c>
      <c r="F224" s="1">
        <v>0</v>
      </c>
      <c r="G224" s="1"/>
      <c r="H224" s="1"/>
    </row>
    <row r="225" spans="1:8" x14ac:dyDescent="0.35">
      <c r="A225" s="1" t="s">
        <v>34</v>
      </c>
      <c r="B225" s="1" t="s">
        <v>86</v>
      </c>
      <c r="C225" s="1" t="s">
        <v>80</v>
      </c>
      <c r="D225" s="1">
        <v>3480.1975950000001</v>
      </c>
      <c r="E225" s="1">
        <v>6059.1270000000004</v>
      </c>
      <c r="F225" s="1">
        <v>1916.432</v>
      </c>
      <c r="G225" s="1">
        <v>4975.2811110000002</v>
      </c>
      <c r="H225" s="1">
        <v>1573.6240439999999</v>
      </c>
    </row>
    <row r="226" spans="1:8" x14ac:dyDescent="0.35">
      <c r="A226" s="1" t="s">
        <v>35</v>
      </c>
      <c r="B226" s="1" t="s">
        <v>79</v>
      </c>
      <c r="C226" s="1" t="s">
        <v>80</v>
      </c>
      <c r="D226" s="1">
        <v>6096.3581590000003</v>
      </c>
      <c r="E226" s="1">
        <v>3283.02</v>
      </c>
      <c r="F226" s="1">
        <v>803.62</v>
      </c>
      <c r="G226" s="1"/>
      <c r="H226" s="1">
        <v>5087.4960010000004</v>
      </c>
    </row>
    <row r="227" spans="1:8" x14ac:dyDescent="0.35">
      <c r="A227" s="1" t="s">
        <v>35</v>
      </c>
      <c r="B227" s="1" t="s">
        <v>81</v>
      </c>
      <c r="C227" s="1" t="s">
        <v>80</v>
      </c>
      <c r="D227" s="1">
        <v>4736.24</v>
      </c>
      <c r="E227" s="1">
        <v>86557.2</v>
      </c>
      <c r="F227" s="1">
        <v>43278.6</v>
      </c>
      <c r="G227" s="1"/>
      <c r="H227" s="1"/>
    </row>
    <row r="228" spans="1:8" x14ac:dyDescent="0.35">
      <c r="A228" s="1" t="s">
        <v>35</v>
      </c>
      <c r="B228" s="1" t="s">
        <v>82</v>
      </c>
      <c r="C228" s="1" t="s">
        <v>80</v>
      </c>
      <c r="D228" s="1">
        <v>3880.2797559999999</v>
      </c>
      <c r="E228" s="1">
        <v>11320.73</v>
      </c>
      <c r="F228" s="1">
        <v>5639.79</v>
      </c>
      <c r="G228" s="1"/>
      <c r="H228" s="1"/>
    </row>
    <row r="229" spans="1:8" x14ac:dyDescent="0.35">
      <c r="A229" s="1" t="s">
        <v>35</v>
      </c>
      <c r="B229" s="1" t="s">
        <v>83</v>
      </c>
      <c r="C229" s="1" t="s">
        <v>80</v>
      </c>
      <c r="D229" s="1">
        <v>3473.6768950000001</v>
      </c>
      <c r="E229" s="1">
        <v>5859.09</v>
      </c>
      <c r="F229" s="1">
        <v>2841.16</v>
      </c>
      <c r="G229" s="1"/>
      <c r="H229" s="1"/>
    </row>
    <row r="230" spans="1:8" x14ac:dyDescent="0.35">
      <c r="A230" s="1" t="s">
        <v>35</v>
      </c>
      <c r="B230" s="1" t="s">
        <v>84</v>
      </c>
      <c r="C230" s="1" t="s">
        <v>80</v>
      </c>
      <c r="D230" s="1">
        <v>2561.9349999999999</v>
      </c>
      <c r="E230" s="1">
        <v>18588.04</v>
      </c>
      <c r="F230" s="1">
        <v>9294.02</v>
      </c>
      <c r="G230" s="1"/>
      <c r="H230" s="1"/>
    </row>
    <row r="231" spans="1:8" x14ac:dyDescent="0.35">
      <c r="A231" s="1" t="s">
        <v>35</v>
      </c>
      <c r="B231" s="1" t="s">
        <v>85</v>
      </c>
      <c r="C231" s="1" t="s">
        <v>80</v>
      </c>
      <c r="D231" s="1">
        <v>895.27616469999998</v>
      </c>
      <c r="E231" s="1">
        <v>747.53</v>
      </c>
      <c r="F231" s="1">
        <v>181.77</v>
      </c>
      <c r="G231" s="1"/>
      <c r="H231" s="1"/>
    </row>
    <row r="232" spans="1:8" x14ac:dyDescent="0.35">
      <c r="A232" s="1" t="s">
        <v>35</v>
      </c>
      <c r="B232" s="1" t="s">
        <v>86</v>
      </c>
      <c r="C232" s="1" t="s">
        <v>80</v>
      </c>
      <c r="D232" s="1">
        <v>3843.2056689999999</v>
      </c>
      <c r="E232" s="1">
        <v>4522.08</v>
      </c>
      <c r="F232" s="1">
        <v>2105.39</v>
      </c>
      <c r="G232" s="1">
        <v>5001.130717</v>
      </c>
      <c r="H232" s="1">
        <v>2328.4264320000002</v>
      </c>
    </row>
    <row r="233" spans="1:8" x14ac:dyDescent="0.35">
      <c r="A233" s="1" t="s">
        <v>253</v>
      </c>
      <c r="B233" s="1" t="s">
        <v>79</v>
      </c>
      <c r="C233" s="1" t="s">
        <v>80</v>
      </c>
      <c r="D233" s="1">
        <v>6806.2142030000005</v>
      </c>
      <c r="E233" s="1">
        <v>2325.902</v>
      </c>
      <c r="F233" s="1">
        <v>563.80600000000004</v>
      </c>
      <c r="G233" s="1"/>
      <c r="H233" s="1">
        <v>8017.1744980000003</v>
      </c>
    </row>
    <row r="234" spans="1:8" x14ac:dyDescent="0.35">
      <c r="A234" s="1" t="s">
        <v>253</v>
      </c>
      <c r="B234" s="1" t="s">
        <v>81</v>
      </c>
      <c r="C234" s="1" t="s">
        <v>80</v>
      </c>
      <c r="D234" s="1">
        <v>9016.9599999999991</v>
      </c>
      <c r="E234" s="1">
        <v>93514.288</v>
      </c>
      <c r="F234" s="1">
        <v>46757.144</v>
      </c>
      <c r="G234" s="1"/>
      <c r="H234" s="1"/>
    </row>
    <row r="235" spans="1:8" x14ac:dyDescent="0.35">
      <c r="A235" s="1" t="s">
        <v>253</v>
      </c>
      <c r="B235" s="1" t="s">
        <v>82</v>
      </c>
      <c r="C235" s="1" t="s">
        <v>80</v>
      </c>
      <c r="D235" s="1">
        <v>7387.0784389999999</v>
      </c>
      <c r="E235" s="1">
        <v>15116.94</v>
      </c>
      <c r="F235" s="1">
        <v>7492.8609999999999</v>
      </c>
      <c r="G235" s="1"/>
      <c r="H235" s="1"/>
    </row>
    <row r="236" spans="1:8" x14ac:dyDescent="0.35">
      <c r="A236" s="1" t="s">
        <v>253</v>
      </c>
      <c r="B236" s="1" t="s">
        <v>83</v>
      </c>
      <c r="C236" s="1" t="s">
        <v>80</v>
      </c>
      <c r="D236" s="1">
        <v>6260.2107319999996</v>
      </c>
      <c r="E236" s="1">
        <v>6603.598</v>
      </c>
      <c r="F236" s="1">
        <v>3085.1320000000001</v>
      </c>
      <c r="G236" s="1"/>
      <c r="H236" s="1"/>
    </row>
    <row r="237" spans="1:8" x14ac:dyDescent="0.35">
      <c r="A237" s="1" t="s">
        <v>253</v>
      </c>
      <c r="B237" s="1" t="s">
        <v>84</v>
      </c>
      <c r="C237" s="1" t="s">
        <v>80</v>
      </c>
      <c r="D237" s="1">
        <v>3006.5050000000001</v>
      </c>
      <c r="E237" s="1">
        <v>12053.317999999999</v>
      </c>
      <c r="F237" s="1">
        <v>6026.6589999999997</v>
      </c>
      <c r="G237" s="1"/>
      <c r="H237" s="1"/>
    </row>
    <row r="238" spans="1:8" x14ac:dyDescent="0.35">
      <c r="A238" s="1" t="s">
        <v>253</v>
      </c>
      <c r="B238" s="1" t="s">
        <v>85</v>
      </c>
      <c r="C238" s="1" t="s">
        <v>80</v>
      </c>
      <c r="D238" s="1">
        <v>2812.2949490000001</v>
      </c>
      <c r="E238" s="1">
        <v>1653.788</v>
      </c>
      <c r="F238" s="1">
        <v>414.50400000000002</v>
      </c>
      <c r="G238" s="1"/>
      <c r="H238" s="1"/>
    </row>
    <row r="239" spans="1:8" x14ac:dyDescent="0.35">
      <c r="A239" s="1" t="s">
        <v>253</v>
      </c>
      <c r="B239" s="1" t="s">
        <v>86</v>
      </c>
      <c r="C239" s="1" t="s">
        <v>80</v>
      </c>
      <c r="D239" s="1">
        <v>6328.8020079999997</v>
      </c>
      <c r="E239" s="1">
        <v>4846.5829999999996</v>
      </c>
      <c r="F239" s="1">
        <v>1579.0340000000001</v>
      </c>
      <c r="G239" s="1">
        <v>10980.880450000001</v>
      </c>
      <c r="H239" s="1">
        <v>3577.609954</v>
      </c>
    </row>
    <row r="240" spans="1:8" x14ac:dyDescent="0.35">
      <c r="A240" s="1" t="s">
        <v>36</v>
      </c>
      <c r="B240" s="1" t="s">
        <v>79</v>
      </c>
      <c r="C240" s="1" t="s">
        <v>80</v>
      </c>
      <c r="D240" s="1">
        <v>1624.0069559999999</v>
      </c>
      <c r="E240" s="1">
        <v>2038.9280000000001</v>
      </c>
      <c r="F240" s="1">
        <v>509.73200000000003</v>
      </c>
      <c r="G240" s="1"/>
      <c r="H240" s="1">
        <v>2182.192861</v>
      </c>
    </row>
    <row r="241" spans="1:8" x14ac:dyDescent="0.35">
      <c r="A241" s="1" t="s">
        <v>36</v>
      </c>
      <c r="B241" s="1" t="s">
        <v>81</v>
      </c>
      <c r="C241" s="1" t="s">
        <v>80</v>
      </c>
      <c r="D241" s="1">
        <v>1124.78035</v>
      </c>
      <c r="E241" s="1">
        <v>134593.85399999999</v>
      </c>
      <c r="F241" s="1">
        <v>67296.926999999996</v>
      </c>
      <c r="G241" s="1"/>
      <c r="H241" s="1"/>
    </row>
    <row r="242" spans="1:8" x14ac:dyDescent="0.35">
      <c r="A242" s="1" t="s">
        <v>36</v>
      </c>
      <c r="B242" s="1" t="s">
        <v>82</v>
      </c>
      <c r="C242" s="1" t="s">
        <v>80</v>
      </c>
      <c r="D242" s="1">
        <v>1051.6713110000001</v>
      </c>
      <c r="E242" s="1">
        <v>24007.524000000001</v>
      </c>
      <c r="F242" s="1">
        <v>12002.522999999999</v>
      </c>
      <c r="G242" s="1"/>
      <c r="H242" s="1"/>
    </row>
    <row r="243" spans="1:8" x14ac:dyDescent="0.35">
      <c r="A243" s="1" t="s">
        <v>36</v>
      </c>
      <c r="B243" s="1" t="s">
        <v>83</v>
      </c>
      <c r="C243" s="1" t="s">
        <v>80</v>
      </c>
      <c r="D243" s="1">
        <v>856.36935570000003</v>
      </c>
      <c r="E243" s="1">
        <v>5051.1959999999999</v>
      </c>
      <c r="F243" s="1">
        <v>2525.598</v>
      </c>
      <c r="G243" s="1"/>
      <c r="H243" s="1"/>
    </row>
    <row r="244" spans="1:8" x14ac:dyDescent="0.35">
      <c r="A244" s="1" t="s">
        <v>36</v>
      </c>
      <c r="B244" s="1" t="s">
        <v>84</v>
      </c>
      <c r="C244" s="1" t="s">
        <v>80</v>
      </c>
      <c r="D244" s="1">
        <v>0</v>
      </c>
      <c r="E244" s="1">
        <v>0</v>
      </c>
      <c r="F244" s="1">
        <v>0</v>
      </c>
      <c r="G244" s="1"/>
      <c r="H244" s="1"/>
    </row>
    <row r="245" spans="1:8" x14ac:dyDescent="0.35">
      <c r="A245" s="1" t="s">
        <v>36</v>
      </c>
      <c r="B245" s="1" t="s">
        <v>85</v>
      </c>
      <c r="C245" s="1" t="s">
        <v>80</v>
      </c>
      <c r="D245" s="1">
        <v>0</v>
      </c>
      <c r="E245" s="1">
        <v>0</v>
      </c>
      <c r="F245" s="1">
        <v>0</v>
      </c>
      <c r="G245" s="1"/>
      <c r="H245" s="1"/>
    </row>
    <row r="246" spans="1:8" x14ac:dyDescent="0.35">
      <c r="A246" s="1" t="s">
        <v>36</v>
      </c>
      <c r="B246" s="1" t="s">
        <v>86</v>
      </c>
      <c r="C246" s="1" t="s">
        <v>80</v>
      </c>
      <c r="D246" s="1">
        <v>2219.018255</v>
      </c>
      <c r="E246" s="1">
        <v>6899.2979999999998</v>
      </c>
      <c r="F246" s="1">
        <v>2944.7460000000001</v>
      </c>
      <c r="G246" s="1">
        <v>2064.5251130000001</v>
      </c>
      <c r="H246" s="1">
        <v>881.17690640000001</v>
      </c>
    </row>
    <row r="247" spans="1:8" x14ac:dyDescent="0.35">
      <c r="A247" s="1" t="s">
        <v>37</v>
      </c>
      <c r="B247" s="1" t="s">
        <v>79</v>
      </c>
      <c r="C247" s="1" t="s">
        <v>80</v>
      </c>
      <c r="D247" s="1">
        <v>8946.6154009999991</v>
      </c>
      <c r="E247" s="1">
        <v>3046.0520000000001</v>
      </c>
      <c r="F247" s="1">
        <v>642.52099999999996</v>
      </c>
      <c r="G247" s="1"/>
      <c r="H247" s="1">
        <v>8046.8997479999998</v>
      </c>
    </row>
    <row r="248" spans="1:8" x14ac:dyDescent="0.35">
      <c r="A248" s="1" t="s">
        <v>37</v>
      </c>
      <c r="B248" s="1" t="s">
        <v>81</v>
      </c>
      <c r="C248" s="1" t="s">
        <v>80</v>
      </c>
      <c r="D248" s="1">
        <v>5634.01152</v>
      </c>
      <c r="E248" s="1">
        <v>106027.496</v>
      </c>
      <c r="F248" s="1">
        <v>53013.748</v>
      </c>
      <c r="G248" s="1"/>
      <c r="H248" s="1"/>
    </row>
    <row r="249" spans="1:8" x14ac:dyDescent="0.35">
      <c r="A249" s="1" t="s">
        <v>37</v>
      </c>
      <c r="B249" s="1" t="s">
        <v>82</v>
      </c>
      <c r="C249" s="1" t="s">
        <v>80</v>
      </c>
      <c r="D249" s="1">
        <v>7803.5974319999996</v>
      </c>
      <c r="E249" s="1">
        <v>22263.360000000001</v>
      </c>
      <c r="F249" s="1">
        <v>11010.393</v>
      </c>
      <c r="G249" s="1"/>
      <c r="H249" s="1"/>
    </row>
    <row r="250" spans="1:8" x14ac:dyDescent="0.35">
      <c r="A250" s="1" t="s">
        <v>37</v>
      </c>
      <c r="B250" s="1" t="s">
        <v>83</v>
      </c>
      <c r="C250" s="1" t="s">
        <v>80</v>
      </c>
      <c r="D250" s="1">
        <v>4307.2358370000002</v>
      </c>
      <c r="E250" s="1">
        <v>5467.4430000000002</v>
      </c>
      <c r="F250" s="1">
        <v>2663.5459999999998</v>
      </c>
      <c r="G250" s="1"/>
      <c r="H250" s="1"/>
    </row>
    <row r="251" spans="1:8" x14ac:dyDescent="0.35">
      <c r="A251" s="1" t="s">
        <v>37</v>
      </c>
      <c r="B251" s="1" t="s">
        <v>84</v>
      </c>
      <c r="C251" s="1" t="s">
        <v>80</v>
      </c>
      <c r="D251" s="1">
        <v>1645.6926599999999</v>
      </c>
      <c r="E251" s="1">
        <v>12603.02</v>
      </c>
      <c r="F251" s="1">
        <v>6301.51</v>
      </c>
      <c r="G251" s="1"/>
      <c r="H251" s="1"/>
    </row>
    <row r="252" spans="1:8" x14ac:dyDescent="0.35">
      <c r="A252" s="1" t="s">
        <v>37</v>
      </c>
      <c r="B252" s="1" t="s">
        <v>85</v>
      </c>
      <c r="C252" s="1" t="s">
        <v>80</v>
      </c>
      <c r="D252" s="1">
        <v>2055.4643120000001</v>
      </c>
      <c r="E252" s="1">
        <v>1335.9839999999999</v>
      </c>
      <c r="F252" s="1">
        <v>334.49099999999999</v>
      </c>
      <c r="G252" s="1"/>
      <c r="H252" s="1"/>
    </row>
    <row r="253" spans="1:8" x14ac:dyDescent="0.35">
      <c r="A253" s="1" t="s">
        <v>37</v>
      </c>
      <c r="B253" s="1" t="s">
        <v>86</v>
      </c>
      <c r="C253" s="1" t="s">
        <v>80</v>
      </c>
      <c r="D253" s="1">
        <v>4629.3301190000002</v>
      </c>
      <c r="E253" s="1">
        <v>4184.3429999999998</v>
      </c>
      <c r="F253" s="1">
        <v>1522.9290000000001</v>
      </c>
      <c r="G253" s="1">
        <v>8328.0942300000006</v>
      </c>
      <c r="H253" s="1">
        <v>3031.0842630000002</v>
      </c>
    </row>
    <row r="254" spans="1:8" x14ac:dyDescent="0.35">
      <c r="A254" s="1" t="s">
        <v>38</v>
      </c>
      <c r="B254" s="1" t="s">
        <v>79</v>
      </c>
      <c r="C254" s="1" t="s">
        <v>80</v>
      </c>
      <c r="D254" s="1">
        <v>5417.7011469999998</v>
      </c>
      <c r="E254" s="1">
        <v>2612.9290000000001</v>
      </c>
      <c r="F254" s="1">
        <v>649.82500000000005</v>
      </c>
      <c r="G254" s="1"/>
      <c r="H254" s="1">
        <v>5680.6047310000004</v>
      </c>
    </row>
    <row r="255" spans="1:8" x14ac:dyDescent="0.35">
      <c r="A255" s="1" t="s">
        <v>38</v>
      </c>
      <c r="B255" s="1" t="s">
        <v>81</v>
      </c>
      <c r="C255" s="1" t="s">
        <v>80</v>
      </c>
      <c r="D255" s="1">
        <v>2421.7341200000001</v>
      </c>
      <c r="E255" s="1">
        <v>132211.96</v>
      </c>
      <c r="F255" s="1">
        <v>66105.98</v>
      </c>
      <c r="G255" s="1"/>
      <c r="H255" s="1"/>
    </row>
    <row r="256" spans="1:8" x14ac:dyDescent="0.35">
      <c r="A256" s="1" t="s">
        <v>38</v>
      </c>
      <c r="B256" s="1" t="s">
        <v>82</v>
      </c>
      <c r="C256" s="1" t="s">
        <v>80</v>
      </c>
      <c r="D256" s="1">
        <v>5658.2606159999996</v>
      </c>
      <c r="E256" s="1">
        <v>42374.705000000002</v>
      </c>
      <c r="F256" s="1">
        <v>21040.971000000001</v>
      </c>
      <c r="G256" s="1"/>
      <c r="H256" s="1"/>
    </row>
    <row r="257" spans="1:8" x14ac:dyDescent="0.35">
      <c r="A257" s="1" t="s">
        <v>38</v>
      </c>
      <c r="B257" s="1" t="s">
        <v>83</v>
      </c>
      <c r="C257" s="1" t="s">
        <v>80</v>
      </c>
      <c r="D257" s="1">
        <v>2953.701779</v>
      </c>
      <c r="E257" s="1">
        <v>5903.3130000000001</v>
      </c>
      <c r="F257" s="1">
        <v>2675.1570000000002</v>
      </c>
      <c r="G257" s="1"/>
      <c r="H257" s="1"/>
    </row>
    <row r="258" spans="1:8" x14ac:dyDescent="0.35">
      <c r="A258" s="1" t="s">
        <v>38</v>
      </c>
      <c r="B258" s="1" t="s">
        <v>84</v>
      </c>
      <c r="C258" s="1" t="s">
        <v>80</v>
      </c>
      <c r="D258" s="1">
        <v>172.94685999999999</v>
      </c>
      <c r="E258" s="1">
        <v>5998.9579999999996</v>
      </c>
      <c r="F258" s="1">
        <v>2999.4789999999998</v>
      </c>
      <c r="G258" s="1"/>
      <c r="H258" s="1"/>
    </row>
    <row r="259" spans="1:8" x14ac:dyDescent="0.35">
      <c r="A259" s="1" t="s">
        <v>38</v>
      </c>
      <c r="B259" s="1" t="s">
        <v>85</v>
      </c>
      <c r="C259" s="1" t="s">
        <v>80</v>
      </c>
      <c r="D259" s="1">
        <v>24.9879</v>
      </c>
      <c r="E259" s="1">
        <v>8.4</v>
      </c>
      <c r="F259" s="1">
        <v>2.1</v>
      </c>
      <c r="G259" s="1"/>
      <c r="H259" s="1"/>
    </row>
    <row r="260" spans="1:8" x14ac:dyDescent="0.35">
      <c r="A260" s="1" t="s">
        <v>38</v>
      </c>
      <c r="B260" s="1" t="s">
        <v>86</v>
      </c>
      <c r="C260" s="1" t="s">
        <v>80</v>
      </c>
      <c r="D260" s="1">
        <v>5370.724588</v>
      </c>
      <c r="E260" s="1">
        <v>6691.0309999999999</v>
      </c>
      <c r="F260" s="1">
        <v>2249.2689999999998</v>
      </c>
      <c r="G260" s="1">
        <v>6541.8204489999998</v>
      </c>
      <c r="H260" s="1">
        <v>2199.1101130000002</v>
      </c>
    </row>
    <row r="261" spans="1:8" x14ac:dyDescent="0.35">
      <c r="A261" s="1" t="s">
        <v>39</v>
      </c>
      <c r="B261" s="1" t="s">
        <v>79</v>
      </c>
      <c r="C261" s="1" t="s">
        <v>80</v>
      </c>
      <c r="D261" s="1">
        <v>4086.8506149999998</v>
      </c>
      <c r="E261" s="1">
        <v>2023.76</v>
      </c>
      <c r="F261" s="1">
        <v>495.18</v>
      </c>
      <c r="G261" s="1"/>
      <c r="H261" s="1">
        <v>5532.6970590000001</v>
      </c>
    </row>
    <row r="262" spans="1:8" x14ac:dyDescent="0.35">
      <c r="A262" s="1" t="s">
        <v>39</v>
      </c>
      <c r="B262" s="1" t="s">
        <v>81</v>
      </c>
      <c r="C262" s="1" t="s">
        <v>80</v>
      </c>
      <c r="D262" s="1">
        <v>1030.49757</v>
      </c>
      <c r="E262" s="1">
        <v>84755.18</v>
      </c>
      <c r="F262" s="1">
        <v>42377.59</v>
      </c>
      <c r="G262" s="1"/>
      <c r="H262" s="1"/>
    </row>
    <row r="263" spans="1:8" x14ac:dyDescent="0.35">
      <c r="A263" s="1" t="s">
        <v>39</v>
      </c>
      <c r="B263" s="1" t="s">
        <v>82</v>
      </c>
      <c r="C263" s="1" t="s">
        <v>80</v>
      </c>
      <c r="D263" s="1">
        <v>1859.2093400000001</v>
      </c>
      <c r="E263" s="1">
        <v>16360.04</v>
      </c>
      <c r="F263" s="1">
        <v>8174.03</v>
      </c>
      <c r="G263" s="1"/>
      <c r="H263" s="1"/>
    </row>
    <row r="264" spans="1:8" x14ac:dyDescent="0.35">
      <c r="A264" s="1" t="s">
        <v>39</v>
      </c>
      <c r="B264" s="1" t="s">
        <v>83</v>
      </c>
      <c r="C264" s="1" t="s">
        <v>80</v>
      </c>
      <c r="D264" s="1">
        <v>1882.661897</v>
      </c>
      <c r="E264" s="1">
        <v>4509.59</v>
      </c>
      <c r="F264" s="1">
        <v>2207.89</v>
      </c>
      <c r="G264" s="1"/>
      <c r="H264" s="1"/>
    </row>
    <row r="265" spans="1:8" x14ac:dyDescent="0.35">
      <c r="A265" s="1" t="s">
        <v>39</v>
      </c>
      <c r="B265" s="1" t="s">
        <v>84</v>
      </c>
      <c r="C265" s="1" t="s">
        <v>80</v>
      </c>
      <c r="D265" s="1">
        <v>505.01400000000001</v>
      </c>
      <c r="E265" s="1">
        <v>15894.5</v>
      </c>
      <c r="F265" s="1">
        <v>7947.25</v>
      </c>
      <c r="G265" s="1"/>
      <c r="H265" s="1"/>
    </row>
    <row r="266" spans="1:8" x14ac:dyDescent="0.35">
      <c r="A266" s="1" t="s">
        <v>39</v>
      </c>
      <c r="B266" s="1" t="s">
        <v>85</v>
      </c>
      <c r="C266" s="1" t="s">
        <v>80</v>
      </c>
      <c r="D266" s="1">
        <v>0</v>
      </c>
      <c r="E266" s="1">
        <v>0</v>
      </c>
      <c r="F266" s="1">
        <v>0</v>
      </c>
      <c r="G266" s="1"/>
      <c r="H266" s="1"/>
    </row>
    <row r="267" spans="1:8" x14ac:dyDescent="0.35">
      <c r="A267" s="1" t="s">
        <v>39</v>
      </c>
      <c r="B267" s="1" t="s">
        <v>86</v>
      </c>
      <c r="C267" s="1" t="s">
        <v>80</v>
      </c>
      <c r="D267" s="1">
        <v>4243.7847739999997</v>
      </c>
      <c r="E267" s="1">
        <v>5878.94</v>
      </c>
      <c r="F267" s="1">
        <v>2643.8</v>
      </c>
      <c r="G267" s="1">
        <v>4397.7636739999998</v>
      </c>
      <c r="H267" s="1">
        <v>1977.7047560000001</v>
      </c>
    </row>
    <row r="268" spans="1:8" x14ac:dyDescent="0.35">
      <c r="A268" s="1" t="s">
        <v>40</v>
      </c>
      <c r="B268" s="1" t="s">
        <v>79</v>
      </c>
      <c r="C268" s="1" t="s">
        <v>80</v>
      </c>
      <c r="D268" s="1">
        <v>10865.824710000001</v>
      </c>
      <c r="E268" s="1">
        <v>4352.2330000000002</v>
      </c>
      <c r="F268" s="1">
        <v>1066.2560000000001</v>
      </c>
      <c r="G268" s="1"/>
      <c r="H268" s="1">
        <v>6840.0250569999998</v>
      </c>
    </row>
    <row r="269" spans="1:8" x14ac:dyDescent="0.35">
      <c r="A269" s="1" t="s">
        <v>40</v>
      </c>
      <c r="B269" s="1" t="s">
        <v>81</v>
      </c>
      <c r="C269" s="1" t="s">
        <v>80</v>
      </c>
      <c r="D269" s="1">
        <v>5270.3923199999999</v>
      </c>
      <c r="E269" s="1">
        <v>101588.336</v>
      </c>
      <c r="F269" s="1">
        <v>50794.167999999998</v>
      </c>
      <c r="G269" s="1"/>
      <c r="H269" s="1"/>
    </row>
    <row r="270" spans="1:8" x14ac:dyDescent="0.35">
      <c r="A270" s="1" t="s">
        <v>40</v>
      </c>
      <c r="B270" s="1" t="s">
        <v>82</v>
      </c>
      <c r="C270" s="1" t="s">
        <v>80</v>
      </c>
      <c r="D270" s="1">
        <v>3957.8181330000002</v>
      </c>
      <c r="E270" s="1">
        <v>14395.596</v>
      </c>
      <c r="F270" s="1">
        <v>7163.192</v>
      </c>
      <c r="G270" s="1"/>
      <c r="H270" s="1"/>
    </row>
    <row r="271" spans="1:8" x14ac:dyDescent="0.35">
      <c r="A271" s="1" t="s">
        <v>40</v>
      </c>
      <c r="B271" s="1" t="s">
        <v>83</v>
      </c>
      <c r="C271" s="1" t="s">
        <v>80</v>
      </c>
      <c r="D271" s="1">
        <v>6171.9107720000002</v>
      </c>
      <c r="E271" s="1">
        <v>9093.1239999999998</v>
      </c>
      <c r="F271" s="1">
        <v>4438.1769999999997</v>
      </c>
      <c r="G271" s="1"/>
      <c r="H271" s="1"/>
    </row>
    <row r="272" spans="1:8" x14ac:dyDescent="0.35">
      <c r="A272" s="1" t="s">
        <v>40</v>
      </c>
      <c r="B272" s="1" t="s">
        <v>84</v>
      </c>
      <c r="C272" s="1" t="s">
        <v>80</v>
      </c>
      <c r="D272" s="1">
        <v>1807.9888100000001</v>
      </c>
      <c r="E272" s="1">
        <v>13904.52</v>
      </c>
      <c r="F272" s="1">
        <v>6952.26</v>
      </c>
      <c r="G272" s="1"/>
      <c r="H272" s="1"/>
    </row>
    <row r="273" spans="1:8" x14ac:dyDescent="0.35">
      <c r="A273" s="1" t="s">
        <v>40</v>
      </c>
      <c r="B273" s="1" t="s">
        <v>85</v>
      </c>
      <c r="C273" s="1" t="s">
        <v>80</v>
      </c>
      <c r="D273" s="1">
        <v>2189.1280080000001</v>
      </c>
      <c r="E273" s="1">
        <v>1463.1369999999999</v>
      </c>
      <c r="F273" s="1">
        <v>360.22300000000001</v>
      </c>
      <c r="G273" s="1"/>
      <c r="H273" s="1"/>
    </row>
    <row r="274" spans="1:8" x14ac:dyDescent="0.35">
      <c r="A274" s="1" t="s">
        <v>40</v>
      </c>
      <c r="B274" s="1" t="s">
        <v>86</v>
      </c>
      <c r="C274" s="1" t="s">
        <v>80</v>
      </c>
      <c r="D274" s="1">
        <v>4241.7003119999999</v>
      </c>
      <c r="E274" s="1">
        <v>3704.2460000000001</v>
      </c>
      <c r="F274" s="1">
        <v>1579.7929999999999</v>
      </c>
      <c r="G274" s="1">
        <v>7356.0882620000002</v>
      </c>
      <c r="H274" s="1">
        <v>3137.2367669999999</v>
      </c>
    </row>
    <row r="275" spans="1:8" x14ac:dyDescent="0.35">
      <c r="A275" s="1" t="s">
        <v>87</v>
      </c>
      <c r="B275" s="1" t="s">
        <v>79</v>
      </c>
      <c r="C275" s="1" t="s">
        <v>80</v>
      </c>
      <c r="D275" s="1">
        <v>490.15392869999999</v>
      </c>
      <c r="E275" s="1">
        <v>182.14</v>
      </c>
      <c r="F275" s="1">
        <v>46.771000000000001</v>
      </c>
      <c r="G275" s="1"/>
      <c r="H275" s="1">
        <v>7372.8312070000002</v>
      </c>
    </row>
    <row r="276" spans="1:8" x14ac:dyDescent="0.35">
      <c r="A276" s="1" t="s">
        <v>87</v>
      </c>
      <c r="B276" s="1" t="s">
        <v>81</v>
      </c>
      <c r="C276" s="1" t="s">
        <v>80</v>
      </c>
      <c r="D276" s="1">
        <v>9.6360000000000001E-2</v>
      </c>
      <c r="E276" s="1">
        <v>4807.22</v>
      </c>
      <c r="F276" s="1">
        <v>2403.61</v>
      </c>
      <c r="G276" s="1"/>
      <c r="H276" s="1"/>
    </row>
    <row r="277" spans="1:8" x14ac:dyDescent="0.35">
      <c r="A277" s="1" t="s">
        <v>87</v>
      </c>
      <c r="B277" s="1" t="s">
        <v>82</v>
      </c>
      <c r="C277" s="1" t="s">
        <v>80</v>
      </c>
      <c r="D277" s="1">
        <v>136.32469750000001</v>
      </c>
      <c r="E277" s="1">
        <v>476.36</v>
      </c>
      <c r="F277" s="1">
        <v>238.18</v>
      </c>
      <c r="G277" s="1"/>
      <c r="H277" s="1"/>
    </row>
    <row r="278" spans="1:8" x14ac:dyDescent="0.35">
      <c r="A278" s="1" t="s">
        <v>87</v>
      </c>
      <c r="B278" s="1" t="s">
        <v>83</v>
      </c>
      <c r="C278" s="1" t="s">
        <v>80</v>
      </c>
      <c r="D278" s="1">
        <v>245.12022020000001</v>
      </c>
      <c r="E278" s="1">
        <v>429.32600000000002</v>
      </c>
      <c r="F278" s="1">
        <v>213.78100000000001</v>
      </c>
      <c r="G278" s="1"/>
      <c r="H278" s="1"/>
    </row>
    <row r="279" spans="1:8" x14ac:dyDescent="0.35">
      <c r="A279" s="1" t="s">
        <v>87</v>
      </c>
      <c r="B279" s="1" t="s">
        <v>84</v>
      </c>
      <c r="C279" s="1" t="s">
        <v>80</v>
      </c>
      <c r="D279" s="1">
        <v>0.14637</v>
      </c>
      <c r="E279" s="1">
        <v>483.6</v>
      </c>
      <c r="F279" s="1">
        <v>241.8</v>
      </c>
      <c r="G279" s="1"/>
      <c r="H279" s="1"/>
    </row>
    <row r="280" spans="1:8" x14ac:dyDescent="0.35">
      <c r="A280" s="1" t="s">
        <v>87</v>
      </c>
      <c r="B280" s="1" t="s">
        <v>85</v>
      </c>
      <c r="C280" s="1" t="s">
        <v>80</v>
      </c>
      <c r="D280" s="1">
        <v>0</v>
      </c>
      <c r="E280" s="1">
        <v>0</v>
      </c>
      <c r="F280" s="1">
        <v>0</v>
      </c>
      <c r="G280" s="1"/>
      <c r="H280" s="1"/>
    </row>
    <row r="281" spans="1:8" x14ac:dyDescent="0.35">
      <c r="A281" s="1" t="s">
        <v>87</v>
      </c>
      <c r="B281" s="1" t="s">
        <v>86</v>
      </c>
      <c r="C281" s="1" t="s">
        <v>80</v>
      </c>
      <c r="D281" s="1">
        <v>210.38811810000001</v>
      </c>
      <c r="E281" s="1">
        <v>125.86</v>
      </c>
      <c r="F281" s="1">
        <v>45.988</v>
      </c>
      <c r="G281" s="1">
        <v>12533.83063</v>
      </c>
      <c r="H281" s="1">
        <v>4579.7378280000003</v>
      </c>
    </row>
    <row r="282" spans="1:8" x14ac:dyDescent="0.35">
      <c r="A282" s="1" t="s">
        <v>41</v>
      </c>
      <c r="B282" s="1" t="s">
        <v>79</v>
      </c>
      <c r="C282" s="1" t="s">
        <v>80</v>
      </c>
      <c r="D282" s="1">
        <v>298.49200680000001</v>
      </c>
      <c r="E282" s="1">
        <v>71.372</v>
      </c>
      <c r="F282" s="1">
        <v>17.843</v>
      </c>
      <c r="G282" s="1"/>
      <c r="H282" s="1">
        <v>11458.083280000001</v>
      </c>
    </row>
    <row r="283" spans="1:8" x14ac:dyDescent="0.35">
      <c r="A283" s="1" t="s">
        <v>41</v>
      </c>
      <c r="B283" s="1" t="s">
        <v>81</v>
      </c>
      <c r="C283" s="1" t="s">
        <v>80</v>
      </c>
      <c r="D283" s="1">
        <v>21.328050000000001</v>
      </c>
      <c r="E283" s="1">
        <v>1685.864</v>
      </c>
      <c r="F283" s="1">
        <v>842.93200000000002</v>
      </c>
      <c r="G283" s="1"/>
      <c r="H283" s="1"/>
    </row>
    <row r="284" spans="1:8" x14ac:dyDescent="0.35">
      <c r="A284" s="1" t="s">
        <v>41</v>
      </c>
      <c r="B284" s="1" t="s">
        <v>82</v>
      </c>
      <c r="C284" s="1" t="s">
        <v>80</v>
      </c>
      <c r="D284" s="1">
        <v>147.81614949999999</v>
      </c>
      <c r="E284" s="1">
        <v>357.62</v>
      </c>
      <c r="F284" s="1">
        <v>171.87200000000001</v>
      </c>
      <c r="G284" s="1"/>
      <c r="H284" s="1"/>
    </row>
    <row r="285" spans="1:8" x14ac:dyDescent="0.35">
      <c r="A285" s="1" t="s">
        <v>41</v>
      </c>
      <c r="B285" s="1" t="s">
        <v>83</v>
      </c>
      <c r="C285" s="1" t="s">
        <v>80</v>
      </c>
      <c r="D285" s="1">
        <v>118.6023565</v>
      </c>
      <c r="E285" s="1">
        <v>146.29400000000001</v>
      </c>
      <c r="F285" s="1">
        <v>72.052999999999997</v>
      </c>
      <c r="G285" s="1"/>
      <c r="H285" s="1"/>
    </row>
    <row r="286" spans="1:8" x14ac:dyDescent="0.35">
      <c r="A286" s="1" t="s">
        <v>41</v>
      </c>
      <c r="B286" s="1" t="s">
        <v>84</v>
      </c>
      <c r="C286" s="1" t="s">
        <v>80</v>
      </c>
      <c r="D286" s="1">
        <v>24.755759999999999</v>
      </c>
      <c r="E286" s="1">
        <v>304.30599999999998</v>
      </c>
      <c r="F286" s="1">
        <v>152.15299999999999</v>
      </c>
      <c r="G286" s="1"/>
      <c r="H286" s="1"/>
    </row>
    <row r="287" spans="1:8" x14ac:dyDescent="0.35">
      <c r="A287" s="1" t="s">
        <v>41</v>
      </c>
      <c r="B287" s="1" t="s">
        <v>85</v>
      </c>
      <c r="C287" s="1" t="s">
        <v>80</v>
      </c>
      <c r="D287" s="1">
        <v>58.047098660000003</v>
      </c>
      <c r="E287" s="1">
        <v>43.247999999999998</v>
      </c>
      <c r="F287" s="1">
        <v>10.811999999999999</v>
      </c>
      <c r="G287" s="1"/>
      <c r="H287" s="1"/>
    </row>
    <row r="288" spans="1:8" x14ac:dyDescent="0.35">
      <c r="A288" s="1" t="s">
        <v>41</v>
      </c>
      <c r="B288" s="1" t="s">
        <v>86</v>
      </c>
      <c r="C288" s="1" t="s">
        <v>80</v>
      </c>
      <c r="D288" s="1">
        <v>249.25872480000001</v>
      </c>
      <c r="E288" s="1">
        <v>208.905</v>
      </c>
      <c r="F288" s="1">
        <v>97.3</v>
      </c>
      <c r="G288" s="1">
        <v>7018.5058170000002</v>
      </c>
      <c r="H288" s="1">
        <v>3268.9529499999999</v>
      </c>
    </row>
    <row r="289" spans="1:8" x14ac:dyDescent="0.35">
      <c r="A289" s="1" t="s">
        <v>254</v>
      </c>
      <c r="B289" s="1" t="s">
        <v>79</v>
      </c>
      <c r="C289" s="1" t="s">
        <v>80</v>
      </c>
      <c r="D289" s="1">
        <v>8569.4748180000006</v>
      </c>
      <c r="E289" s="1">
        <v>2239.8879999999999</v>
      </c>
      <c r="F289" s="1">
        <v>546.29100000000005</v>
      </c>
      <c r="G289" s="1"/>
      <c r="H289" s="1">
        <v>10481.779979999999</v>
      </c>
    </row>
    <row r="290" spans="1:8" x14ac:dyDescent="0.35">
      <c r="A290" s="1" t="s">
        <v>254</v>
      </c>
      <c r="B290" s="1" t="s">
        <v>81</v>
      </c>
      <c r="C290" s="1" t="s">
        <v>80</v>
      </c>
      <c r="D290" s="1">
        <v>3045.77718</v>
      </c>
      <c r="E290" s="1">
        <v>75244.245999999999</v>
      </c>
      <c r="F290" s="1">
        <v>37622.123</v>
      </c>
      <c r="G290" s="1"/>
      <c r="H290" s="1"/>
    </row>
    <row r="291" spans="1:8" x14ac:dyDescent="0.35">
      <c r="A291" s="1" t="s">
        <v>254</v>
      </c>
      <c r="B291" s="1" t="s">
        <v>82</v>
      </c>
      <c r="C291" s="1" t="s">
        <v>80</v>
      </c>
      <c r="D291" s="1">
        <v>4857.2155430000003</v>
      </c>
      <c r="E291" s="1">
        <v>20121.567999999999</v>
      </c>
      <c r="F291" s="1">
        <v>10014.198</v>
      </c>
      <c r="G291" s="1"/>
      <c r="H291" s="1"/>
    </row>
    <row r="292" spans="1:8" x14ac:dyDescent="0.35">
      <c r="A292" s="1" t="s">
        <v>254</v>
      </c>
      <c r="B292" s="1" t="s">
        <v>83</v>
      </c>
      <c r="C292" s="1" t="s">
        <v>80</v>
      </c>
      <c r="D292" s="1">
        <v>4408.672791</v>
      </c>
      <c r="E292" s="1">
        <v>6316.3</v>
      </c>
      <c r="F292" s="1">
        <v>2987.877</v>
      </c>
      <c r="G292" s="1"/>
      <c r="H292" s="1"/>
    </row>
    <row r="293" spans="1:8" x14ac:dyDescent="0.35">
      <c r="A293" s="1" t="s">
        <v>254</v>
      </c>
      <c r="B293" s="1" t="s">
        <v>84</v>
      </c>
      <c r="C293" s="1" t="s">
        <v>80</v>
      </c>
      <c r="D293" s="1">
        <v>272.71194000000003</v>
      </c>
      <c r="E293" s="1">
        <v>4060.1480000000001</v>
      </c>
      <c r="F293" s="1">
        <v>2030.0740000000001</v>
      </c>
      <c r="G293" s="1"/>
      <c r="H293" s="1"/>
    </row>
    <row r="294" spans="1:8" x14ac:dyDescent="0.35">
      <c r="A294" s="1" t="s">
        <v>254</v>
      </c>
      <c r="B294" s="1" t="s">
        <v>85</v>
      </c>
      <c r="C294" s="1" t="s">
        <v>80</v>
      </c>
      <c r="D294" s="1">
        <v>332.75557880000002</v>
      </c>
      <c r="E294" s="1">
        <v>201.09299999999999</v>
      </c>
      <c r="F294" s="1">
        <v>47.241999999999997</v>
      </c>
      <c r="G294" s="1"/>
      <c r="H294" s="1"/>
    </row>
    <row r="295" spans="1:8" x14ac:dyDescent="0.35">
      <c r="A295" s="1" t="s">
        <v>254</v>
      </c>
      <c r="B295" s="1" t="s">
        <v>86</v>
      </c>
      <c r="C295" s="1" t="s">
        <v>80</v>
      </c>
      <c r="D295" s="1">
        <v>4528.2687120000001</v>
      </c>
      <c r="E295" s="1">
        <v>4657.7619999999997</v>
      </c>
      <c r="F295" s="1">
        <v>1545.6</v>
      </c>
      <c r="G295" s="1">
        <v>8026.7958399999998</v>
      </c>
      <c r="H295" s="1">
        <v>2663.5572299999999</v>
      </c>
    </row>
    <row r="296" spans="1:8" x14ac:dyDescent="0.35">
      <c r="A296" s="1" t="s">
        <v>42</v>
      </c>
      <c r="B296" s="1" t="s">
        <v>79</v>
      </c>
      <c r="C296" s="1" t="s">
        <v>80</v>
      </c>
      <c r="D296" s="1">
        <v>2167.6408849999998</v>
      </c>
      <c r="E296" s="1">
        <v>2367.1260000000002</v>
      </c>
      <c r="F296" s="1">
        <v>591.03200000000004</v>
      </c>
      <c r="G296" s="1"/>
      <c r="H296" s="1">
        <v>2508.8407419999999</v>
      </c>
    </row>
    <row r="297" spans="1:8" x14ac:dyDescent="0.35">
      <c r="A297" s="1" t="s">
        <v>42</v>
      </c>
      <c r="B297" s="1" t="s">
        <v>81</v>
      </c>
      <c r="C297" s="1" t="s">
        <v>80</v>
      </c>
      <c r="D297" s="1">
        <v>455.58242000000001</v>
      </c>
      <c r="E297" s="1">
        <v>107154.736</v>
      </c>
      <c r="F297" s="1">
        <v>53577.368000000002</v>
      </c>
      <c r="G297" s="1"/>
      <c r="H297" s="1"/>
    </row>
    <row r="298" spans="1:8" x14ac:dyDescent="0.35">
      <c r="A298" s="1" t="s">
        <v>42</v>
      </c>
      <c r="B298" s="1" t="s">
        <v>82</v>
      </c>
      <c r="C298" s="1" t="s">
        <v>80</v>
      </c>
      <c r="D298" s="1">
        <v>1110.065529</v>
      </c>
      <c r="E298" s="1">
        <v>24836.739000000001</v>
      </c>
      <c r="F298" s="1">
        <v>12415.722</v>
      </c>
      <c r="G298" s="1"/>
      <c r="H298" s="1"/>
    </row>
    <row r="299" spans="1:8" x14ac:dyDescent="0.35">
      <c r="A299" s="1" t="s">
        <v>42</v>
      </c>
      <c r="B299" s="1" t="s">
        <v>83</v>
      </c>
      <c r="C299" s="1" t="s">
        <v>80</v>
      </c>
      <c r="D299" s="1">
        <v>1060.247971</v>
      </c>
      <c r="E299" s="1">
        <v>5958.97</v>
      </c>
      <c r="F299" s="1">
        <v>2961.067</v>
      </c>
      <c r="G299" s="1"/>
      <c r="H299" s="1"/>
    </row>
    <row r="300" spans="1:8" x14ac:dyDescent="0.35">
      <c r="A300" s="1" t="s">
        <v>42</v>
      </c>
      <c r="B300" s="1" t="s">
        <v>84</v>
      </c>
      <c r="C300" s="1" t="s">
        <v>80</v>
      </c>
      <c r="D300" s="1">
        <v>151.50711999999999</v>
      </c>
      <c r="E300" s="1">
        <v>12480.332</v>
      </c>
      <c r="F300" s="1">
        <v>6240.1660000000002</v>
      </c>
      <c r="G300" s="1"/>
      <c r="H300" s="1"/>
    </row>
    <row r="301" spans="1:8" x14ac:dyDescent="0.35">
      <c r="A301" s="1" t="s">
        <v>42</v>
      </c>
      <c r="B301" s="1" t="s">
        <v>85</v>
      </c>
      <c r="C301" s="1" t="s">
        <v>80</v>
      </c>
      <c r="D301" s="1">
        <v>446.72364929999998</v>
      </c>
      <c r="E301" s="1">
        <v>1159.116</v>
      </c>
      <c r="F301" s="1">
        <v>290.80700000000002</v>
      </c>
      <c r="G301" s="1"/>
      <c r="H301" s="1"/>
    </row>
    <row r="302" spans="1:8" x14ac:dyDescent="0.35">
      <c r="A302" s="1" t="s">
        <v>42</v>
      </c>
      <c r="B302" s="1" t="s">
        <v>86</v>
      </c>
      <c r="C302" s="1" t="s">
        <v>80</v>
      </c>
      <c r="D302" s="1">
        <v>1541.90984</v>
      </c>
      <c r="E302" s="1">
        <v>5366.9759999999997</v>
      </c>
      <c r="F302" s="1">
        <v>2592.8789999999999</v>
      </c>
      <c r="G302" s="1">
        <v>1629.235502</v>
      </c>
      <c r="H302" s="1">
        <v>787.11187080000002</v>
      </c>
    </row>
    <row r="303" spans="1:8" x14ac:dyDescent="0.35">
      <c r="A303" s="1" t="s">
        <v>43</v>
      </c>
      <c r="B303" s="1" t="s">
        <v>79</v>
      </c>
      <c r="C303" s="1" t="s">
        <v>80</v>
      </c>
      <c r="D303" s="1">
        <v>8726.1427280000007</v>
      </c>
      <c r="E303" s="1">
        <v>2639.8739999999998</v>
      </c>
      <c r="F303" s="1">
        <v>644.63699999999994</v>
      </c>
      <c r="G303" s="1"/>
      <c r="H303" s="1">
        <v>9056.2050880000006</v>
      </c>
    </row>
    <row r="304" spans="1:8" x14ac:dyDescent="0.35">
      <c r="A304" s="1" t="s">
        <v>43</v>
      </c>
      <c r="B304" s="1" t="s">
        <v>81</v>
      </c>
      <c r="C304" s="1" t="s">
        <v>80</v>
      </c>
      <c r="D304" s="1">
        <v>2736.4681500000002</v>
      </c>
      <c r="E304" s="1">
        <v>88570.126000000004</v>
      </c>
      <c r="F304" s="1">
        <v>44285.063000000002</v>
      </c>
      <c r="G304" s="1"/>
      <c r="H304" s="1"/>
    </row>
    <row r="305" spans="1:8" x14ac:dyDescent="0.35">
      <c r="A305" s="1" t="s">
        <v>43</v>
      </c>
      <c r="B305" s="1" t="s">
        <v>82</v>
      </c>
      <c r="C305" s="1" t="s">
        <v>80</v>
      </c>
      <c r="D305" s="1">
        <v>2842.2662599999999</v>
      </c>
      <c r="E305" s="1">
        <v>10049.689</v>
      </c>
      <c r="F305" s="1">
        <v>5000.1239999999998</v>
      </c>
      <c r="G305" s="1"/>
      <c r="H305" s="1"/>
    </row>
    <row r="306" spans="1:8" x14ac:dyDescent="0.35">
      <c r="A306" s="1" t="s">
        <v>43</v>
      </c>
      <c r="B306" s="1" t="s">
        <v>83</v>
      </c>
      <c r="C306" s="1" t="s">
        <v>80</v>
      </c>
      <c r="D306" s="1">
        <v>4573.1584229999999</v>
      </c>
      <c r="E306" s="1">
        <v>6334.5519999999997</v>
      </c>
      <c r="F306" s="1">
        <v>2947.1370000000002</v>
      </c>
      <c r="G306" s="1"/>
      <c r="H306" s="1"/>
    </row>
    <row r="307" spans="1:8" x14ac:dyDescent="0.35">
      <c r="A307" s="1" t="s">
        <v>43</v>
      </c>
      <c r="B307" s="1" t="s">
        <v>84</v>
      </c>
      <c r="C307" s="1" t="s">
        <v>80</v>
      </c>
      <c r="D307" s="1">
        <v>2291.9353799999999</v>
      </c>
      <c r="E307" s="1">
        <v>19293.05</v>
      </c>
      <c r="F307" s="1">
        <v>9646.5249999999996</v>
      </c>
      <c r="G307" s="1"/>
      <c r="H307" s="1"/>
    </row>
    <row r="308" spans="1:8" x14ac:dyDescent="0.35">
      <c r="A308" s="1" t="s">
        <v>43</v>
      </c>
      <c r="B308" s="1" t="s">
        <v>85</v>
      </c>
      <c r="C308" s="1" t="s">
        <v>80</v>
      </c>
      <c r="D308" s="1">
        <v>78.5740464</v>
      </c>
      <c r="E308" s="1">
        <v>57.512</v>
      </c>
      <c r="F308" s="1">
        <v>14.378</v>
      </c>
      <c r="G308" s="1"/>
      <c r="H308" s="1"/>
    </row>
    <row r="309" spans="1:8" x14ac:dyDescent="0.35">
      <c r="A309" s="1" t="s">
        <v>43</v>
      </c>
      <c r="B309" s="1" t="s">
        <v>86</v>
      </c>
      <c r="C309" s="1" t="s">
        <v>80</v>
      </c>
      <c r="D309" s="1">
        <v>4935.3567890000004</v>
      </c>
      <c r="E309" s="1">
        <v>5460.5150000000003</v>
      </c>
      <c r="F309" s="1">
        <v>1784.3019999999999</v>
      </c>
      <c r="G309" s="1">
        <v>7578.0475779999997</v>
      </c>
      <c r="H309" s="1">
        <v>2476.2362979999998</v>
      </c>
    </row>
    <row r="310" spans="1:8" x14ac:dyDescent="0.35">
      <c r="A310" s="1" t="s">
        <v>44</v>
      </c>
      <c r="B310" s="1" t="s">
        <v>79</v>
      </c>
      <c r="C310" s="1" t="s">
        <v>80</v>
      </c>
      <c r="D310" s="1">
        <v>20137.10745</v>
      </c>
      <c r="E310" s="1">
        <v>8202.9959999999992</v>
      </c>
      <c r="F310" s="1">
        <v>2000.779</v>
      </c>
      <c r="G310" s="1"/>
      <c r="H310" s="1">
        <v>6725.6106669999999</v>
      </c>
    </row>
    <row r="311" spans="1:8" x14ac:dyDescent="0.35">
      <c r="A311" s="1" t="s">
        <v>44</v>
      </c>
      <c r="B311" s="1" t="s">
        <v>81</v>
      </c>
      <c r="C311" s="1" t="s">
        <v>80</v>
      </c>
      <c r="D311" s="1">
        <v>5320.6049999999996</v>
      </c>
      <c r="E311" s="1">
        <v>269637.842</v>
      </c>
      <c r="F311" s="1">
        <v>134818.921</v>
      </c>
      <c r="G311" s="1"/>
      <c r="H311" s="1"/>
    </row>
    <row r="312" spans="1:8" x14ac:dyDescent="0.35">
      <c r="A312" s="1" t="s">
        <v>44</v>
      </c>
      <c r="B312" s="1" t="s">
        <v>82</v>
      </c>
      <c r="C312" s="1" t="s">
        <v>80</v>
      </c>
      <c r="D312" s="1">
        <v>13502.967989999999</v>
      </c>
      <c r="E312" s="1">
        <v>70638.527000000002</v>
      </c>
      <c r="F312" s="1">
        <v>35108.519</v>
      </c>
      <c r="G312" s="1"/>
      <c r="H312" s="1"/>
    </row>
    <row r="313" spans="1:8" x14ac:dyDescent="0.35">
      <c r="A313" s="1" t="s">
        <v>44</v>
      </c>
      <c r="B313" s="1" t="s">
        <v>83</v>
      </c>
      <c r="C313" s="1" t="s">
        <v>80</v>
      </c>
      <c r="D313" s="1">
        <v>12620.24516</v>
      </c>
      <c r="E313" s="1">
        <v>22664.543000000001</v>
      </c>
      <c r="F313" s="1">
        <v>10479.65</v>
      </c>
      <c r="G313" s="1"/>
      <c r="H313" s="1"/>
    </row>
    <row r="314" spans="1:8" x14ac:dyDescent="0.35">
      <c r="A314" s="1" t="s">
        <v>44</v>
      </c>
      <c r="B314" s="1" t="s">
        <v>84</v>
      </c>
      <c r="C314" s="1" t="s">
        <v>80</v>
      </c>
      <c r="D314" s="1">
        <v>2013.7049999999999</v>
      </c>
      <c r="E314" s="1">
        <v>29657.761999999999</v>
      </c>
      <c r="F314" s="1">
        <v>14828.880999999999</v>
      </c>
      <c r="G314" s="1"/>
      <c r="H314" s="1"/>
    </row>
    <row r="315" spans="1:8" x14ac:dyDescent="0.35">
      <c r="A315" s="1" t="s">
        <v>44</v>
      </c>
      <c r="B315" s="1" t="s">
        <v>85</v>
      </c>
      <c r="C315" s="1" t="s">
        <v>80</v>
      </c>
      <c r="D315" s="1">
        <v>1064.359363</v>
      </c>
      <c r="E315" s="1">
        <v>525.59400000000005</v>
      </c>
      <c r="F315" s="1">
        <v>127.83</v>
      </c>
      <c r="G315" s="1"/>
      <c r="H315" s="1"/>
    </row>
    <row r="316" spans="1:8" x14ac:dyDescent="0.35">
      <c r="A316" s="1" t="s">
        <v>44</v>
      </c>
      <c r="B316" s="1" t="s">
        <v>86</v>
      </c>
      <c r="C316" s="1" t="s">
        <v>80</v>
      </c>
      <c r="D316" s="1">
        <v>23966.142329999999</v>
      </c>
      <c r="E316" s="1">
        <v>25830.739000000001</v>
      </c>
      <c r="F316" s="1">
        <v>8382.0130000000008</v>
      </c>
      <c r="G316" s="1">
        <v>7833.5196939999996</v>
      </c>
      <c r="H316" s="1">
        <v>2541.9583969999999</v>
      </c>
    </row>
    <row r="317" spans="1:8" x14ac:dyDescent="0.35">
      <c r="A317" s="1" t="s">
        <v>88</v>
      </c>
      <c r="B317" s="1" t="s">
        <v>79</v>
      </c>
      <c r="C317" s="1" t="s">
        <v>80</v>
      </c>
      <c r="D317" s="1">
        <v>261644.049</v>
      </c>
      <c r="E317" s="1">
        <v>120127.34699999999</v>
      </c>
      <c r="F317" s="1">
        <v>29304.663</v>
      </c>
      <c r="G317" s="1"/>
      <c r="H317" s="1">
        <v>5967.2758030000005</v>
      </c>
    </row>
    <row r="318" spans="1:8" x14ac:dyDescent="0.35">
      <c r="A318" s="1" t="s">
        <v>88</v>
      </c>
      <c r="B318" s="1" t="s">
        <v>81</v>
      </c>
      <c r="C318" s="1" t="s">
        <v>80</v>
      </c>
      <c r="D318" s="1">
        <v>131633.18429999999</v>
      </c>
      <c r="E318" s="1">
        <v>4016474.1460000002</v>
      </c>
      <c r="F318" s="1">
        <v>2008237.0730000001</v>
      </c>
      <c r="G318" s="1"/>
      <c r="H318" s="1"/>
    </row>
    <row r="319" spans="1:8" x14ac:dyDescent="0.35">
      <c r="A319" s="1" t="s">
        <v>88</v>
      </c>
      <c r="B319" s="1" t="s">
        <v>82</v>
      </c>
      <c r="C319" s="1" t="s">
        <v>80</v>
      </c>
      <c r="D319" s="1">
        <v>164152.87770000001</v>
      </c>
      <c r="E319" s="1">
        <v>817622.12899999996</v>
      </c>
      <c r="F319" s="1">
        <v>407230.59899999999</v>
      </c>
      <c r="G319" s="1"/>
      <c r="H319" s="1"/>
    </row>
    <row r="320" spans="1:8" x14ac:dyDescent="0.35">
      <c r="A320" s="1" t="s">
        <v>88</v>
      </c>
      <c r="B320" s="1" t="s">
        <v>83</v>
      </c>
      <c r="C320" s="1" t="s">
        <v>80</v>
      </c>
      <c r="D320" s="1">
        <v>147457.4368</v>
      </c>
      <c r="E320" s="1">
        <v>277963.84600000002</v>
      </c>
      <c r="F320" s="1">
        <v>134601.785</v>
      </c>
      <c r="G320" s="1"/>
      <c r="H320" s="1"/>
    </row>
    <row r="321" spans="1:8" x14ac:dyDescent="0.35">
      <c r="A321" s="1" t="s">
        <v>88</v>
      </c>
      <c r="B321" s="1" t="s">
        <v>84</v>
      </c>
      <c r="C321" s="1" t="s">
        <v>80</v>
      </c>
      <c r="D321" s="1">
        <v>42614.528630000001</v>
      </c>
      <c r="E321" s="1">
        <v>513007.848</v>
      </c>
      <c r="F321" s="1">
        <v>256503.924</v>
      </c>
      <c r="G321" s="1"/>
      <c r="H321" s="1"/>
    </row>
    <row r="322" spans="1:8" x14ac:dyDescent="0.35">
      <c r="A322" s="1" t="s">
        <v>88</v>
      </c>
      <c r="B322" s="1" t="s">
        <v>85</v>
      </c>
      <c r="C322" s="1" t="s">
        <v>80</v>
      </c>
      <c r="D322" s="1">
        <v>38720.068449999999</v>
      </c>
      <c r="E322" s="1">
        <v>25475.85</v>
      </c>
      <c r="F322" s="1">
        <v>6580.2719999999999</v>
      </c>
      <c r="G322" s="1"/>
      <c r="H322" s="1"/>
    </row>
    <row r="323" spans="1:8" x14ac:dyDescent="0.35">
      <c r="A323" s="1" t="s">
        <v>88</v>
      </c>
      <c r="B323" s="1" t="s">
        <v>86</v>
      </c>
      <c r="C323" s="1" t="s">
        <v>80</v>
      </c>
      <c r="D323" s="1">
        <v>197630.4411</v>
      </c>
      <c r="E323" s="1">
        <v>234442.22399999999</v>
      </c>
      <c r="F323" s="1">
        <v>90312.709000000003</v>
      </c>
      <c r="G323" s="1">
        <v>5995.3163780000004</v>
      </c>
      <c r="H323" s="1">
        <v>2309.5381630000002</v>
      </c>
    </row>
    <row r="324" spans="1:8" x14ac:dyDescent="0.35">
      <c r="A324" s="1" t="s">
        <v>45</v>
      </c>
      <c r="B324" s="1" t="s">
        <v>79</v>
      </c>
      <c r="C324" s="1" t="s">
        <v>80</v>
      </c>
      <c r="D324" s="1">
        <v>3512.7067929999998</v>
      </c>
      <c r="E324" s="1">
        <v>2758.8029999999999</v>
      </c>
      <c r="F324" s="1">
        <v>684.63300000000004</v>
      </c>
      <c r="G324" s="1"/>
      <c r="H324" s="1">
        <v>3488.4166169999999</v>
      </c>
    </row>
    <row r="325" spans="1:8" x14ac:dyDescent="0.35">
      <c r="A325" s="1" t="s">
        <v>45</v>
      </c>
      <c r="B325" s="1" t="s">
        <v>81</v>
      </c>
      <c r="C325" s="1" t="s">
        <v>80</v>
      </c>
      <c r="D325" s="1">
        <v>1143.3303800000001</v>
      </c>
      <c r="E325" s="1">
        <v>52848.767999999996</v>
      </c>
      <c r="F325" s="1">
        <v>26424.383999999998</v>
      </c>
      <c r="G325" s="1"/>
      <c r="H325" s="1"/>
    </row>
    <row r="326" spans="1:8" x14ac:dyDescent="0.35">
      <c r="A326" s="1" t="s">
        <v>45</v>
      </c>
      <c r="B326" s="1" t="s">
        <v>82</v>
      </c>
      <c r="C326" s="1" t="s">
        <v>80</v>
      </c>
      <c r="D326" s="1">
        <v>1012.421105</v>
      </c>
      <c r="E326" s="1">
        <v>6501.9350000000004</v>
      </c>
      <c r="F326" s="1">
        <v>3245.1660000000002</v>
      </c>
      <c r="G326" s="1"/>
      <c r="H326" s="1"/>
    </row>
    <row r="327" spans="1:8" x14ac:dyDescent="0.35">
      <c r="A327" s="1" t="s">
        <v>45</v>
      </c>
      <c r="B327" s="1" t="s">
        <v>83</v>
      </c>
      <c r="C327" s="1" t="s">
        <v>80</v>
      </c>
      <c r="D327" s="1">
        <v>879.97776490000001</v>
      </c>
      <c r="E327" s="1">
        <v>2670.0250000000001</v>
      </c>
      <c r="F327" s="1">
        <v>1321.037</v>
      </c>
      <c r="G327" s="1"/>
      <c r="H327" s="1"/>
    </row>
    <row r="328" spans="1:8" x14ac:dyDescent="0.35">
      <c r="A328" s="1" t="s">
        <v>45</v>
      </c>
      <c r="B328" s="1" t="s">
        <v>84</v>
      </c>
      <c r="C328" s="1" t="s">
        <v>80</v>
      </c>
      <c r="D328" s="1">
        <v>281.86176</v>
      </c>
      <c r="E328" s="1">
        <v>6953.5519999999997</v>
      </c>
      <c r="F328" s="1">
        <v>3476.7759999999998</v>
      </c>
      <c r="G328" s="1"/>
      <c r="H328" s="1"/>
    </row>
    <row r="329" spans="1:8" x14ac:dyDescent="0.35">
      <c r="A329" s="1" t="s">
        <v>45</v>
      </c>
      <c r="B329" s="1" t="s">
        <v>85</v>
      </c>
      <c r="C329" s="1" t="s">
        <v>80</v>
      </c>
      <c r="D329" s="1">
        <v>87.581077669999999</v>
      </c>
      <c r="E329" s="1">
        <v>35.582000000000001</v>
      </c>
      <c r="F329" s="1">
        <v>8.9640000000000004</v>
      </c>
      <c r="G329" s="1"/>
      <c r="H329" s="1"/>
    </row>
    <row r="330" spans="1:8" x14ac:dyDescent="0.35">
      <c r="A330" s="1" t="s">
        <v>45</v>
      </c>
      <c r="B330" s="1" t="s">
        <v>86</v>
      </c>
      <c r="C330" s="1" t="s">
        <v>80</v>
      </c>
      <c r="D330" s="1">
        <v>1970.0358409999999</v>
      </c>
      <c r="E330" s="1">
        <v>2575.2310000000002</v>
      </c>
      <c r="F330" s="1">
        <v>1162.873</v>
      </c>
      <c r="G330" s="1">
        <v>4641.3997650000001</v>
      </c>
      <c r="H330" s="1">
        <v>2095.8735230000002</v>
      </c>
    </row>
    <row r="331" spans="1:8" x14ac:dyDescent="0.35">
      <c r="A331" s="1" t="s">
        <v>46</v>
      </c>
      <c r="B331" s="1" t="s">
        <v>79</v>
      </c>
      <c r="C331" s="1" t="s">
        <v>80</v>
      </c>
      <c r="D331" s="1">
        <v>1262.947842</v>
      </c>
      <c r="E331" s="1">
        <v>1023.88</v>
      </c>
      <c r="F331" s="1">
        <v>255.97</v>
      </c>
      <c r="G331" s="1"/>
      <c r="H331" s="1">
        <v>3379.4302790000002</v>
      </c>
    </row>
    <row r="332" spans="1:8" x14ac:dyDescent="0.35">
      <c r="A332" s="1" t="s">
        <v>46</v>
      </c>
      <c r="B332" s="1" t="s">
        <v>81</v>
      </c>
      <c r="C332" s="1" t="s">
        <v>80</v>
      </c>
      <c r="D332" s="1">
        <v>888.78267000000005</v>
      </c>
      <c r="E332" s="1">
        <v>17108.12</v>
      </c>
      <c r="F332" s="1">
        <v>8554.06</v>
      </c>
      <c r="G332" s="1"/>
      <c r="H332" s="1"/>
    </row>
    <row r="333" spans="1:8" x14ac:dyDescent="0.35">
      <c r="A333" s="1" t="s">
        <v>46</v>
      </c>
      <c r="B333" s="1" t="s">
        <v>82</v>
      </c>
      <c r="C333" s="1" t="s">
        <v>80</v>
      </c>
      <c r="D333" s="1">
        <v>1127.4600290000001</v>
      </c>
      <c r="E333" s="1">
        <v>3949.3040000000001</v>
      </c>
      <c r="F333" s="1">
        <v>1971.8689999999999</v>
      </c>
      <c r="G333" s="1"/>
      <c r="H333" s="1"/>
    </row>
    <row r="334" spans="1:8" x14ac:dyDescent="0.35">
      <c r="A334" s="1" t="s">
        <v>46</v>
      </c>
      <c r="B334" s="1" t="s">
        <v>83</v>
      </c>
      <c r="C334" s="1" t="s">
        <v>80</v>
      </c>
      <c r="D334" s="1">
        <v>977.53874299999995</v>
      </c>
      <c r="E334" s="1">
        <v>1476.0709999999999</v>
      </c>
      <c r="F334" s="1">
        <v>734.50599999999997</v>
      </c>
      <c r="G334" s="1"/>
      <c r="H334" s="1"/>
    </row>
    <row r="335" spans="1:8" x14ac:dyDescent="0.35">
      <c r="A335" s="1" t="s">
        <v>46</v>
      </c>
      <c r="B335" s="1" t="s">
        <v>84</v>
      </c>
      <c r="C335" s="1" t="s">
        <v>80</v>
      </c>
      <c r="D335" s="1">
        <v>189.6405</v>
      </c>
      <c r="E335" s="1">
        <v>1806.3320000000001</v>
      </c>
      <c r="F335" s="1">
        <v>903.16600000000005</v>
      </c>
      <c r="G335" s="1"/>
      <c r="H335" s="1"/>
    </row>
    <row r="336" spans="1:8" x14ac:dyDescent="0.35">
      <c r="A336" s="1" t="s">
        <v>46</v>
      </c>
      <c r="B336" s="1" t="s">
        <v>85</v>
      </c>
      <c r="C336" s="1" t="s">
        <v>80</v>
      </c>
      <c r="D336" s="1">
        <v>5.6554654900000001</v>
      </c>
      <c r="E336" s="1">
        <v>3.37</v>
      </c>
      <c r="F336" s="1">
        <v>1.6850000000000001</v>
      </c>
      <c r="G336" s="1"/>
      <c r="H336" s="1"/>
    </row>
    <row r="337" spans="1:8" x14ac:dyDescent="0.35">
      <c r="A337" s="1" t="s">
        <v>46</v>
      </c>
      <c r="B337" s="1" t="s">
        <v>86</v>
      </c>
      <c r="C337" s="1" t="s">
        <v>80</v>
      </c>
      <c r="D337" s="1">
        <v>769.37435270000003</v>
      </c>
      <c r="E337" s="1">
        <v>696.952</v>
      </c>
      <c r="F337" s="1">
        <v>329.60300000000001</v>
      </c>
      <c r="G337" s="1">
        <v>6395.1934270000002</v>
      </c>
      <c r="H337" s="1">
        <v>3024.4190979999998</v>
      </c>
    </row>
    <row r="338" spans="1:8" x14ac:dyDescent="0.35">
      <c r="A338" s="1" t="s">
        <v>47</v>
      </c>
      <c r="B338" s="1" t="s">
        <v>79</v>
      </c>
      <c r="C338" s="1" t="s">
        <v>80</v>
      </c>
      <c r="D338" s="1">
        <v>9495.7274849999994</v>
      </c>
      <c r="E338" s="1">
        <v>2508.3000000000002</v>
      </c>
      <c r="F338" s="1">
        <v>597.79</v>
      </c>
      <c r="G338" s="1"/>
      <c r="H338" s="1">
        <v>10371.84218</v>
      </c>
    </row>
    <row r="339" spans="1:8" x14ac:dyDescent="0.35">
      <c r="A339" s="1" t="s">
        <v>47</v>
      </c>
      <c r="B339" s="1" t="s">
        <v>81</v>
      </c>
      <c r="C339" s="1" t="s">
        <v>80</v>
      </c>
      <c r="D339" s="1">
        <v>2605.4251199999999</v>
      </c>
      <c r="E339" s="1">
        <v>60603.078000000001</v>
      </c>
      <c r="F339" s="1">
        <v>30301.539000000001</v>
      </c>
      <c r="G339" s="1"/>
      <c r="H339" s="1"/>
    </row>
    <row r="340" spans="1:8" x14ac:dyDescent="0.35">
      <c r="A340" s="1" t="s">
        <v>47</v>
      </c>
      <c r="B340" s="1" t="s">
        <v>82</v>
      </c>
      <c r="C340" s="1" t="s">
        <v>80</v>
      </c>
      <c r="D340" s="1">
        <v>3834.2064799999998</v>
      </c>
      <c r="E340" s="1">
        <v>15027.521000000001</v>
      </c>
      <c r="F340" s="1">
        <v>7440.6809999999996</v>
      </c>
      <c r="G340" s="1"/>
      <c r="H340" s="1"/>
    </row>
    <row r="341" spans="1:8" x14ac:dyDescent="0.35">
      <c r="A341" s="1" t="s">
        <v>47</v>
      </c>
      <c r="B341" s="1" t="s">
        <v>83</v>
      </c>
      <c r="C341" s="1" t="s">
        <v>80</v>
      </c>
      <c r="D341" s="1">
        <v>5375.2154229999996</v>
      </c>
      <c r="E341" s="1">
        <v>7701.8789999999999</v>
      </c>
      <c r="F341" s="1">
        <v>3593.4810000000002</v>
      </c>
      <c r="G341" s="1"/>
      <c r="H341" s="1"/>
    </row>
    <row r="342" spans="1:8" x14ac:dyDescent="0.35">
      <c r="A342" s="1" t="s">
        <v>47</v>
      </c>
      <c r="B342" s="1" t="s">
        <v>84</v>
      </c>
      <c r="C342" s="1" t="s">
        <v>80</v>
      </c>
      <c r="D342" s="1">
        <v>1019.82533</v>
      </c>
      <c r="E342" s="1">
        <v>9844.5259999999998</v>
      </c>
      <c r="F342" s="1">
        <v>4922.2629999999999</v>
      </c>
      <c r="G342" s="1"/>
      <c r="H342" s="1"/>
    </row>
    <row r="343" spans="1:8" x14ac:dyDescent="0.35">
      <c r="A343" s="1" t="s">
        <v>47</v>
      </c>
      <c r="B343" s="1" t="s">
        <v>85</v>
      </c>
      <c r="C343" s="1" t="s">
        <v>80</v>
      </c>
      <c r="D343" s="1">
        <v>646.1219284</v>
      </c>
      <c r="E343" s="1">
        <v>369.41</v>
      </c>
      <c r="F343" s="1">
        <v>92.26</v>
      </c>
      <c r="G343" s="1"/>
      <c r="H343" s="1"/>
    </row>
    <row r="344" spans="1:8" x14ac:dyDescent="0.35">
      <c r="A344" s="1" t="s">
        <v>47</v>
      </c>
      <c r="B344" s="1" t="s">
        <v>86</v>
      </c>
      <c r="C344" s="1" t="s">
        <v>80</v>
      </c>
      <c r="D344" s="1">
        <v>6415.6271109999998</v>
      </c>
      <c r="E344" s="1">
        <v>5879.9120000000003</v>
      </c>
      <c r="F344" s="1">
        <v>1633.585</v>
      </c>
      <c r="G344" s="1">
        <v>10759.807769999999</v>
      </c>
      <c r="H344" s="1">
        <v>2989.3407550000002</v>
      </c>
    </row>
    <row r="345" spans="1:8" x14ac:dyDescent="0.35">
      <c r="A345" s="1" t="s">
        <v>48</v>
      </c>
      <c r="B345" s="1" t="s">
        <v>79</v>
      </c>
      <c r="C345" s="1" t="s">
        <v>80</v>
      </c>
      <c r="D345" s="1">
        <v>5000.0456299999996</v>
      </c>
      <c r="E345" s="1">
        <v>1923.64</v>
      </c>
      <c r="F345" s="1">
        <v>428.99</v>
      </c>
      <c r="G345" s="1"/>
      <c r="H345" s="1">
        <v>7121.2675710000003</v>
      </c>
    </row>
    <row r="346" spans="1:8" x14ac:dyDescent="0.35">
      <c r="A346" s="1" t="s">
        <v>48</v>
      </c>
      <c r="B346" s="1" t="s">
        <v>81</v>
      </c>
      <c r="C346" s="1" t="s">
        <v>80</v>
      </c>
      <c r="D346" s="1">
        <v>1224.7713699999999</v>
      </c>
      <c r="E346" s="1">
        <v>75217.460000000006</v>
      </c>
      <c r="F346" s="1">
        <v>37608.730000000003</v>
      </c>
      <c r="G346" s="1"/>
      <c r="H346" s="1"/>
    </row>
    <row r="347" spans="1:8" x14ac:dyDescent="0.35">
      <c r="A347" s="1" t="s">
        <v>48</v>
      </c>
      <c r="B347" s="1" t="s">
        <v>82</v>
      </c>
      <c r="C347" s="1" t="s">
        <v>80</v>
      </c>
      <c r="D347" s="1">
        <v>3547.0802389999999</v>
      </c>
      <c r="E347" s="1">
        <v>16172.019</v>
      </c>
      <c r="F347" s="1">
        <v>8084.7439999999997</v>
      </c>
      <c r="G347" s="1"/>
      <c r="H347" s="1"/>
    </row>
    <row r="348" spans="1:8" x14ac:dyDescent="0.35">
      <c r="A348" s="1" t="s">
        <v>48</v>
      </c>
      <c r="B348" s="1" t="s">
        <v>83</v>
      </c>
      <c r="C348" s="1" t="s">
        <v>80</v>
      </c>
      <c r="D348" s="1">
        <v>2296.8972709999998</v>
      </c>
      <c r="E348" s="1">
        <v>4137.768</v>
      </c>
      <c r="F348" s="1">
        <v>2060.8760000000002</v>
      </c>
      <c r="G348" s="1"/>
      <c r="H348" s="1"/>
    </row>
    <row r="349" spans="1:8" x14ac:dyDescent="0.35">
      <c r="A349" s="1" t="s">
        <v>48</v>
      </c>
      <c r="B349" s="1" t="s">
        <v>84</v>
      </c>
      <c r="C349" s="1" t="s">
        <v>80</v>
      </c>
      <c r="D349" s="1">
        <v>1079.0148300000001</v>
      </c>
      <c r="E349" s="1">
        <v>12462.322</v>
      </c>
      <c r="F349" s="1">
        <v>6231.1610000000001</v>
      </c>
      <c r="G349" s="1"/>
      <c r="H349" s="1"/>
    </row>
    <row r="350" spans="1:8" x14ac:dyDescent="0.35">
      <c r="A350" s="1" t="s">
        <v>48</v>
      </c>
      <c r="B350" s="1" t="s">
        <v>85</v>
      </c>
      <c r="C350" s="1" t="s">
        <v>80</v>
      </c>
      <c r="D350" s="1">
        <v>1892.7759269999999</v>
      </c>
      <c r="E350" s="1">
        <v>1575.5</v>
      </c>
      <c r="F350" s="1">
        <v>612.13</v>
      </c>
      <c r="G350" s="1"/>
      <c r="H350" s="1"/>
    </row>
    <row r="351" spans="1:8" x14ac:dyDescent="0.35">
      <c r="A351" s="1" t="s">
        <v>48</v>
      </c>
      <c r="B351" s="1" t="s">
        <v>86</v>
      </c>
      <c r="C351" s="1" t="s">
        <v>80</v>
      </c>
      <c r="D351" s="1">
        <v>2456.1492119999998</v>
      </c>
      <c r="E351" s="1">
        <v>2667.59</v>
      </c>
      <c r="F351" s="1">
        <v>1313.22</v>
      </c>
      <c r="G351" s="1">
        <v>5124.1801999999998</v>
      </c>
      <c r="H351" s="1">
        <v>2522.567532</v>
      </c>
    </row>
    <row r="352" spans="1:8" x14ac:dyDescent="0.35">
      <c r="A352" s="1" t="s">
        <v>49</v>
      </c>
      <c r="B352" s="1" t="s">
        <v>79</v>
      </c>
      <c r="C352" s="1" t="s">
        <v>80</v>
      </c>
      <c r="D352" s="1">
        <v>2378.8137339999998</v>
      </c>
      <c r="E352" s="1">
        <v>1309.125</v>
      </c>
      <c r="F352" s="1">
        <v>319.35199999999998</v>
      </c>
      <c r="G352" s="1"/>
      <c r="H352" s="1">
        <v>4978.3618070000002</v>
      </c>
    </row>
    <row r="353" spans="1:8" x14ac:dyDescent="0.35">
      <c r="A353" s="1" t="s">
        <v>49</v>
      </c>
      <c r="B353" s="1" t="s">
        <v>81</v>
      </c>
      <c r="C353" s="1" t="s">
        <v>80</v>
      </c>
      <c r="D353" s="1">
        <v>951.05641000000003</v>
      </c>
      <c r="E353" s="1">
        <v>43666.843999999997</v>
      </c>
      <c r="F353" s="1">
        <v>21833.421999999999</v>
      </c>
      <c r="G353" s="1"/>
      <c r="H353" s="1"/>
    </row>
    <row r="354" spans="1:8" x14ac:dyDescent="0.35">
      <c r="A354" s="1" t="s">
        <v>49</v>
      </c>
      <c r="B354" s="1" t="s">
        <v>82</v>
      </c>
      <c r="C354" s="1" t="s">
        <v>80</v>
      </c>
      <c r="D354" s="1">
        <v>2310.7298489999998</v>
      </c>
      <c r="E354" s="1">
        <v>11058.41</v>
      </c>
      <c r="F354" s="1">
        <v>5525.9319999999998</v>
      </c>
      <c r="G354" s="1"/>
      <c r="H354" s="1"/>
    </row>
    <row r="355" spans="1:8" x14ac:dyDescent="0.35">
      <c r="A355" s="1" t="s">
        <v>49</v>
      </c>
      <c r="B355" s="1" t="s">
        <v>83</v>
      </c>
      <c r="C355" s="1" t="s">
        <v>80</v>
      </c>
      <c r="D355" s="1">
        <v>1445.018028</v>
      </c>
      <c r="E355" s="1">
        <v>2710.9850000000001</v>
      </c>
      <c r="F355" s="1">
        <v>1346.74</v>
      </c>
      <c r="G355" s="1"/>
      <c r="H355" s="1"/>
    </row>
    <row r="356" spans="1:8" x14ac:dyDescent="0.35">
      <c r="A356" s="1" t="s">
        <v>49</v>
      </c>
      <c r="B356" s="1" t="s">
        <v>84</v>
      </c>
      <c r="C356" s="1" t="s">
        <v>80</v>
      </c>
      <c r="D356" s="1">
        <v>347.76616000000001</v>
      </c>
      <c r="E356" s="1">
        <v>4309.2240000000002</v>
      </c>
      <c r="F356" s="1">
        <v>2154.6120000000001</v>
      </c>
      <c r="G356" s="1"/>
      <c r="H356" s="1"/>
    </row>
    <row r="357" spans="1:8" x14ac:dyDescent="0.35">
      <c r="A357" s="1" t="s">
        <v>49</v>
      </c>
      <c r="B357" s="1" t="s">
        <v>85</v>
      </c>
      <c r="C357" s="1" t="s">
        <v>80</v>
      </c>
      <c r="D357" s="1">
        <v>0.29433599999999999</v>
      </c>
      <c r="E357" s="1">
        <v>1.792</v>
      </c>
      <c r="F357" s="1">
        <v>0.44800000000000001</v>
      </c>
      <c r="G357" s="1"/>
      <c r="H357" s="1"/>
    </row>
    <row r="358" spans="1:8" x14ac:dyDescent="0.35">
      <c r="A358" s="1" t="s">
        <v>49</v>
      </c>
      <c r="B358" s="1" t="s">
        <v>86</v>
      </c>
      <c r="C358" s="1" t="s">
        <v>80</v>
      </c>
      <c r="D358" s="1">
        <v>2176.6470960000001</v>
      </c>
      <c r="E358" s="1">
        <v>2644.9740000000002</v>
      </c>
      <c r="F358" s="1">
        <v>1019.665</v>
      </c>
      <c r="G358" s="1">
        <v>5848.4077610000004</v>
      </c>
      <c r="H358" s="1">
        <v>2254.6220490000001</v>
      </c>
    </row>
    <row r="359" spans="1:8" x14ac:dyDescent="0.35">
      <c r="A359" s="1" t="s">
        <v>50</v>
      </c>
      <c r="B359" s="1" t="s">
        <v>79</v>
      </c>
      <c r="C359" s="1" t="s">
        <v>80</v>
      </c>
      <c r="D359" s="1">
        <v>6206.6908839999996</v>
      </c>
      <c r="E359" s="1">
        <v>2146.64</v>
      </c>
      <c r="F359" s="1">
        <v>513.01</v>
      </c>
      <c r="G359" s="1"/>
      <c r="H359" s="1">
        <v>7921.5110869999999</v>
      </c>
    </row>
    <row r="360" spans="1:8" x14ac:dyDescent="0.35">
      <c r="A360" s="1" t="s">
        <v>50</v>
      </c>
      <c r="B360" s="1" t="s">
        <v>81</v>
      </c>
      <c r="C360" s="1" t="s">
        <v>80</v>
      </c>
      <c r="D360" s="1">
        <v>4215.8715499999998</v>
      </c>
      <c r="E360" s="1">
        <v>125721.64599999999</v>
      </c>
      <c r="F360" s="1">
        <v>62860.822999999997</v>
      </c>
      <c r="G360" s="1"/>
      <c r="H360" s="1"/>
    </row>
    <row r="361" spans="1:8" x14ac:dyDescent="0.35">
      <c r="A361" s="1" t="s">
        <v>50</v>
      </c>
      <c r="B361" s="1" t="s">
        <v>82</v>
      </c>
      <c r="C361" s="1" t="s">
        <v>80</v>
      </c>
      <c r="D361" s="1">
        <v>7755.6199189999998</v>
      </c>
      <c r="E361" s="1">
        <v>24316.581999999999</v>
      </c>
      <c r="F361" s="1">
        <v>12142.343000000001</v>
      </c>
      <c r="G361" s="1"/>
      <c r="H361" s="1"/>
    </row>
    <row r="362" spans="1:8" x14ac:dyDescent="0.35">
      <c r="A362" s="1" t="s">
        <v>50</v>
      </c>
      <c r="B362" s="1" t="s">
        <v>83</v>
      </c>
      <c r="C362" s="1" t="s">
        <v>80</v>
      </c>
      <c r="D362" s="1">
        <v>4990.6418309999999</v>
      </c>
      <c r="E362" s="1">
        <v>9560.99</v>
      </c>
      <c r="F362" s="1">
        <v>4764.51</v>
      </c>
      <c r="G362" s="1"/>
      <c r="H362" s="1"/>
    </row>
    <row r="363" spans="1:8" x14ac:dyDescent="0.35">
      <c r="A363" s="1" t="s">
        <v>50</v>
      </c>
      <c r="B363" s="1" t="s">
        <v>84</v>
      </c>
      <c r="C363" s="1" t="s">
        <v>80</v>
      </c>
      <c r="D363" s="1">
        <v>2265.1644500000002</v>
      </c>
      <c r="E363" s="1">
        <v>16712.754000000001</v>
      </c>
      <c r="F363" s="1">
        <v>8356.3770000000004</v>
      </c>
      <c r="G363" s="1"/>
      <c r="H363" s="1"/>
    </row>
    <row r="364" spans="1:8" x14ac:dyDescent="0.35">
      <c r="A364" s="1" t="s">
        <v>50</v>
      </c>
      <c r="B364" s="1" t="s">
        <v>85</v>
      </c>
      <c r="C364" s="1" t="s">
        <v>80</v>
      </c>
      <c r="D364" s="1">
        <v>1251.8651769999999</v>
      </c>
      <c r="E364" s="1">
        <v>809.8</v>
      </c>
      <c r="F364" s="1">
        <v>203.36</v>
      </c>
      <c r="G364" s="1"/>
      <c r="H364" s="1"/>
    </row>
    <row r="365" spans="1:8" x14ac:dyDescent="0.35">
      <c r="A365" s="1" t="s">
        <v>50</v>
      </c>
      <c r="B365" s="1" t="s">
        <v>86</v>
      </c>
      <c r="C365" s="1" t="s">
        <v>80</v>
      </c>
      <c r="D365" s="1">
        <v>6699.7339220000003</v>
      </c>
      <c r="E365" s="1">
        <v>7070.26</v>
      </c>
      <c r="F365" s="1">
        <v>2870.085</v>
      </c>
      <c r="G365" s="1">
        <v>6395.4326799999999</v>
      </c>
      <c r="H365" s="1">
        <v>2596.1471580000002</v>
      </c>
    </row>
    <row r="366" spans="1:8" x14ac:dyDescent="0.35">
      <c r="A366" s="1" t="s">
        <v>51</v>
      </c>
      <c r="B366" s="1" t="s">
        <v>79</v>
      </c>
      <c r="C366" s="1" t="s">
        <v>80</v>
      </c>
      <c r="D366" s="1">
        <v>2737.5451330000001</v>
      </c>
      <c r="E366" s="1">
        <v>3229.96</v>
      </c>
      <c r="F366" s="1">
        <v>807.49</v>
      </c>
      <c r="G366" s="1"/>
      <c r="H366" s="1">
        <v>2322.0484630000001</v>
      </c>
    </row>
    <row r="367" spans="1:8" x14ac:dyDescent="0.35">
      <c r="A367" s="1" t="s">
        <v>51</v>
      </c>
      <c r="B367" s="1" t="s">
        <v>81</v>
      </c>
      <c r="C367" s="1" t="s">
        <v>80</v>
      </c>
      <c r="D367" s="1">
        <v>661.73478</v>
      </c>
      <c r="E367" s="1">
        <v>23631.222000000002</v>
      </c>
      <c r="F367" s="1">
        <v>11815.611000000001</v>
      </c>
      <c r="G367" s="1"/>
      <c r="H367" s="1"/>
    </row>
    <row r="368" spans="1:8" x14ac:dyDescent="0.35">
      <c r="A368" s="1" t="s">
        <v>51</v>
      </c>
      <c r="B368" s="1" t="s">
        <v>82</v>
      </c>
      <c r="C368" s="1" t="s">
        <v>80</v>
      </c>
      <c r="D368" s="1">
        <v>933.17304990000002</v>
      </c>
      <c r="E368" s="1">
        <v>5454.7960000000003</v>
      </c>
      <c r="F368" s="1">
        <v>2724.424</v>
      </c>
      <c r="G368" s="1"/>
      <c r="H368" s="1"/>
    </row>
    <row r="369" spans="1:8" x14ac:dyDescent="0.35">
      <c r="A369" s="1" t="s">
        <v>51</v>
      </c>
      <c r="B369" s="1" t="s">
        <v>83</v>
      </c>
      <c r="C369" s="1" t="s">
        <v>80</v>
      </c>
      <c r="D369" s="1">
        <v>565.29129169999999</v>
      </c>
      <c r="E369" s="1">
        <v>2480.6819999999998</v>
      </c>
      <c r="F369" s="1">
        <v>1221.8779999999999</v>
      </c>
      <c r="G369" s="1"/>
      <c r="H369" s="1"/>
    </row>
    <row r="370" spans="1:8" x14ac:dyDescent="0.35">
      <c r="A370" s="1" t="s">
        <v>51</v>
      </c>
      <c r="B370" s="1" t="s">
        <v>84</v>
      </c>
      <c r="C370" s="1" t="s">
        <v>80</v>
      </c>
      <c r="D370" s="1">
        <v>593.19581000000005</v>
      </c>
      <c r="E370" s="1">
        <v>17393.603999999999</v>
      </c>
      <c r="F370" s="1">
        <v>8696.8019999999997</v>
      </c>
      <c r="G370" s="1"/>
      <c r="H370" s="1"/>
    </row>
    <row r="371" spans="1:8" x14ac:dyDescent="0.35">
      <c r="A371" s="1" t="s">
        <v>51</v>
      </c>
      <c r="B371" s="1" t="s">
        <v>85</v>
      </c>
      <c r="C371" s="1" t="s">
        <v>80</v>
      </c>
      <c r="D371" s="1">
        <v>0</v>
      </c>
      <c r="E371" s="1">
        <v>0</v>
      </c>
      <c r="F371" s="1">
        <v>0</v>
      </c>
      <c r="G371" s="1"/>
      <c r="H371" s="1"/>
    </row>
    <row r="372" spans="1:8" x14ac:dyDescent="0.35">
      <c r="A372" s="1" t="s">
        <v>51</v>
      </c>
      <c r="B372" s="1" t="s">
        <v>86</v>
      </c>
      <c r="C372" s="1" t="s">
        <v>80</v>
      </c>
      <c r="D372" s="1">
        <v>1698.6347929999999</v>
      </c>
      <c r="E372" s="1">
        <v>4051.9479999999999</v>
      </c>
      <c r="F372" s="1">
        <v>1963.472</v>
      </c>
      <c r="G372" s="1">
        <v>2370.1860550000001</v>
      </c>
      <c r="H372" s="1">
        <v>1148.5324969999999</v>
      </c>
    </row>
    <row r="373" spans="1:8" x14ac:dyDescent="0.35">
      <c r="A373" s="1" t="s">
        <v>3</v>
      </c>
      <c r="B373" s="1" t="s">
        <v>89</v>
      </c>
      <c r="C373" s="1" t="s">
        <v>90</v>
      </c>
      <c r="D373" s="1">
        <v>9354.218046</v>
      </c>
      <c r="E373" s="1">
        <v>2228.0830000000001</v>
      </c>
      <c r="F373" s="1">
        <v>433.03899999999999</v>
      </c>
      <c r="G373" s="1"/>
      <c r="H373" s="1">
        <v>11502.2621</v>
      </c>
    </row>
    <row r="374" spans="1:8" x14ac:dyDescent="0.35">
      <c r="A374" s="1" t="s">
        <v>3</v>
      </c>
      <c r="B374" s="1" t="s">
        <v>91</v>
      </c>
      <c r="C374" s="1" t="s">
        <v>90</v>
      </c>
      <c r="D374" s="1">
        <v>11292.759099999999</v>
      </c>
      <c r="E374" s="1">
        <v>42860.998</v>
      </c>
      <c r="F374" s="1">
        <v>21430.499</v>
      </c>
      <c r="G374" s="1"/>
      <c r="H374" s="1"/>
    </row>
    <row r="375" spans="1:8" x14ac:dyDescent="0.35">
      <c r="A375" s="1" t="s">
        <v>3</v>
      </c>
      <c r="B375" s="1" t="s">
        <v>82</v>
      </c>
      <c r="C375" s="1" t="s">
        <v>90</v>
      </c>
      <c r="D375" s="1">
        <v>4245.6695229999996</v>
      </c>
      <c r="E375" s="1">
        <v>7540.8680000000004</v>
      </c>
      <c r="F375" s="1">
        <v>3616.6239999999998</v>
      </c>
      <c r="G375" s="1"/>
      <c r="H375" s="1"/>
    </row>
    <row r="376" spans="1:8" x14ac:dyDescent="0.35">
      <c r="A376" s="1" t="s">
        <v>3</v>
      </c>
      <c r="B376" s="1" t="s">
        <v>83</v>
      </c>
      <c r="C376" s="1" t="s">
        <v>90</v>
      </c>
      <c r="D376" s="1">
        <v>7372.6624819999997</v>
      </c>
      <c r="E376" s="1">
        <v>6059.73</v>
      </c>
      <c r="F376" s="1">
        <v>2376.1109999999999</v>
      </c>
      <c r="G376" s="1"/>
      <c r="H376" s="1"/>
    </row>
    <row r="377" spans="1:8" x14ac:dyDescent="0.35">
      <c r="A377" s="1" t="s">
        <v>3</v>
      </c>
      <c r="B377" s="1" t="s">
        <v>84</v>
      </c>
      <c r="C377" s="1" t="s">
        <v>90</v>
      </c>
      <c r="D377" s="1">
        <v>62.403852540000003</v>
      </c>
      <c r="E377" s="1">
        <v>374.60700000000003</v>
      </c>
      <c r="F377" s="1">
        <v>186.852</v>
      </c>
      <c r="G377" s="1"/>
      <c r="H377" s="1"/>
    </row>
    <row r="378" spans="1:8" x14ac:dyDescent="0.35">
      <c r="A378" s="1" t="s">
        <v>3</v>
      </c>
      <c r="B378" s="1" t="s">
        <v>85</v>
      </c>
      <c r="C378" s="1" t="s">
        <v>90</v>
      </c>
      <c r="D378" s="1">
        <v>590.72407889999999</v>
      </c>
      <c r="E378" s="1">
        <v>155.417</v>
      </c>
      <c r="F378" s="1">
        <v>32.963000000000001</v>
      </c>
      <c r="G378" s="1"/>
      <c r="H378" s="1"/>
    </row>
    <row r="379" spans="1:8" x14ac:dyDescent="0.35">
      <c r="A379" s="1" t="s">
        <v>3</v>
      </c>
      <c r="B379" s="1" t="s">
        <v>86</v>
      </c>
      <c r="C379" s="1" t="s">
        <v>90</v>
      </c>
      <c r="D379" s="1">
        <v>9804.8383059999996</v>
      </c>
      <c r="E379" s="1">
        <v>4937.8419999999996</v>
      </c>
      <c r="F379" s="1">
        <v>1314.5530000000001</v>
      </c>
      <c r="G379" s="1">
        <v>20434.756679999999</v>
      </c>
      <c r="H379" s="1">
        <v>5440.1438319999997</v>
      </c>
    </row>
    <row r="380" spans="1:8" x14ac:dyDescent="0.35">
      <c r="A380" s="1" t="s">
        <v>4</v>
      </c>
      <c r="B380" s="1" t="s">
        <v>89</v>
      </c>
      <c r="C380" s="1" t="s">
        <v>90</v>
      </c>
      <c r="D380" s="1">
        <v>790.13103880000006</v>
      </c>
      <c r="E380" s="1">
        <v>312.42399999999998</v>
      </c>
      <c r="F380" s="1">
        <v>78.727000000000004</v>
      </c>
      <c r="G380" s="1"/>
      <c r="H380" s="1">
        <v>6928.8613290000003</v>
      </c>
    </row>
    <row r="381" spans="1:8" x14ac:dyDescent="0.35">
      <c r="A381" s="1" t="s">
        <v>4</v>
      </c>
      <c r="B381" s="1" t="s">
        <v>91</v>
      </c>
      <c r="C381" s="1" t="s">
        <v>90</v>
      </c>
      <c r="D381" s="1">
        <v>670.99922000000004</v>
      </c>
      <c r="E381" s="1">
        <v>4500.3540000000003</v>
      </c>
      <c r="F381" s="1">
        <v>2250.1770000000001</v>
      </c>
      <c r="G381" s="1"/>
      <c r="H381" s="1"/>
    </row>
    <row r="382" spans="1:8" x14ac:dyDescent="0.35">
      <c r="A382" s="1" t="s">
        <v>4</v>
      </c>
      <c r="B382" s="1" t="s">
        <v>82</v>
      </c>
      <c r="C382" s="1" t="s">
        <v>90</v>
      </c>
      <c r="D382" s="1">
        <v>253.20993089999999</v>
      </c>
      <c r="E382" s="1">
        <v>511.96199999999999</v>
      </c>
      <c r="F382" s="1">
        <v>251.803</v>
      </c>
      <c r="G382" s="1"/>
      <c r="H382" s="1"/>
    </row>
    <row r="383" spans="1:8" x14ac:dyDescent="0.35">
      <c r="A383" s="1" t="s">
        <v>4</v>
      </c>
      <c r="B383" s="1" t="s">
        <v>83</v>
      </c>
      <c r="C383" s="1" t="s">
        <v>90</v>
      </c>
      <c r="D383" s="1">
        <v>526.61965339999995</v>
      </c>
      <c r="E383" s="1">
        <v>475.74400000000003</v>
      </c>
      <c r="F383" s="1">
        <v>200.81200000000001</v>
      </c>
      <c r="G383" s="1"/>
      <c r="H383" s="1"/>
    </row>
    <row r="384" spans="1:8" x14ac:dyDescent="0.35">
      <c r="A384" s="1" t="s">
        <v>4</v>
      </c>
      <c r="B384" s="1" t="s">
        <v>84</v>
      </c>
      <c r="C384" s="1" t="s">
        <v>90</v>
      </c>
      <c r="D384" s="1">
        <v>118.6874672</v>
      </c>
      <c r="E384" s="1">
        <v>473.99700000000001</v>
      </c>
      <c r="F384" s="1">
        <v>236.072</v>
      </c>
      <c r="G384" s="1"/>
      <c r="H384" s="1"/>
    </row>
    <row r="385" spans="1:8" x14ac:dyDescent="0.35">
      <c r="A385" s="1" t="s">
        <v>4</v>
      </c>
      <c r="B385" s="1" t="s">
        <v>85</v>
      </c>
      <c r="C385" s="1" t="s">
        <v>90</v>
      </c>
      <c r="D385" s="1">
        <v>0</v>
      </c>
      <c r="E385" s="1">
        <v>0</v>
      </c>
      <c r="F385" s="1">
        <v>0</v>
      </c>
      <c r="G385" s="1"/>
      <c r="H385" s="1"/>
    </row>
    <row r="386" spans="1:8" x14ac:dyDescent="0.35">
      <c r="A386" s="1" t="s">
        <v>4</v>
      </c>
      <c r="B386" s="1" t="s">
        <v>86</v>
      </c>
      <c r="C386" s="1" t="s">
        <v>90</v>
      </c>
      <c r="D386" s="1">
        <v>931.79971479999995</v>
      </c>
      <c r="E386" s="1">
        <v>504.59800000000001</v>
      </c>
      <c r="F386" s="1">
        <v>139.749</v>
      </c>
      <c r="G386" s="1">
        <v>18267.579239999999</v>
      </c>
      <c r="H386" s="1">
        <v>5059.2272089999997</v>
      </c>
    </row>
    <row r="387" spans="1:8" x14ac:dyDescent="0.35">
      <c r="A387" s="1" t="s">
        <v>5</v>
      </c>
      <c r="B387" s="1" t="s">
        <v>89</v>
      </c>
      <c r="C387" s="1" t="s">
        <v>90</v>
      </c>
      <c r="D387" s="1">
        <v>8090.3361070000001</v>
      </c>
      <c r="E387" s="1">
        <v>1476.068</v>
      </c>
      <c r="F387" s="1">
        <v>252.40199999999999</v>
      </c>
      <c r="G387" s="1"/>
      <c r="H387" s="1">
        <v>15016.452090000001</v>
      </c>
    </row>
    <row r="388" spans="1:8" x14ac:dyDescent="0.35">
      <c r="A388" s="1" t="s">
        <v>5</v>
      </c>
      <c r="B388" s="1" t="s">
        <v>91</v>
      </c>
      <c r="C388" s="1" t="s">
        <v>90</v>
      </c>
      <c r="D388" s="1">
        <v>5259.1346299999996</v>
      </c>
      <c r="E388" s="1">
        <v>34257.978000000003</v>
      </c>
      <c r="F388" s="1">
        <v>17128.989000000001</v>
      </c>
      <c r="G388" s="1"/>
      <c r="H388" s="1"/>
    </row>
    <row r="389" spans="1:8" x14ac:dyDescent="0.35">
      <c r="A389" s="1" t="s">
        <v>5</v>
      </c>
      <c r="B389" s="1" t="s">
        <v>82</v>
      </c>
      <c r="C389" s="1" t="s">
        <v>90</v>
      </c>
      <c r="D389" s="1">
        <v>5889.1610700000001</v>
      </c>
      <c r="E389" s="1">
        <v>6172.9769999999999</v>
      </c>
      <c r="F389" s="1">
        <v>2814.0940000000001</v>
      </c>
      <c r="G389" s="1"/>
      <c r="H389" s="1"/>
    </row>
    <row r="390" spans="1:8" x14ac:dyDescent="0.35">
      <c r="A390" s="1" t="s">
        <v>5</v>
      </c>
      <c r="B390" s="1" t="s">
        <v>83</v>
      </c>
      <c r="C390" s="1" t="s">
        <v>90</v>
      </c>
      <c r="D390" s="1">
        <v>15138.31422</v>
      </c>
      <c r="E390" s="1">
        <v>9388.3259999999991</v>
      </c>
      <c r="F390" s="1">
        <v>2542.5129999999999</v>
      </c>
      <c r="G390" s="1"/>
      <c r="H390" s="1"/>
    </row>
    <row r="391" spans="1:8" x14ac:dyDescent="0.35">
      <c r="A391" s="1" t="s">
        <v>5</v>
      </c>
      <c r="B391" s="1" t="s">
        <v>84</v>
      </c>
      <c r="C391" s="1" t="s">
        <v>90</v>
      </c>
      <c r="D391" s="1">
        <v>2886.365303</v>
      </c>
      <c r="E391" s="1">
        <v>5513.9549999999999</v>
      </c>
      <c r="F391" s="1">
        <v>2665.3890000000001</v>
      </c>
      <c r="G391" s="1"/>
      <c r="H391" s="1"/>
    </row>
    <row r="392" spans="1:8" x14ac:dyDescent="0.35">
      <c r="A392" s="1" t="s">
        <v>5</v>
      </c>
      <c r="B392" s="1" t="s">
        <v>85</v>
      </c>
      <c r="C392" s="1" t="s">
        <v>90</v>
      </c>
      <c r="D392" s="1">
        <v>8590.8003119999994</v>
      </c>
      <c r="E392" s="1">
        <v>1787.107</v>
      </c>
      <c r="F392" s="1">
        <v>251.96700000000001</v>
      </c>
      <c r="G392" s="1"/>
      <c r="H392" s="1"/>
    </row>
    <row r="393" spans="1:8" x14ac:dyDescent="0.35">
      <c r="A393" s="1" t="s">
        <v>5</v>
      </c>
      <c r="B393" s="1" t="s">
        <v>86</v>
      </c>
      <c r="C393" s="1" t="s">
        <v>90</v>
      </c>
      <c r="D393" s="1">
        <v>7736.6059930000001</v>
      </c>
      <c r="E393" s="1">
        <v>3811.6030000000001</v>
      </c>
      <c r="F393" s="1">
        <v>854.35199999999998</v>
      </c>
      <c r="G393" s="1">
        <v>24809.65785</v>
      </c>
      <c r="H393" s="1">
        <v>5560.9623570000003</v>
      </c>
    </row>
    <row r="394" spans="1:8" x14ac:dyDescent="0.35">
      <c r="A394" s="1" t="s">
        <v>6</v>
      </c>
      <c r="B394" s="1" t="s">
        <v>89</v>
      </c>
      <c r="C394" s="1" t="s">
        <v>90</v>
      </c>
      <c r="D394" s="1">
        <v>5655.4302980000002</v>
      </c>
      <c r="E394" s="1">
        <v>1477.2850000000001</v>
      </c>
      <c r="F394" s="1">
        <v>310.20699999999999</v>
      </c>
      <c r="G394" s="1"/>
      <c r="H394" s="1">
        <v>10488.38212</v>
      </c>
    </row>
    <row r="395" spans="1:8" x14ac:dyDescent="0.35">
      <c r="A395" s="1" t="s">
        <v>6</v>
      </c>
      <c r="B395" s="1" t="s">
        <v>91</v>
      </c>
      <c r="C395" s="1" t="s">
        <v>90</v>
      </c>
      <c r="D395" s="1">
        <v>2140.8498399999999</v>
      </c>
      <c r="E395" s="1">
        <v>24019.882000000001</v>
      </c>
      <c r="F395" s="1">
        <v>12009.941000000001</v>
      </c>
      <c r="G395" s="1"/>
      <c r="H395" s="1"/>
    </row>
    <row r="396" spans="1:8" x14ac:dyDescent="0.35">
      <c r="A396" s="1" t="s">
        <v>6</v>
      </c>
      <c r="B396" s="1" t="s">
        <v>82</v>
      </c>
      <c r="C396" s="1" t="s">
        <v>90</v>
      </c>
      <c r="D396" s="1">
        <v>1935.7101339999999</v>
      </c>
      <c r="E396" s="1">
        <v>4421.3419999999996</v>
      </c>
      <c r="F396" s="1">
        <v>2169.328</v>
      </c>
      <c r="G396" s="1"/>
      <c r="H396" s="1"/>
    </row>
    <row r="397" spans="1:8" x14ac:dyDescent="0.35">
      <c r="A397" s="1" t="s">
        <v>6</v>
      </c>
      <c r="B397" s="1" t="s">
        <v>83</v>
      </c>
      <c r="C397" s="1" t="s">
        <v>90</v>
      </c>
      <c r="D397" s="1">
        <v>4597.7818420000003</v>
      </c>
      <c r="E397" s="1">
        <v>4356.3100000000004</v>
      </c>
      <c r="F397" s="1">
        <v>1832.9059999999999</v>
      </c>
      <c r="G397" s="1"/>
      <c r="H397" s="1"/>
    </row>
    <row r="398" spans="1:8" x14ac:dyDescent="0.35">
      <c r="A398" s="1" t="s">
        <v>6</v>
      </c>
      <c r="B398" s="1" t="s">
        <v>84</v>
      </c>
      <c r="C398" s="1" t="s">
        <v>90</v>
      </c>
      <c r="D398" s="1">
        <v>75.93852339</v>
      </c>
      <c r="E398" s="1">
        <v>482.96600000000001</v>
      </c>
      <c r="F398" s="1">
        <v>240.369</v>
      </c>
      <c r="G398" s="1"/>
      <c r="H398" s="1"/>
    </row>
    <row r="399" spans="1:8" x14ac:dyDescent="0.35">
      <c r="A399" s="1" t="s">
        <v>6</v>
      </c>
      <c r="B399" s="1" t="s">
        <v>85</v>
      </c>
      <c r="C399" s="1" t="s">
        <v>90</v>
      </c>
      <c r="D399" s="1">
        <v>1012.437534</v>
      </c>
      <c r="E399" s="1">
        <v>425.94099999999997</v>
      </c>
      <c r="F399" s="1">
        <v>102.01600000000001</v>
      </c>
      <c r="G399" s="1"/>
      <c r="H399" s="1"/>
    </row>
    <row r="400" spans="1:8" x14ac:dyDescent="0.35">
      <c r="A400" s="1" t="s">
        <v>6</v>
      </c>
      <c r="B400" s="1" t="s">
        <v>86</v>
      </c>
      <c r="C400" s="1" t="s">
        <v>90</v>
      </c>
      <c r="D400" s="1">
        <v>3735.593867</v>
      </c>
      <c r="E400" s="1">
        <v>2226.5680000000002</v>
      </c>
      <c r="F400" s="1">
        <v>629.27700000000004</v>
      </c>
      <c r="G400" s="1">
        <v>16263.908810000001</v>
      </c>
      <c r="H400" s="1">
        <v>4596.5376969999998</v>
      </c>
    </row>
    <row r="401" spans="1:8" x14ac:dyDescent="0.35">
      <c r="A401" s="1" t="s">
        <v>7</v>
      </c>
      <c r="B401" s="1" t="s">
        <v>89</v>
      </c>
      <c r="C401" s="1" t="s">
        <v>90</v>
      </c>
      <c r="D401" s="1">
        <v>74947.063479999997</v>
      </c>
      <c r="E401" s="1">
        <v>9798.1039999999994</v>
      </c>
      <c r="F401" s="1">
        <v>1242.3030000000001</v>
      </c>
      <c r="G401" s="1"/>
      <c r="H401" s="1">
        <v>20956.546340000001</v>
      </c>
    </row>
    <row r="402" spans="1:8" x14ac:dyDescent="0.35">
      <c r="A402" s="1" t="s">
        <v>7</v>
      </c>
      <c r="B402" s="1" t="s">
        <v>91</v>
      </c>
      <c r="C402" s="1" t="s">
        <v>90</v>
      </c>
      <c r="D402" s="1">
        <v>21379.729729999999</v>
      </c>
      <c r="E402" s="1">
        <v>141716.42800000001</v>
      </c>
      <c r="F402" s="1">
        <v>70858.214000000007</v>
      </c>
      <c r="G402" s="1"/>
      <c r="H402" s="1"/>
    </row>
    <row r="403" spans="1:8" x14ac:dyDescent="0.35">
      <c r="A403" s="1" t="s">
        <v>7</v>
      </c>
      <c r="B403" s="1" t="s">
        <v>82</v>
      </c>
      <c r="C403" s="1" t="s">
        <v>90</v>
      </c>
      <c r="D403" s="1">
        <v>24230.775109999999</v>
      </c>
      <c r="E403" s="1">
        <v>27252.078000000001</v>
      </c>
      <c r="F403" s="1">
        <v>12598.039000000001</v>
      </c>
      <c r="G403" s="1"/>
      <c r="H403" s="1"/>
    </row>
    <row r="404" spans="1:8" x14ac:dyDescent="0.35">
      <c r="A404" s="1" t="s">
        <v>7</v>
      </c>
      <c r="B404" s="1" t="s">
        <v>83</v>
      </c>
      <c r="C404" s="1" t="s">
        <v>90</v>
      </c>
      <c r="D404" s="1">
        <v>48280.300770000002</v>
      </c>
      <c r="E404" s="1">
        <v>31542.741000000002</v>
      </c>
      <c r="F404" s="1">
        <v>10868.056</v>
      </c>
      <c r="G404" s="1"/>
      <c r="H404" s="1"/>
    </row>
    <row r="405" spans="1:8" x14ac:dyDescent="0.35">
      <c r="A405" s="1" t="s">
        <v>7</v>
      </c>
      <c r="B405" s="1" t="s">
        <v>84</v>
      </c>
      <c r="C405" s="1" t="s">
        <v>90</v>
      </c>
      <c r="D405" s="1">
        <v>746.23253220000004</v>
      </c>
      <c r="E405" s="1">
        <v>853.25099999999998</v>
      </c>
      <c r="F405" s="1">
        <v>367.74400000000003</v>
      </c>
      <c r="G405" s="1"/>
      <c r="H405" s="1"/>
    </row>
    <row r="406" spans="1:8" x14ac:dyDescent="0.35">
      <c r="A406" s="1" t="s">
        <v>7</v>
      </c>
      <c r="B406" s="1" t="s">
        <v>85</v>
      </c>
      <c r="C406" s="1" t="s">
        <v>90</v>
      </c>
      <c r="D406" s="1">
        <v>61513.24379</v>
      </c>
      <c r="E406" s="1">
        <v>9119.6749999999993</v>
      </c>
      <c r="F406" s="1">
        <v>1468.491</v>
      </c>
      <c r="G406" s="1"/>
      <c r="H406" s="1"/>
    </row>
    <row r="407" spans="1:8" x14ac:dyDescent="0.35">
      <c r="A407" s="1" t="s">
        <v>7</v>
      </c>
      <c r="B407" s="1" t="s">
        <v>86</v>
      </c>
      <c r="C407" s="1" t="s">
        <v>90</v>
      </c>
      <c r="D407" s="1">
        <v>53258.431140000001</v>
      </c>
      <c r="E407" s="1">
        <v>26521.325000000001</v>
      </c>
      <c r="F407" s="1">
        <v>6626.491</v>
      </c>
      <c r="G407" s="1">
        <v>22019.725060000001</v>
      </c>
      <c r="H407" s="1">
        <v>5501.7428410000002</v>
      </c>
    </row>
    <row r="408" spans="1:8" x14ac:dyDescent="0.35">
      <c r="A408" s="1" t="s">
        <v>8</v>
      </c>
      <c r="B408" s="1" t="s">
        <v>89</v>
      </c>
      <c r="C408" s="1" t="s">
        <v>90</v>
      </c>
      <c r="D408" s="1">
        <v>9927.1580909999993</v>
      </c>
      <c r="E408" s="1">
        <v>1536.4490000000001</v>
      </c>
      <c r="F408" s="1">
        <v>303.71800000000002</v>
      </c>
      <c r="G408" s="1"/>
      <c r="H408" s="1">
        <v>17701.65713</v>
      </c>
    </row>
    <row r="409" spans="1:8" x14ac:dyDescent="0.35">
      <c r="A409" s="1" t="s">
        <v>8</v>
      </c>
      <c r="B409" s="1" t="s">
        <v>91</v>
      </c>
      <c r="C409" s="1" t="s">
        <v>90</v>
      </c>
      <c r="D409" s="1">
        <v>3841.625</v>
      </c>
      <c r="E409" s="1">
        <v>30946.614000000001</v>
      </c>
      <c r="F409" s="1">
        <v>15473.307000000001</v>
      </c>
      <c r="G409" s="1"/>
      <c r="H409" s="1"/>
    </row>
    <row r="410" spans="1:8" x14ac:dyDescent="0.35">
      <c r="A410" s="1" t="s">
        <v>8</v>
      </c>
      <c r="B410" s="1" t="s">
        <v>82</v>
      </c>
      <c r="C410" s="1" t="s">
        <v>90</v>
      </c>
      <c r="D410" s="1">
        <v>2847.3910900000001</v>
      </c>
      <c r="E410" s="1">
        <v>4008.6480000000001</v>
      </c>
      <c r="F410" s="1">
        <v>1851.769</v>
      </c>
      <c r="G410" s="1"/>
      <c r="H410" s="1"/>
    </row>
    <row r="411" spans="1:8" x14ac:dyDescent="0.35">
      <c r="A411" s="1" t="s">
        <v>8</v>
      </c>
      <c r="B411" s="1" t="s">
        <v>83</v>
      </c>
      <c r="C411" s="1" t="s">
        <v>90</v>
      </c>
      <c r="D411" s="1">
        <v>6498.8231859999996</v>
      </c>
      <c r="E411" s="1">
        <v>4852.8999999999996</v>
      </c>
      <c r="F411" s="1">
        <v>1810.653</v>
      </c>
      <c r="G411" s="1"/>
      <c r="H411" s="1"/>
    </row>
    <row r="412" spans="1:8" x14ac:dyDescent="0.35">
      <c r="A412" s="1" t="s">
        <v>8</v>
      </c>
      <c r="B412" s="1" t="s">
        <v>84</v>
      </c>
      <c r="C412" s="1" t="s">
        <v>90</v>
      </c>
      <c r="D412" s="1">
        <v>47.470633450000001</v>
      </c>
      <c r="E412" s="1">
        <v>136.52000000000001</v>
      </c>
      <c r="F412" s="1">
        <v>65.69</v>
      </c>
      <c r="G412" s="1"/>
      <c r="H412" s="1"/>
    </row>
    <row r="413" spans="1:8" x14ac:dyDescent="0.35">
      <c r="A413" s="1" t="s">
        <v>8</v>
      </c>
      <c r="B413" s="1" t="s">
        <v>85</v>
      </c>
      <c r="C413" s="1" t="s">
        <v>90</v>
      </c>
      <c r="D413" s="1">
        <v>5757.002614</v>
      </c>
      <c r="E413" s="1">
        <v>1410.662</v>
      </c>
      <c r="F413" s="1">
        <v>324.44799999999998</v>
      </c>
      <c r="G413" s="1"/>
      <c r="H413" s="1"/>
    </row>
    <row r="414" spans="1:8" x14ac:dyDescent="0.35">
      <c r="A414" s="1" t="s">
        <v>8</v>
      </c>
      <c r="B414" s="1" t="s">
        <v>86</v>
      </c>
      <c r="C414" s="1" t="s">
        <v>90</v>
      </c>
      <c r="D414" s="1">
        <v>9498.1255569999994</v>
      </c>
      <c r="E414" s="1">
        <v>4136.8639999999996</v>
      </c>
      <c r="F414" s="1">
        <v>1067.9570000000001</v>
      </c>
      <c r="G414" s="1">
        <v>24366.39471</v>
      </c>
      <c r="H414" s="1">
        <v>6290.3353360000001</v>
      </c>
    </row>
    <row r="415" spans="1:8" x14ac:dyDescent="0.35">
      <c r="A415" s="1" t="s">
        <v>9</v>
      </c>
      <c r="B415" s="1" t="s">
        <v>89</v>
      </c>
      <c r="C415" s="1" t="s">
        <v>90</v>
      </c>
      <c r="D415" s="1">
        <v>9806.0856199999998</v>
      </c>
      <c r="E415" s="1">
        <v>1731.73</v>
      </c>
      <c r="F415" s="1">
        <v>317.60000000000002</v>
      </c>
      <c r="G415" s="1"/>
      <c r="H415" s="1">
        <v>15513.95887</v>
      </c>
    </row>
    <row r="416" spans="1:8" x14ac:dyDescent="0.35">
      <c r="A416" s="1" t="s">
        <v>9</v>
      </c>
      <c r="B416" s="1" t="s">
        <v>91</v>
      </c>
      <c r="C416" s="1" t="s">
        <v>90</v>
      </c>
      <c r="D416" s="1">
        <v>2503.2506699999999</v>
      </c>
      <c r="E416" s="1">
        <v>21616.400000000001</v>
      </c>
      <c r="F416" s="1">
        <v>10808.2</v>
      </c>
      <c r="G416" s="1"/>
      <c r="H416" s="1"/>
    </row>
    <row r="417" spans="1:8" x14ac:dyDescent="0.35">
      <c r="A417" s="1" t="s">
        <v>9</v>
      </c>
      <c r="B417" s="1" t="s">
        <v>82</v>
      </c>
      <c r="C417" s="1" t="s">
        <v>90</v>
      </c>
      <c r="D417" s="1">
        <v>2587.859563</v>
      </c>
      <c r="E417" s="1">
        <v>3759.7</v>
      </c>
      <c r="F417" s="1">
        <v>1818.53</v>
      </c>
      <c r="G417" s="1"/>
      <c r="H417" s="1"/>
    </row>
    <row r="418" spans="1:8" x14ac:dyDescent="0.35">
      <c r="A418" s="1" t="s">
        <v>9</v>
      </c>
      <c r="B418" s="1" t="s">
        <v>83</v>
      </c>
      <c r="C418" s="1" t="s">
        <v>90</v>
      </c>
      <c r="D418" s="1">
        <v>5151.1944480000002</v>
      </c>
      <c r="E418" s="1">
        <v>3722.81</v>
      </c>
      <c r="F418" s="1">
        <v>1672.22</v>
      </c>
      <c r="G418" s="1"/>
      <c r="H418" s="1"/>
    </row>
    <row r="419" spans="1:8" x14ac:dyDescent="0.35">
      <c r="A419" s="1" t="s">
        <v>9</v>
      </c>
      <c r="B419" s="1" t="s">
        <v>84</v>
      </c>
      <c r="C419" s="1" t="s">
        <v>90</v>
      </c>
      <c r="D419" s="1">
        <v>241.3611775</v>
      </c>
      <c r="E419" s="1">
        <v>637.29999999999995</v>
      </c>
      <c r="F419" s="1">
        <v>316.17</v>
      </c>
      <c r="G419" s="1"/>
      <c r="H419" s="1"/>
    </row>
    <row r="420" spans="1:8" x14ac:dyDescent="0.35">
      <c r="A420" s="1" t="s">
        <v>9</v>
      </c>
      <c r="B420" s="1" t="s">
        <v>85</v>
      </c>
      <c r="C420" s="1" t="s">
        <v>90</v>
      </c>
      <c r="D420" s="1">
        <v>4367.0019849999999</v>
      </c>
      <c r="E420" s="1">
        <v>999.04</v>
      </c>
      <c r="F420" s="1">
        <v>243.76</v>
      </c>
      <c r="G420" s="1"/>
      <c r="H420" s="1"/>
    </row>
    <row r="421" spans="1:8" x14ac:dyDescent="0.35">
      <c r="A421" s="1" t="s">
        <v>9</v>
      </c>
      <c r="B421" s="1" t="s">
        <v>86</v>
      </c>
      <c r="C421" s="1" t="s">
        <v>90</v>
      </c>
      <c r="D421" s="1">
        <v>3755.4065249999999</v>
      </c>
      <c r="E421" s="1">
        <v>1893.15</v>
      </c>
      <c r="F421" s="1">
        <v>711.79</v>
      </c>
      <c r="G421" s="1">
        <v>14454.80409</v>
      </c>
      <c r="H421" s="1">
        <v>5434.7436809999999</v>
      </c>
    </row>
    <row r="422" spans="1:8" x14ac:dyDescent="0.35">
      <c r="A422" s="1" t="s">
        <v>10</v>
      </c>
      <c r="B422" s="1" t="s">
        <v>89</v>
      </c>
      <c r="C422" s="1" t="s">
        <v>90</v>
      </c>
      <c r="D422" s="1">
        <v>1496.0450820000001</v>
      </c>
      <c r="E422" s="1">
        <v>256.88</v>
      </c>
      <c r="F422" s="1">
        <v>40.61</v>
      </c>
      <c r="G422" s="1"/>
      <c r="H422" s="1">
        <v>15955.908009999999</v>
      </c>
    </row>
    <row r="423" spans="1:8" x14ac:dyDescent="0.35">
      <c r="A423" s="1" t="s">
        <v>10</v>
      </c>
      <c r="B423" s="1" t="s">
        <v>91</v>
      </c>
      <c r="C423" s="1" t="s">
        <v>90</v>
      </c>
      <c r="D423" s="1">
        <v>1053.77143</v>
      </c>
      <c r="E423" s="1">
        <v>5292.08</v>
      </c>
      <c r="F423" s="1">
        <v>2646.04</v>
      </c>
      <c r="G423" s="1"/>
      <c r="H423" s="1"/>
    </row>
    <row r="424" spans="1:8" x14ac:dyDescent="0.35">
      <c r="A424" s="1" t="s">
        <v>10</v>
      </c>
      <c r="B424" s="1" t="s">
        <v>82</v>
      </c>
      <c r="C424" s="1" t="s">
        <v>90</v>
      </c>
      <c r="D424" s="1">
        <v>895.96886900000004</v>
      </c>
      <c r="E424" s="1">
        <v>847.52</v>
      </c>
      <c r="F424" s="1">
        <v>414.77</v>
      </c>
      <c r="G424" s="1"/>
      <c r="H424" s="1"/>
    </row>
    <row r="425" spans="1:8" x14ac:dyDescent="0.35">
      <c r="A425" s="1" t="s">
        <v>10</v>
      </c>
      <c r="B425" s="1" t="s">
        <v>83</v>
      </c>
      <c r="C425" s="1" t="s">
        <v>90</v>
      </c>
      <c r="D425" s="1">
        <v>1145.9176199999999</v>
      </c>
      <c r="E425" s="1">
        <v>603.48</v>
      </c>
      <c r="F425" s="1">
        <v>223.26</v>
      </c>
      <c r="G425" s="1"/>
      <c r="H425" s="1"/>
    </row>
    <row r="426" spans="1:8" x14ac:dyDescent="0.35">
      <c r="A426" s="1" t="s">
        <v>10</v>
      </c>
      <c r="B426" s="1" t="s">
        <v>84</v>
      </c>
      <c r="C426" s="1" t="s">
        <v>90</v>
      </c>
      <c r="D426" s="1">
        <v>66.440829550000004</v>
      </c>
      <c r="E426" s="1">
        <v>139.93</v>
      </c>
      <c r="F426" s="1">
        <v>69.27</v>
      </c>
      <c r="G426" s="1"/>
      <c r="H426" s="1"/>
    </row>
    <row r="427" spans="1:8" x14ac:dyDescent="0.35">
      <c r="A427" s="1" t="s">
        <v>10</v>
      </c>
      <c r="B427" s="1" t="s">
        <v>85</v>
      </c>
      <c r="C427" s="1" t="s">
        <v>90</v>
      </c>
      <c r="D427" s="1">
        <v>761.78067780000003</v>
      </c>
      <c r="E427" s="1">
        <v>166.56</v>
      </c>
      <c r="F427" s="1">
        <v>38.72</v>
      </c>
      <c r="G427" s="1"/>
      <c r="H427" s="1"/>
    </row>
    <row r="428" spans="1:8" x14ac:dyDescent="0.35">
      <c r="A428" s="1" t="s">
        <v>10</v>
      </c>
      <c r="B428" s="1" t="s">
        <v>86</v>
      </c>
      <c r="C428" s="1" t="s">
        <v>90</v>
      </c>
      <c r="D428" s="1">
        <v>2297.9766100000002</v>
      </c>
      <c r="E428" s="1">
        <v>837.89</v>
      </c>
      <c r="F428" s="1">
        <v>214.11</v>
      </c>
      <c r="G428" s="1">
        <v>29404.634669999999</v>
      </c>
      <c r="H428" s="1">
        <v>7513.9055600000002</v>
      </c>
    </row>
    <row r="429" spans="1:8" x14ac:dyDescent="0.35">
      <c r="A429" s="1" t="s">
        <v>11</v>
      </c>
      <c r="B429" s="1" t="s">
        <v>89</v>
      </c>
      <c r="C429" s="1" t="s">
        <v>90</v>
      </c>
      <c r="D429" s="1">
        <v>521.12662639999996</v>
      </c>
      <c r="E429" s="1">
        <v>72.686000000000007</v>
      </c>
      <c r="F429" s="1">
        <v>11.821999999999999</v>
      </c>
      <c r="G429" s="1"/>
      <c r="H429" s="1">
        <v>19642.629690000002</v>
      </c>
    </row>
    <row r="430" spans="1:8" x14ac:dyDescent="0.35">
      <c r="A430" s="1" t="s">
        <v>11</v>
      </c>
      <c r="B430" s="1" t="s">
        <v>91</v>
      </c>
      <c r="C430" s="1" t="s">
        <v>90</v>
      </c>
      <c r="D430" s="1">
        <v>774.91727000000003</v>
      </c>
      <c r="E430" s="1">
        <v>2123.0459999999998</v>
      </c>
      <c r="F430" s="1">
        <v>1061.5229999999999</v>
      </c>
      <c r="G430" s="1"/>
      <c r="H430" s="1"/>
    </row>
    <row r="431" spans="1:8" x14ac:dyDescent="0.35">
      <c r="A431" s="1" t="s">
        <v>11</v>
      </c>
      <c r="B431" s="1" t="s">
        <v>82</v>
      </c>
      <c r="C431" s="1" t="s">
        <v>90</v>
      </c>
      <c r="D431" s="1">
        <v>287.55241219999999</v>
      </c>
      <c r="E431" s="1">
        <v>306.65899999999999</v>
      </c>
      <c r="F431" s="1">
        <v>155.51900000000001</v>
      </c>
      <c r="G431" s="1"/>
      <c r="H431" s="1"/>
    </row>
    <row r="432" spans="1:8" x14ac:dyDescent="0.35">
      <c r="A432" s="1" t="s">
        <v>11</v>
      </c>
      <c r="B432" s="1" t="s">
        <v>83</v>
      </c>
      <c r="C432" s="1" t="s">
        <v>90</v>
      </c>
      <c r="D432" s="1">
        <v>729.61581999999999</v>
      </c>
      <c r="E432" s="1">
        <v>443.459</v>
      </c>
      <c r="F432" s="1">
        <v>163.73500000000001</v>
      </c>
      <c r="G432" s="1"/>
      <c r="H432" s="1"/>
    </row>
    <row r="433" spans="1:8" x14ac:dyDescent="0.35">
      <c r="A433" s="1" t="s">
        <v>11</v>
      </c>
      <c r="B433" s="1" t="s">
        <v>84</v>
      </c>
      <c r="C433" s="1" t="s">
        <v>90</v>
      </c>
      <c r="D433" s="1">
        <v>0</v>
      </c>
      <c r="E433" s="1">
        <v>0</v>
      </c>
      <c r="F433" s="1">
        <v>0</v>
      </c>
      <c r="G433" s="1"/>
      <c r="H433" s="1"/>
    </row>
    <row r="434" spans="1:8" x14ac:dyDescent="0.35">
      <c r="A434" s="1" t="s">
        <v>11</v>
      </c>
      <c r="B434" s="1" t="s">
        <v>85</v>
      </c>
      <c r="C434" s="1" t="s">
        <v>90</v>
      </c>
      <c r="D434" s="1">
        <v>376.39905110000001</v>
      </c>
      <c r="E434" s="1">
        <v>62.631</v>
      </c>
      <c r="F434" s="1">
        <v>15.465</v>
      </c>
      <c r="G434" s="1"/>
      <c r="H434" s="1"/>
    </row>
    <row r="435" spans="1:8" x14ac:dyDescent="0.35">
      <c r="A435" s="1" t="s">
        <v>11</v>
      </c>
      <c r="B435" s="1" t="s">
        <v>86</v>
      </c>
      <c r="C435" s="1" t="s">
        <v>90</v>
      </c>
      <c r="D435" s="1">
        <v>1066.4585750000001</v>
      </c>
      <c r="E435" s="1">
        <v>436.62799999999999</v>
      </c>
      <c r="F435" s="1">
        <v>106.586</v>
      </c>
      <c r="G435" s="1">
        <v>27412.646270000001</v>
      </c>
      <c r="H435" s="1">
        <v>6691.747472</v>
      </c>
    </row>
    <row r="436" spans="1:8" x14ac:dyDescent="0.35">
      <c r="A436" s="1" t="s">
        <v>12</v>
      </c>
      <c r="B436" s="1" t="s">
        <v>89</v>
      </c>
      <c r="C436" s="1" t="s">
        <v>90</v>
      </c>
      <c r="D436" s="1">
        <v>31627.123650000001</v>
      </c>
      <c r="E436" s="1">
        <v>5054.0429999999997</v>
      </c>
      <c r="F436" s="1">
        <v>777.99099999999999</v>
      </c>
      <c r="G436" s="1"/>
      <c r="H436" s="1">
        <v>17144.62141</v>
      </c>
    </row>
    <row r="437" spans="1:8" x14ac:dyDescent="0.35">
      <c r="A437" s="1" t="s">
        <v>12</v>
      </c>
      <c r="B437" s="1" t="s">
        <v>91</v>
      </c>
      <c r="C437" s="1" t="s">
        <v>90</v>
      </c>
      <c r="D437" s="1">
        <v>39612.200239999998</v>
      </c>
      <c r="E437" s="1">
        <v>137586.94200000001</v>
      </c>
      <c r="F437" s="1">
        <v>68793.471000000005</v>
      </c>
      <c r="G437" s="1"/>
      <c r="H437" s="1"/>
    </row>
    <row r="438" spans="1:8" x14ac:dyDescent="0.35">
      <c r="A438" s="1" t="s">
        <v>12</v>
      </c>
      <c r="B438" s="1" t="s">
        <v>82</v>
      </c>
      <c r="C438" s="1" t="s">
        <v>90</v>
      </c>
      <c r="D438" s="1">
        <v>20705.586500000001</v>
      </c>
      <c r="E438" s="1">
        <v>15555.94</v>
      </c>
      <c r="F438" s="1">
        <v>6468.9570000000003</v>
      </c>
      <c r="G438" s="1"/>
      <c r="H438" s="1"/>
    </row>
    <row r="439" spans="1:8" x14ac:dyDescent="0.35">
      <c r="A439" s="1" t="s">
        <v>12</v>
      </c>
      <c r="B439" s="1" t="s">
        <v>83</v>
      </c>
      <c r="C439" s="1" t="s">
        <v>90</v>
      </c>
      <c r="D439" s="1">
        <v>30146.376509999998</v>
      </c>
      <c r="E439" s="1">
        <v>14414.98</v>
      </c>
      <c r="F439" s="1">
        <v>4231.0429999999997</v>
      </c>
      <c r="G439" s="1"/>
      <c r="H439" s="1"/>
    </row>
    <row r="440" spans="1:8" x14ac:dyDescent="0.35">
      <c r="A440" s="1" t="s">
        <v>12</v>
      </c>
      <c r="B440" s="1" t="s">
        <v>84</v>
      </c>
      <c r="C440" s="1" t="s">
        <v>90</v>
      </c>
      <c r="D440" s="1">
        <v>4022.058012</v>
      </c>
      <c r="E440" s="1">
        <v>4176.915</v>
      </c>
      <c r="F440" s="1">
        <v>1879.759</v>
      </c>
      <c r="G440" s="1"/>
      <c r="H440" s="1"/>
    </row>
    <row r="441" spans="1:8" x14ac:dyDescent="0.35">
      <c r="A441" s="1" t="s">
        <v>12</v>
      </c>
      <c r="B441" s="1" t="s">
        <v>85</v>
      </c>
      <c r="C441" s="1" t="s">
        <v>90</v>
      </c>
      <c r="D441" s="1">
        <v>16420.986509999999</v>
      </c>
      <c r="E441" s="1">
        <v>3022.681</v>
      </c>
      <c r="F441" s="1">
        <v>586.85500000000002</v>
      </c>
      <c r="G441" s="1"/>
      <c r="H441" s="1"/>
    </row>
    <row r="442" spans="1:8" x14ac:dyDescent="0.35">
      <c r="A442" s="1" t="s">
        <v>12</v>
      </c>
      <c r="B442" s="1" t="s">
        <v>86</v>
      </c>
      <c r="C442" s="1" t="s">
        <v>90</v>
      </c>
      <c r="D442" s="1">
        <v>46449.05341</v>
      </c>
      <c r="E442" s="1">
        <v>17758.778999999999</v>
      </c>
      <c r="F442" s="1">
        <v>3971.4760000000001</v>
      </c>
      <c r="G442" s="1">
        <v>32042.91819</v>
      </c>
      <c r="H442" s="1">
        <v>7165.9025970000002</v>
      </c>
    </row>
    <row r="443" spans="1:8" x14ac:dyDescent="0.35">
      <c r="A443" s="1" t="s">
        <v>13</v>
      </c>
      <c r="B443" s="1" t="s">
        <v>89</v>
      </c>
      <c r="C443" s="1" t="s">
        <v>90</v>
      </c>
      <c r="D443" s="1">
        <v>25484.49797</v>
      </c>
      <c r="E443" s="1">
        <v>4555.9960000000001</v>
      </c>
      <c r="F443" s="1">
        <v>709.73500000000001</v>
      </c>
      <c r="G443" s="1"/>
      <c r="H443" s="1">
        <v>15324.978859999999</v>
      </c>
    </row>
    <row r="444" spans="1:8" x14ac:dyDescent="0.35">
      <c r="A444" s="1" t="s">
        <v>13</v>
      </c>
      <c r="B444" s="1" t="s">
        <v>91</v>
      </c>
      <c r="C444" s="1" t="s">
        <v>90</v>
      </c>
      <c r="D444" s="1">
        <v>23539.355889999999</v>
      </c>
      <c r="E444" s="1">
        <v>79539.179999999993</v>
      </c>
      <c r="F444" s="1">
        <v>39769.589999999997</v>
      </c>
      <c r="G444" s="1"/>
      <c r="H444" s="1"/>
    </row>
    <row r="445" spans="1:8" x14ac:dyDescent="0.35">
      <c r="A445" s="1" t="s">
        <v>13</v>
      </c>
      <c r="B445" s="1" t="s">
        <v>82</v>
      </c>
      <c r="C445" s="1" t="s">
        <v>90</v>
      </c>
      <c r="D445" s="1">
        <v>8763.901672</v>
      </c>
      <c r="E445" s="1">
        <v>7891.277</v>
      </c>
      <c r="F445" s="1">
        <v>3710.1819999999998</v>
      </c>
      <c r="G445" s="1"/>
      <c r="H445" s="1"/>
    </row>
    <row r="446" spans="1:8" x14ac:dyDescent="0.35">
      <c r="A446" s="1" t="s">
        <v>13</v>
      </c>
      <c r="B446" s="1" t="s">
        <v>83</v>
      </c>
      <c r="C446" s="1" t="s">
        <v>90</v>
      </c>
      <c r="D446" s="1">
        <v>21325.104289999999</v>
      </c>
      <c r="E446" s="1">
        <v>12025.919</v>
      </c>
      <c r="F446" s="1">
        <v>4804.7280000000001</v>
      </c>
      <c r="G446" s="1"/>
      <c r="H446" s="1"/>
    </row>
    <row r="447" spans="1:8" x14ac:dyDescent="0.35">
      <c r="A447" s="1" t="s">
        <v>13</v>
      </c>
      <c r="B447" s="1" t="s">
        <v>84</v>
      </c>
      <c r="C447" s="1" t="s">
        <v>90</v>
      </c>
      <c r="D447" s="1">
        <v>567.41905999999994</v>
      </c>
      <c r="E447" s="1">
        <v>1501.549</v>
      </c>
      <c r="F447" s="1">
        <v>730.51900000000001</v>
      </c>
      <c r="G447" s="1"/>
      <c r="H447" s="1"/>
    </row>
    <row r="448" spans="1:8" x14ac:dyDescent="0.35">
      <c r="A448" s="1" t="s">
        <v>13</v>
      </c>
      <c r="B448" s="1" t="s">
        <v>85</v>
      </c>
      <c r="C448" s="1" t="s">
        <v>90</v>
      </c>
      <c r="D448" s="1">
        <v>3911.0242239999998</v>
      </c>
      <c r="E448" s="1">
        <v>801.096</v>
      </c>
      <c r="F448" s="1">
        <v>176.06399999999999</v>
      </c>
      <c r="G448" s="1"/>
      <c r="H448" s="1"/>
    </row>
    <row r="449" spans="1:8" x14ac:dyDescent="0.35">
      <c r="A449" s="1" t="s">
        <v>13</v>
      </c>
      <c r="B449" s="1" t="s">
        <v>86</v>
      </c>
      <c r="C449" s="1" t="s">
        <v>90</v>
      </c>
      <c r="D449" s="1">
        <v>17726.493439999998</v>
      </c>
      <c r="E449" s="1">
        <v>8703.0560000000005</v>
      </c>
      <c r="F449" s="1">
        <v>2355.5030000000002</v>
      </c>
      <c r="G449" s="1">
        <v>20617.989219999999</v>
      </c>
      <c r="H449" s="1">
        <v>5580.3082789999999</v>
      </c>
    </row>
    <row r="450" spans="1:8" x14ac:dyDescent="0.35">
      <c r="A450" s="1" t="s">
        <v>14</v>
      </c>
      <c r="B450" s="1" t="s">
        <v>89</v>
      </c>
      <c r="C450" s="1" t="s">
        <v>90</v>
      </c>
      <c r="D450" s="1">
        <v>2067.320412</v>
      </c>
      <c r="E450" s="1">
        <v>317.05500000000001</v>
      </c>
      <c r="F450" s="1">
        <v>54.859000000000002</v>
      </c>
      <c r="G450" s="1"/>
      <c r="H450" s="1">
        <v>17864.066299999999</v>
      </c>
    </row>
    <row r="451" spans="1:8" x14ac:dyDescent="0.35">
      <c r="A451" s="1" t="s">
        <v>14</v>
      </c>
      <c r="B451" s="1" t="s">
        <v>91</v>
      </c>
      <c r="C451" s="1" t="s">
        <v>90</v>
      </c>
      <c r="D451" s="1">
        <v>2320.5856899999999</v>
      </c>
      <c r="E451" s="1">
        <v>3678.114</v>
      </c>
      <c r="F451" s="1">
        <v>1839.057</v>
      </c>
      <c r="G451" s="1"/>
      <c r="H451" s="1"/>
    </row>
    <row r="452" spans="1:8" x14ac:dyDescent="0.35">
      <c r="A452" s="1" t="s">
        <v>14</v>
      </c>
      <c r="B452" s="1" t="s">
        <v>82</v>
      </c>
      <c r="C452" s="1" t="s">
        <v>90</v>
      </c>
      <c r="D452" s="1">
        <v>786.62998210000001</v>
      </c>
      <c r="E452" s="1">
        <v>575.20699999999999</v>
      </c>
      <c r="F452" s="1">
        <v>262.54000000000002</v>
      </c>
      <c r="G452" s="1"/>
      <c r="H452" s="1"/>
    </row>
    <row r="453" spans="1:8" x14ac:dyDescent="0.35">
      <c r="A453" s="1" t="s">
        <v>14</v>
      </c>
      <c r="B453" s="1" t="s">
        <v>83</v>
      </c>
      <c r="C453" s="1" t="s">
        <v>90</v>
      </c>
      <c r="D453" s="1">
        <v>1065.7480399999999</v>
      </c>
      <c r="E453" s="1">
        <v>534.68499999999995</v>
      </c>
      <c r="F453" s="1">
        <v>192.29599999999999</v>
      </c>
      <c r="G453" s="1"/>
      <c r="H453" s="1"/>
    </row>
    <row r="454" spans="1:8" x14ac:dyDescent="0.35">
      <c r="A454" s="1" t="s">
        <v>14</v>
      </c>
      <c r="B454" s="1" t="s">
        <v>84</v>
      </c>
      <c r="C454" s="1" t="s">
        <v>90</v>
      </c>
      <c r="D454" s="1">
        <v>293.1198875</v>
      </c>
      <c r="E454" s="1">
        <v>396.64699999999999</v>
      </c>
      <c r="F454" s="1">
        <v>189.56800000000001</v>
      </c>
      <c r="G454" s="1"/>
      <c r="H454" s="1"/>
    </row>
    <row r="455" spans="1:8" x14ac:dyDescent="0.35">
      <c r="A455" s="1" t="s">
        <v>14</v>
      </c>
      <c r="B455" s="1" t="s">
        <v>85</v>
      </c>
      <c r="C455" s="1" t="s">
        <v>90</v>
      </c>
      <c r="D455" s="1">
        <v>500.20127059999999</v>
      </c>
      <c r="E455" s="1">
        <v>152.255</v>
      </c>
      <c r="F455" s="1">
        <v>33.634999999999998</v>
      </c>
      <c r="G455" s="1"/>
      <c r="H455" s="1"/>
    </row>
    <row r="456" spans="1:8" x14ac:dyDescent="0.35">
      <c r="A456" s="1" t="s">
        <v>14</v>
      </c>
      <c r="B456" s="1" t="s">
        <v>86</v>
      </c>
      <c r="C456" s="1" t="s">
        <v>90</v>
      </c>
      <c r="D456" s="1">
        <v>2113.7313800000002</v>
      </c>
      <c r="E456" s="1">
        <v>826.803</v>
      </c>
      <c r="F456" s="1">
        <v>268.75299999999999</v>
      </c>
      <c r="G456" s="1">
        <v>21547.833419999999</v>
      </c>
      <c r="H456" s="1">
        <v>7004.1411029999999</v>
      </c>
    </row>
    <row r="457" spans="1:8" x14ac:dyDescent="0.35">
      <c r="A457" s="1" t="s">
        <v>15</v>
      </c>
      <c r="B457" s="1" t="s">
        <v>89</v>
      </c>
      <c r="C457" s="1" t="s">
        <v>90</v>
      </c>
      <c r="D457" s="1">
        <v>1727.2699359999999</v>
      </c>
      <c r="E457" s="1">
        <v>451.00599999999997</v>
      </c>
      <c r="F457" s="1">
        <v>91.768000000000001</v>
      </c>
      <c r="G457" s="1"/>
      <c r="H457" s="1">
        <v>10492.646220000001</v>
      </c>
    </row>
    <row r="458" spans="1:8" x14ac:dyDescent="0.35">
      <c r="A458" s="1" t="s">
        <v>15</v>
      </c>
      <c r="B458" s="1" t="s">
        <v>91</v>
      </c>
      <c r="C458" s="1" t="s">
        <v>90</v>
      </c>
      <c r="D458" s="1">
        <v>1184.498</v>
      </c>
      <c r="E458" s="1">
        <v>10655.402</v>
      </c>
      <c r="F458" s="1">
        <v>5327.701</v>
      </c>
      <c r="G458" s="1"/>
      <c r="H458" s="1"/>
    </row>
    <row r="459" spans="1:8" x14ac:dyDescent="0.35">
      <c r="A459" s="1" t="s">
        <v>15</v>
      </c>
      <c r="B459" s="1" t="s">
        <v>82</v>
      </c>
      <c r="C459" s="1" t="s">
        <v>90</v>
      </c>
      <c r="D459" s="1">
        <v>758.79547049999996</v>
      </c>
      <c r="E459" s="1">
        <v>1553.829</v>
      </c>
      <c r="F459" s="1">
        <v>766.72500000000002</v>
      </c>
      <c r="G459" s="1"/>
      <c r="H459" s="1"/>
    </row>
    <row r="460" spans="1:8" x14ac:dyDescent="0.35">
      <c r="A460" s="1" t="s">
        <v>15</v>
      </c>
      <c r="B460" s="1" t="s">
        <v>83</v>
      </c>
      <c r="C460" s="1" t="s">
        <v>90</v>
      </c>
      <c r="D460" s="1">
        <v>1837.5859700000001</v>
      </c>
      <c r="E460" s="1">
        <v>1487.5519999999999</v>
      </c>
      <c r="F460" s="1">
        <v>670.21500000000003</v>
      </c>
      <c r="G460" s="1"/>
      <c r="H460" s="1"/>
    </row>
    <row r="461" spans="1:8" x14ac:dyDescent="0.35">
      <c r="A461" s="1" t="s">
        <v>15</v>
      </c>
      <c r="B461" s="1" t="s">
        <v>84</v>
      </c>
      <c r="C461" s="1" t="s">
        <v>90</v>
      </c>
      <c r="D461" s="1">
        <v>4.9217731499999999</v>
      </c>
      <c r="E461" s="1">
        <v>22.507999999999999</v>
      </c>
      <c r="F461" s="1">
        <v>11.254</v>
      </c>
      <c r="G461" s="1"/>
      <c r="H461" s="1"/>
    </row>
    <row r="462" spans="1:8" x14ac:dyDescent="0.35">
      <c r="A462" s="1" t="s">
        <v>15</v>
      </c>
      <c r="B462" s="1" t="s">
        <v>85</v>
      </c>
      <c r="C462" s="1" t="s">
        <v>90</v>
      </c>
      <c r="D462" s="1">
        <v>199.803774</v>
      </c>
      <c r="E462" s="1">
        <v>105.666</v>
      </c>
      <c r="F462" s="1">
        <v>29.023</v>
      </c>
      <c r="G462" s="1"/>
      <c r="H462" s="1"/>
    </row>
    <row r="463" spans="1:8" x14ac:dyDescent="0.35">
      <c r="A463" s="1" t="s">
        <v>15</v>
      </c>
      <c r="B463" s="1" t="s">
        <v>86</v>
      </c>
      <c r="C463" s="1" t="s">
        <v>90</v>
      </c>
      <c r="D463" s="1">
        <v>2235.6871919999999</v>
      </c>
      <c r="E463" s="1">
        <v>1134.069</v>
      </c>
      <c r="F463" s="1">
        <v>423.84199999999998</v>
      </c>
      <c r="G463" s="1">
        <v>14451.54182</v>
      </c>
      <c r="H463" s="1">
        <v>5401.0561879999996</v>
      </c>
    </row>
    <row r="464" spans="1:8" x14ac:dyDescent="0.35">
      <c r="A464" s="1" t="s">
        <v>16</v>
      </c>
      <c r="B464" s="1" t="s">
        <v>89</v>
      </c>
      <c r="C464" s="1" t="s">
        <v>90</v>
      </c>
      <c r="D464" s="1">
        <v>24517.78643</v>
      </c>
      <c r="E464" s="1">
        <v>4809.55</v>
      </c>
      <c r="F464" s="1">
        <v>941.7</v>
      </c>
      <c r="G464" s="1"/>
      <c r="H464" s="1">
        <v>13966.38305</v>
      </c>
    </row>
    <row r="465" spans="1:8" x14ac:dyDescent="0.35">
      <c r="A465" s="1" t="s">
        <v>16</v>
      </c>
      <c r="B465" s="1" t="s">
        <v>91</v>
      </c>
      <c r="C465" s="1" t="s">
        <v>90</v>
      </c>
      <c r="D465" s="1">
        <v>11559.555850000001</v>
      </c>
      <c r="E465" s="1">
        <v>70524.38</v>
      </c>
      <c r="F465" s="1">
        <v>35262.19</v>
      </c>
      <c r="G465" s="1"/>
      <c r="H465" s="1"/>
    </row>
    <row r="466" spans="1:8" x14ac:dyDescent="0.35">
      <c r="A466" s="1" t="s">
        <v>16</v>
      </c>
      <c r="B466" s="1" t="s">
        <v>82</v>
      </c>
      <c r="C466" s="1" t="s">
        <v>90</v>
      </c>
      <c r="D466" s="1">
        <v>8249.1332760000005</v>
      </c>
      <c r="E466" s="1">
        <v>10640.59</v>
      </c>
      <c r="F466" s="1">
        <v>4860.3</v>
      </c>
      <c r="G466" s="1"/>
      <c r="H466" s="1"/>
    </row>
    <row r="467" spans="1:8" x14ac:dyDescent="0.35">
      <c r="A467" s="1" t="s">
        <v>16</v>
      </c>
      <c r="B467" s="1" t="s">
        <v>83</v>
      </c>
      <c r="C467" s="1" t="s">
        <v>90</v>
      </c>
      <c r="D467" s="1">
        <v>15758.78217</v>
      </c>
      <c r="E467" s="1">
        <v>11383.85</v>
      </c>
      <c r="F467" s="1">
        <v>4188.49</v>
      </c>
      <c r="G467" s="1"/>
      <c r="H467" s="1"/>
    </row>
    <row r="468" spans="1:8" x14ac:dyDescent="0.35">
      <c r="A468" s="1" t="s">
        <v>16</v>
      </c>
      <c r="B468" s="1" t="s">
        <v>84</v>
      </c>
      <c r="C468" s="1" t="s">
        <v>90</v>
      </c>
      <c r="D468" s="1">
        <v>889.77488830000004</v>
      </c>
      <c r="E468" s="1">
        <v>3104.64</v>
      </c>
      <c r="F468" s="1">
        <v>1520.57</v>
      </c>
      <c r="G468" s="1"/>
      <c r="H468" s="1"/>
    </row>
    <row r="469" spans="1:8" x14ac:dyDescent="0.35">
      <c r="A469" s="1" t="s">
        <v>16</v>
      </c>
      <c r="B469" s="1" t="s">
        <v>85</v>
      </c>
      <c r="C469" s="1" t="s">
        <v>90</v>
      </c>
      <c r="D469" s="1">
        <v>1189.2587390000001</v>
      </c>
      <c r="E469" s="1">
        <v>492.28</v>
      </c>
      <c r="F469" s="1">
        <v>117.72</v>
      </c>
      <c r="G469" s="1"/>
      <c r="H469" s="1"/>
    </row>
    <row r="470" spans="1:8" x14ac:dyDescent="0.35">
      <c r="A470" s="1" t="s">
        <v>16</v>
      </c>
      <c r="B470" s="1" t="s">
        <v>86</v>
      </c>
      <c r="C470" s="1" t="s">
        <v>90</v>
      </c>
      <c r="D470" s="1">
        <v>19984.76598</v>
      </c>
      <c r="E470" s="1">
        <v>10041.81</v>
      </c>
      <c r="F470" s="1">
        <v>2888.73</v>
      </c>
      <c r="G470" s="1">
        <v>18953.929069999998</v>
      </c>
      <c r="H470" s="1">
        <v>5452.4815259999996</v>
      </c>
    </row>
    <row r="471" spans="1:8" x14ac:dyDescent="0.35">
      <c r="A471" s="1" t="s">
        <v>17</v>
      </c>
      <c r="B471" s="1" t="s">
        <v>89</v>
      </c>
      <c r="C471" s="1" t="s">
        <v>90</v>
      </c>
      <c r="D471" s="1">
        <v>11154.376200000001</v>
      </c>
      <c r="E471" s="1">
        <v>2465.1460000000002</v>
      </c>
      <c r="F471" s="1">
        <v>492.76</v>
      </c>
      <c r="G471" s="1"/>
      <c r="H471" s="1">
        <v>12396.80522</v>
      </c>
    </row>
    <row r="472" spans="1:8" x14ac:dyDescent="0.35">
      <c r="A472" s="1" t="s">
        <v>17</v>
      </c>
      <c r="B472" s="1" t="s">
        <v>91</v>
      </c>
      <c r="C472" s="1" t="s">
        <v>90</v>
      </c>
      <c r="D472" s="1">
        <v>14636.091570000001</v>
      </c>
      <c r="E472" s="1">
        <v>41110.851999999999</v>
      </c>
      <c r="F472" s="1">
        <v>20555.425999999999</v>
      </c>
      <c r="G472" s="1"/>
      <c r="H472" s="1"/>
    </row>
    <row r="473" spans="1:8" x14ac:dyDescent="0.35">
      <c r="A473" s="1" t="s">
        <v>17</v>
      </c>
      <c r="B473" s="1" t="s">
        <v>82</v>
      </c>
      <c r="C473" s="1" t="s">
        <v>90</v>
      </c>
      <c r="D473" s="1">
        <v>4523.9664949999997</v>
      </c>
      <c r="E473" s="1">
        <v>7061.241</v>
      </c>
      <c r="F473" s="1">
        <v>3409.3560000000002</v>
      </c>
      <c r="G473" s="1"/>
      <c r="H473" s="1"/>
    </row>
    <row r="474" spans="1:8" x14ac:dyDescent="0.35">
      <c r="A474" s="1" t="s">
        <v>17</v>
      </c>
      <c r="B474" s="1" t="s">
        <v>83</v>
      </c>
      <c r="C474" s="1" t="s">
        <v>90</v>
      </c>
      <c r="D474" s="1">
        <v>8890.4858189999995</v>
      </c>
      <c r="E474" s="1">
        <v>7261.4480000000003</v>
      </c>
      <c r="F474" s="1">
        <v>3097.5940000000001</v>
      </c>
      <c r="G474" s="1"/>
      <c r="H474" s="1"/>
    </row>
    <row r="475" spans="1:8" x14ac:dyDescent="0.35">
      <c r="A475" s="1" t="s">
        <v>17</v>
      </c>
      <c r="B475" s="1" t="s">
        <v>84</v>
      </c>
      <c r="C475" s="1" t="s">
        <v>90</v>
      </c>
      <c r="D475" s="1">
        <v>943.00195650000001</v>
      </c>
      <c r="E475" s="1">
        <v>1710.2439999999999</v>
      </c>
      <c r="F475" s="1">
        <v>843.60900000000004</v>
      </c>
      <c r="G475" s="1"/>
      <c r="H475" s="1"/>
    </row>
    <row r="476" spans="1:8" x14ac:dyDescent="0.35">
      <c r="A476" s="1" t="s">
        <v>17</v>
      </c>
      <c r="B476" s="1" t="s">
        <v>85</v>
      </c>
      <c r="C476" s="1" t="s">
        <v>90</v>
      </c>
      <c r="D476" s="1">
        <v>1442.271888</v>
      </c>
      <c r="E476" s="1">
        <v>671.56700000000001</v>
      </c>
      <c r="F476" s="1">
        <v>161.33000000000001</v>
      </c>
      <c r="G476" s="1"/>
      <c r="H476" s="1"/>
    </row>
    <row r="477" spans="1:8" x14ac:dyDescent="0.35">
      <c r="A477" s="1" t="s">
        <v>17</v>
      </c>
      <c r="B477" s="1" t="s">
        <v>86</v>
      </c>
      <c r="C477" s="1" t="s">
        <v>90</v>
      </c>
      <c r="D477" s="1">
        <v>11022.89099</v>
      </c>
      <c r="E477" s="1">
        <v>5915.18</v>
      </c>
      <c r="F477" s="1">
        <v>1773.0029999999999</v>
      </c>
      <c r="G477" s="1">
        <v>17033.079669999999</v>
      </c>
      <c r="H477" s="1">
        <v>5105.4577120000004</v>
      </c>
    </row>
    <row r="478" spans="1:8" x14ac:dyDescent="0.35">
      <c r="A478" s="1" t="s">
        <v>18</v>
      </c>
      <c r="B478" s="1" t="s">
        <v>89</v>
      </c>
      <c r="C478" s="1" t="s">
        <v>90</v>
      </c>
      <c r="D478" s="1">
        <v>3225.020473</v>
      </c>
      <c r="E478" s="1">
        <v>872.98800000000006</v>
      </c>
      <c r="F478" s="1">
        <v>186.36500000000001</v>
      </c>
      <c r="G478" s="1"/>
      <c r="H478" s="1">
        <v>10121.1844</v>
      </c>
    </row>
    <row r="479" spans="1:8" x14ac:dyDescent="0.35">
      <c r="A479" s="1" t="s">
        <v>18</v>
      </c>
      <c r="B479" s="1" t="s">
        <v>91</v>
      </c>
      <c r="C479" s="1" t="s">
        <v>90</v>
      </c>
      <c r="D479" s="1">
        <v>1865.6161099999999</v>
      </c>
      <c r="E479" s="1">
        <v>17357.2</v>
      </c>
      <c r="F479" s="1">
        <v>8678.6</v>
      </c>
      <c r="G479" s="1"/>
      <c r="H479" s="1"/>
    </row>
    <row r="480" spans="1:8" x14ac:dyDescent="0.35">
      <c r="A480" s="1" t="s">
        <v>18</v>
      </c>
      <c r="B480" s="1" t="s">
        <v>82</v>
      </c>
      <c r="C480" s="1" t="s">
        <v>90</v>
      </c>
      <c r="D480" s="1">
        <v>1137.560232</v>
      </c>
      <c r="E480" s="1">
        <v>2772.252</v>
      </c>
      <c r="F480" s="1">
        <v>1338.165</v>
      </c>
      <c r="G480" s="1"/>
      <c r="H480" s="1"/>
    </row>
    <row r="481" spans="1:8" x14ac:dyDescent="0.35">
      <c r="A481" s="1" t="s">
        <v>18</v>
      </c>
      <c r="B481" s="1" t="s">
        <v>83</v>
      </c>
      <c r="C481" s="1" t="s">
        <v>90</v>
      </c>
      <c r="D481" s="1">
        <v>3306.4045489999999</v>
      </c>
      <c r="E481" s="1">
        <v>4002.5770000000002</v>
      </c>
      <c r="F481" s="1">
        <v>1674.4639999999999</v>
      </c>
      <c r="G481" s="1"/>
      <c r="H481" s="1"/>
    </row>
    <row r="482" spans="1:8" x14ac:dyDescent="0.35">
      <c r="A482" s="1" t="s">
        <v>18</v>
      </c>
      <c r="B482" s="1" t="s">
        <v>84</v>
      </c>
      <c r="C482" s="1" t="s">
        <v>90</v>
      </c>
      <c r="D482" s="1">
        <v>6.1635725000000002E-2</v>
      </c>
      <c r="E482" s="1">
        <v>0.81599999999999995</v>
      </c>
      <c r="F482" s="1">
        <v>0.40799999999999997</v>
      </c>
      <c r="G482" s="1"/>
      <c r="H482" s="1"/>
    </row>
    <row r="483" spans="1:8" x14ac:dyDescent="0.35">
      <c r="A483" s="1" t="s">
        <v>18</v>
      </c>
      <c r="B483" s="1" t="s">
        <v>85</v>
      </c>
      <c r="C483" s="1" t="s">
        <v>90</v>
      </c>
      <c r="D483" s="1">
        <v>0</v>
      </c>
      <c r="E483" s="1">
        <v>0</v>
      </c>
      <c r="F483" s="1">
        <v>0</v>
      </c>
      <c r="G483" s="1"/>
      <c r="H483" s="1"/>
    </row>
    <row r="484" spans="1:8" x14ac:dyDescent="0.35">
      <c r="A484" s="1" t="s">
        <v>18</v>
      </c>
      <c r="B484" s="1" t="s">
        <v>86</v>
      </c>
      <c r="C484" s="1" t="s">
        <v>90</v>
      </c>
      <c r="D484" s="1">
        <v>4046.188971</v>
      </c>
      <c r="E484" s="1">
        <v>3099.5590000000002</v>
      </c>
      <c r="F484" s="1">
        <v>914.12300000000005</v>
      </c>
      <c r="G484" s="1">
        <v>12126.8683</v>
      </c>
      <c r="H484" s="1">
        <v>3576.4601459999999</v>
      </c>
    </row>
    <row r="485" spans="1:8" x14ac:dyDescent="0.35">
      <c r="A485" s="1" t="s">
        <v>19</v>
      </c>
      <c r="B485" s="1" t="s">
        <v>89</v>
      </c>
      <c r="C485" s="1" t="s">
        <v>90</v>
      </c>
      <c r="D485" s="1">
        <v>4116.149617</v>
      </c>
      <c r="E485" s="1">
        <v>1132.1880000000001</v>
      </c>
      <c r="F485" s="1">
        <v>235.131</v>
      </c>
      <c r="G485" s="1"/>
      <c r="H485" s="1">
        <v>9960.4679070000002</v>
      </c>
    </row>
    <row r="486" spans="1:8" x14ac:dyDescent="0.35">
      <c r="A486" s="1" t="s">
        <v>19</v>
      </c>
      <c r="B486" s="1" t="s">
        <v>91</v>
      </c>
      <c r="C486" s="1" t="s">
        <v>90</v>
      </c>
      <c r="D486" s="1">
        <v>2374.9743400000002</v>
      </c>
      <c r="E486" s="1">
        <v>19676.752</v>
      </c>
      <c r="F486" s="1">
        <v>9838.3760000000002</v>
      </c>
      <c r="G486" s="1"/>
      <c r="H486" s="1"/>
    </row>
    <row r="487" spans="1:8" x14ac:dyDescent="0.35">
      <c r="A487" s="1" t="s">
        <v>19</v>
      </c>
      <c r="B487" s="1" t="s">
        <v>82</v>
      </c>
      <c r="C487" s="1" t="s">
        <v>90</v>
      </c>
      <c r="D487" s="1">
        <v>2187.448852</v>
      </c>
      <c r="E487" s="1">
        <v>4055.2080000000001</v>
      </c>
      <c r="F487" s="1">
        <v>1775.095</v>
      </c>
      <c r="G487" s="1"/>
      <c r="H487" s="1"/>
    </row>
    <row r="488" spans="1:8" x14ac:dyDescent="0.35">
      <c r="A488" s="1" t="s">
        <v>19</v>
      </c>
      <c r="B488" s="1" t="s">
        <v>83</v>
      </c>
      <c r="C488" s="1" t="s">
        <v>90</v>
      </c>
      <c r="D488" s="1">
        <v>4446.8769549999997</v>
      </c>
      <c r="E488" s="1">
        <v>4141.6880000000001</v>
      </c>
      <c r="F488" s="1">
        <v>1360.8869999999999</v>
      </c>
      <c r="G488" s="1"/>
      <c r="H488" s="1"/>
    </row>
    <row r="489" spans="1:8" x14ac:dyDescent="0.35">
      <c r="A489" s="1" t="s">
        <v>19</v>
      </c>
      <c r="B489" s="1" t="s">
        <v>84</v>
      </c>
      <c r="C489" s="1" t="s">
        <v>90</v>
      </c>
      <c r="D489" s="1">
        <v>266.54002539999999</v>
      </c>
      <c r="E489" s="1">
        <v>972.06700000000001</v>
      </c>
      <c r="F489" s="1">
        <v>459.96899999999999</v>
      </c>
      <c r="G489" s="1"/>
      <c r="H489" s="1"/>
    </row>
    <row r="490" spans="1:8" x14ac:dyDescent="0.35">
      <c r="A490" s="1" t="s">
        <v>19</v>
      </c>
      <c r="B490" s="1" t="s">
        <v>85</v>
      </c>
      <c r="C490" s="1" t="s">
        <v>90</v>
      </c>
      <c r="D490" s="1">
        <v>2036.941775</v>
      </c>
      <c r="E490" s="1">
        <v>777.072</v>
      </c>
      <c r="F490" s="1">
        <v>193.17099999999999</v>
      </c>
      <c r="G490" s="1"/>
      <c r="H490" s="1"/>
    </row>
    <row r="491" spans="1:8" x14ac:dyDescent="0.35">
      <c r="A491" s="1" t="s">
        <v>19</v>
      </c>
      <c r="B491" s="1" t="s">
        <v>86</v>
      </c>
      <c r="C491" s="1" t="s">
        <v>90</v>
      </c>
      <c r="D491" s="1">
        <v>1183.159042</v>
      </c>
      <c r="E491" s="1">
        <v>994.20699999999999</v>
      </c>
      <c r="F491" s="1">
        <v>305.68400000000003</v>
      </c>
      <c r="G491" s="1">
        <v>10604.19133</v>
      </c>
      <c r="H491" s="1">
        <v>3260.41923</v>
      </c>
    </row>
    <row r="492" spans="1:8" x14ac:dyDescent="0.35">
      <c r="A492" s="1" t="s">
        <v>20</v>
      </c>
      <c r="B492" s="1" t="s">
        <v>89</v>
      </c>
      <c r="C492" s="1" t="s">
        <v>90</v>
      </c>
      <c r="D492" s="1">
        <v>6791.2008729999998</v>
      </c>
      <c r="E492" s="1">
        <v>1291.682</v>
      </c>
      <c r="F492" s="1">
        <v>232.512</v>
      </c>
      <c r="G492" s="1"/>
      <c r="H492" s="1">
        <v>14404.497230000001</v>
      </c>
    </row>
    <row r="493" spans="1:8" x14ac:dyDescent="0.35">
      <c r="A493" s="1" t="s">
        <v>20</v>
      </c>
      <c r="B493" s="1" t="s">
        <v>91</v>
      </c>
      <c r="C493" s="1" t="s">
        <v>90</v>
      </c>
      <c r="D493" s="1">
        <v>2381.2600000000002</v>
      </c>
      <c r="E493" s="1">
        <v>21703.606</v>
      </c>
      <c r="F493" s="1">
        <v>10851.803</v>
      </c>
      <c r="G493" s="1"/>
      <c r="H493" s="1"/>
    </row>
    <row r="494" spans="1:8" x14ac:dyDescent="0.35">
      <c r="A494" s="1" t="s">
        <v>20</v>
      </c>
      <c r="B494" s="1" t="s">
        <v>82</v>
      </c>
      <c r="C494" s="1" t="s">
        <v>90</v>
      </c>
      <c r="D494" s="1">
        <v>2275.7915680000001</v>
      </c>
      <c r="E494" s="1">
        <v>2872.221</v>
      </c>
      <c r="F494" s="1">
        <v>1387.713</v>
      </c>
      <c r="G494" s="1"/>
      <c r="H494" s="1"/>
    </row>
    <row r="495" spans="1:8" x14ac:dyDescent="0.35">
      <c r="A495" s="1" t="s">
        <v>20</v>
      </c>
      <c r="B495" s="1" t="s">
        <v>83</v>
      </c>
      <c r="C495" s="1" t="s">
        <v>90</v>
      </c>
      <c r="D495" s="1">
        <v>5461.1799769999998</v>
      </c>
      <c r="E495" s="1">
        <v>3563.806</v>
      </c>
      <c r="F495" s="1">
        <v>1356.644</v>
      </c>
      <c r="G495" s="1"/>
      <c r="H495" s="1"/>
    </row>
    <row r="496" spans="1:8" x14ac:dyDescent="0.35">
      <c r="A496" s="1" t="s">
        <v>20</v>
      </c>
      <c r="B496" s="1" t="s">
        <v>84</v>
      </c>
      <c r="C496" s="1" t="s">
        <v>90</v>
      </c>
      <c r="D496" s="1">
        <v>368.64032859999998</v>
      </c>
      <c r="E496" s="1">
        <v>814.63</v>
      </c>
      <c r="F496" s="1">
        <v>404.39400000000001</v>
      </c>
      <c r="G496" s="1"/>
      <c r="H496" s="1"/>
    </row>
    <row r="497" spans="1:8" x14ac:dyDescent="0.35">
      <c r="A497" s="1" t="s">
        <v>20</v>
      </c>
      <c r="B497" s="1" t="s">
        <v>85</v>
      </c>
      <c r="C497" s="1" t="s">
        <v>90</v>
      </c>
      <c r="D497" s="1">
        <v>819.81147109999995</v>
      </c>
      <c r="E497" s="1">
        <v>265.25799999999998</v>
      </c>
      <c r="F497" s="1">
        <v>64.152000000000001</v>
      </c>
      <c r="G497" s="1"/>
      <c r="H497" s="1"/>
    </row>
    <row r="498" spans="1:8" x14ac:dyDescent="0.35">
      <c r="A498" s="1" t="s">
        <v>20</v>
      </c>
      <c r="B498" s="1" t="s">
        <v>86</v>
      </c>
      <c r="C498" s="1" t="s">
        <v>90</v>
      </c>
      <c r="D498" s="1">
        <v>4715.2889839999998</v>
      </c>
      <c r="E498" s="1">
        <v>2471.02</v>
      </c>
      <c r="F498" s="1">
        <v>646.90899999999999</v>
      </c>
      <c r="G498" s="1">
        <v>19969.732929999998</v>
      </c>
      <c r="H498" s="1">
        <v>5228.043463</v>
      </c>
    </row>
    <row r="499" spans="1:8" x14ac:dyDescent="0.35">
      <c r="A499" s="1" t="s">
        <v>21</v>
      </c>
      <c r="B499" s="1" t="s">
        <v>89</v>
      </c>
      <c r="C499" s="1" t="s">
        <v>90</v>
      </c>
      <c r="D499" s="1">
        <v>9795.5677950000008</v>
      </c>
      <c r="E499" s="1">
        <v>1856.971</v>
      </c>
      <c r="F499" s="1">
        <v>413.44200000000001</v>
      </c>
      <c r="G499" s="1"/>
      <c r="H499" s="1">
        <v>14452.12232</v>
      </c>
    </row>
    <row r="500" spans="1:8" x14ac:dyDescent="0.35">
      <c r="A500" s="1" t="s">
        <v>21</v>
      </c>
      <c r="B500" s="1" t="s">
        <v>91</v>
      </c>
      <c r="C500" s="1" t="s">
        <v>90</v>
      </c>
      <c r="D500" s="1">
        <v>2065.7828399999999</v>
      </c>
      <c r="E500" s="1">
        <v>34713.887999999999</v>
      </c>
      <c r="F500" s="1">
        <v>17356.944</v>
      </c>
      <c r="G500" s="1"/>
      <c r="H500" s="1"/>
    </row>
    <row r="501" spans="1:8" x14ac:dyDescent="0.35">
      <c r="A501" s="1" t="s">
        <v>21</v>
      </c>
      <c r="B501" s="1" t="s">
        <v>82</v>
      </c>
      <c r="C501" s="1" t="s">
        <v>90</v>
      </c>
      <c r="D501" s="1">
        <v>4096.3512300000002</v>
      </c>
      <c r="E501" s="1">
        <v>4755.8140000000003</v>
      </c>
      <c r="F501" s="1">
        <v>2316.7190000000001</v>
      </c>
      <c r="G501" s="1"/>
      <c r="H501" s="1"/>
    </row>
    <row r="502" spans="1:8" x14ac:dyDescent="0.35">
      <c r="A502" s="1" t="s">
        <v>21</v>
      </c>
      <c r="B502" s="1" t="s">
        <v>83</v>
      </c>
      <c r="C502" s="1" t="s">
        <v>90</v>
      </c>
      <c r="D502" s="1">
        <v>6719.3323229999996</v>
      </c>
      <c r="E502" s="1">
        <v>4587.2259999999997</v>
      </c>
      <c r="F502" s="1">
        <v>1833.2819999999999</v>
      </c>
      <c r="G502" s="1"/>
      <c r="H502" s="1"/>
    </row>
    <row r="503" spans="1:8" x14ac:dyDescent="0.35">
      <c r="A503" s="1" t="s">
        <v>21</v>
      </c>
      <c r="B503" s="1" t="s">
        <v>84</v>
      </c>
      <c r="C503" s="1" t="s">
        <v>90</v>
      </c>
      <c r="D503" s="1">
        <v>1122.540853</v>
      </c>
      <c r="E503" s="1">
        <v>2096.268</v>
      </c>
      <c r="F503" s="1">
        <v>1040.3219999999999</v>
      </c>
      <c r="G503" s="1"/>
      <c r="H503" s="1"/>
    </row>
    <row r="504" spans="1:8" x14ac:dyDescent="0.35">
      <c r="A504" s="1" t="s">
        <v>21</v>
      </c>
      <c r="B504" s="1" t="s">
        <v>85</v>
      </c>
      <c r="C504" s="1" t="s">
        <v>90</v>
      </c>
      <c r="D504" s="1">
        <v>1007.964274</v>
      </c>
      <c r="E504" s="1">
        <v>355.69200000000001</v>
      </c>
      <c r="F504" s="1">
        <v>100.54</v>
      </c>
      <c r="G504" s="1"/>
      <c r="H504" s="1"/>
    </row>
    <row r="505" spans="1:8" x14ac:dyDescent="0.35">
      <c r="A505" s="1" t="s">
        <v>21</v>
      </c>
      <c r="B505" s="1" t="s">
        <v>86</v>
      </c>
      <c r="C505" s="1" t="s">
        <v>90</v>
      </c>
      <c r="D505" s="1">
        <v>6754.4814560000004</v>
      </c>
      <c r="E505" s="1">
        <v>3291.5590000000002</v>
      </c>
      <c r="F505" s="1">
        <v>944.67100000000005</v>
      </c>
      <c r="G505" s="1">
        <v>19589.284149999999</v>
      </c>
      <c r="H505" s="1">
        <v>5622.0862660000003</v>
      </c>
    </row>
    <row r="506" spans="1:8" x14ac:dyDescent="0.35">
      <c r="A506" s="1" t="s">
        <v>22</v>
      </c>
      <c r="B506" s="1" t="s">
        <v>89</v>
      </c>
      <c r="C506" s="1" t="s">
        <v>90</v>
      </c>
      <c r="D506" s="1">
        <v>1280.1016910000001</v>
      </c>
      <c r="E506" s="1">
        <v>374.31</v>
      </c>
      <c r="F506" s="1">
        <v>86.98</v>
      </c>
      <c r="G506" s="1"/>
      <c r="H506" s="1">
        <v>9369.5811520000007</v>
      </c>
    </row>
    <row r="507" spans="1:8" x14ac:dyDescent="0.35">
      <c r="A507" s="1" t="s">
        <v>22</v>
      </c>
      <c r="B507" s="1" t="s">
        <v>91</v>
      </c>
      <c r="C507" s="1" t="s">
        <v>90</v>
      </c>
      <c r="D507" s="1">
        <v>462.68970000000002</v>
      </c>
      <c r="E507" s="1">
        <v>4313.7380000000003</v>
      </c>
      <c r="F507" s="1">
        <v>2156.8690000000001</v>
      </c>
      <c r="G507" s="1"/>
      <c r="H507" s="1"/>
    </row>
    <row r="508" spans="1:8" x14ac:dyDescent="0.35">
      <c r="A508" s="1" t="s">
        <v>22</v>
      </c>
      <c r="B508" s="1" t="s">
        <v>82</v>
      </c>
      <c r="C508" s="1" t="s">
        <v>90</v>
      </c>
      <c r="D508" s="1">
        <v>953.74673740000003</v>
      </c>
      <c r="E508" s="1">
        <v>1032.6179999999999</v>
      </c>
      <c r="F508" s="1">
        <v>509.20600000000002</v>
      </c>
      <c r="G508" s="1"/>
      <c r="H508" s="1"/>
    </row>
    <row r="509" spans="1:8" x14ac:dyDescent="0.35">
      <c r="A509" s="1" t="s">
        <v>22</v>
      </c>
      <c r="B509" s="1" t="s">
        <v>83</v>
      </c>
      <c r="C509" s="1" t="s">
        <v>90</v>
      </c>
      <c r="D509" s="1">
        <v>1005.622933</v>
      </c>
      <c r="E509" s="1">
        <v>590.93899999999996</v>
      </c>
      <c r="F509" s="1">
        <v>247.374</v>
      </c>
      <c r="G509" s="1"/>
      <c r="H509" s="1"/>
    </row>
    <row r="510" spans="1:8" x14ac:dyDescent="0.35">
      <c r="A510" s="1" t="s">
        <v>22</v>
      </c>
      <c r="B510" s="1" t="s">
        <v>84</v>
      </c>
      <c r="C510" s="1" t="s">
        <v>90</v>
      </c>
      <c r="D510" s="1">
        <v>83.826504080000007</v>
      </c>
      <c r="E510" s="1">
        <v>141.154</v>
      </c>
      <c r="F510" s="1">
        <v>70.656999999999996</v>
      </c>
      <c r="G510" s="1"/>
      <c r="H510" s="1"/>
    </row>
    <row r="511" spans="1:8" x14ac:dyDescent="0.35">
      <c r="A511" s="1" t="s">
        <v>22</v>
      </c>
      <c r="B511" s="1" t="s">
        <v>85</v>
      </c>
      <c r="C511" s="1" t="s">
        <v>90</v>
      </c>
      <c r="D511" s="1">
        <v>137.8726589</v>
      </c>
      <c r="E511" s="1">
        <v>60.078000000000003</v>
      </c>
      <c r="F511" s="1">
        <v>16.329999999999998</v>
      </c>
      <c r="G511" s="1"/>
      <c r="H511" s="1"/>
    </row>
    <row r="512" spans="1:8" x14ac:dyDescent="0.35">
      <c r="A512" s="1" t="s">
        <v>22</v>
      </c>
      <c r="B512" s="1" t="s">
        <v>86</v>
      </c>
      <c r="C512" s="1" t="s">
        <v>90</v>
      </c>
      <c r="D512" s="1">
        <v>696.45867099999998</v>
      </c>
      <c r="E512" s="1">
        <v>344.315</v>
      </c>
      <c r="F512" s="1">
        <v>130.244</v>
      </c>
      <c r="G512" s="1">
        <v>14650.240690000001</v>
      </c>
      <c r="H512" s="1">
        <v>5541.7450529999996</v>
      </c>
    </row>
    <row r="513" spans="1:8" x14ac:dyDescent="0.35">
      <c r="A513" s="1" t="s">
        <v>23</v>
      </c>
      <c r="B513" s="1" t="s">
        <v>89</v>
      </c>
      <c r="C513" s="1" t="s">
        <v>90</v>
      </c>
      <c r="D513" s="1">
        <v>15858.952090000001</v>
      </c>
      <c r="E513" s="1">
        <v>2149.4740000000002</v>
      </c>
      <c r="F513" s="1">
        <v>337.90100000000001</v>
      </c>
      <c r="G513" s="1"/>
      <c r="H513" s="1">
        <v>20213.868050000001</v>
      </c>
    </row>
    <row r="514" spans="1:8" x14ac:dyDescent="0.35">
      <c r="A514" s="1" t="s">
        <v>23</v>
      </c>
      <c r="B514" s="1" t="s">
        <v>91</v>
      </c>
      <c r="C514" s="1" t="s">
        <v>90</v>
      </c>
      <c r="D514" s="1">
        <v>3242.2950000000001</v>
      </c>
      <c r="E514" s="1">
        <v>26273.38</v>
      </c>
      <c r="F514" s="1">
        <v>13136.69</v>
      </c>
      <c r="G514" s="1"/>
      <c r="H514" s="1"/>
    </row>
    <row r="515" spans="1:8" x14ac:dyDescent="0.35">
      <c r="A515" s="1" t="s">
        <v>23</v>
      </c>
      <c r="B515" s="1" t="s">
        <v>82</v>
      </c>
      <c r="C515" s="1" t="s">
        <v>90</v>
      </c>
      <c r="D515" s="1">
        <v>4275.0522099999998</v>
      </c>
      <c r="E515" s="1">
        <v>4023.8310000000001</v>
      </c>
      <c r="F515" s="1">
        <v>1856.604</v>
      </c>
      <c r="G515" s="1"/>
      <c r="H515" s="1"/>
    </row>
    <row r="516" spans="1:8" x14ac:dyDescent="0.35">
      <c r="A516" s="1" t="s">
        <v>23</v>
      </c>
      <c r="B516" s="1" t="s">
        <v>83</v>
      </c>
      <c r="C516" s="1" t="s">
        <v>90</v>
      </c>
      <c r="D516" s="1">
        <v>7683.5065199999999</v>
      </c>
      <c r="E516" s="1">
        <v>4081.91</v>
      </c>
      <c r="F516" s="1">
        <v>1581.162</v>
      </c>
      <c r="G516" s="1"/>
      <c r="H516" s="1"/>
    </row>
    <row r="517" spans="1:8" x14ac:dyDescent="0.35">
      <c r="A517" s="1" t="s">
        <v>23</v>
      </c>
      <c r="B517" s="1" t="s">
        <v>84</v>
      </c>
      <c r="C517" s="1" t="s">
        <v>90</v>
      </c>
      <c r="D517" s="1">
        <v>725.38807020000002</v>
      </c>
      <c r="E517" s="1">
        <v>1106.547</v>
      </c>
      <c r="F517" s="1">
        <v>542.99599999999998</v>
      </c>
      <c r="G517" s="1"/>
      <c r="H517" s="1"/>
    </row>
    <row r="518" spans="1:8" x14ac:dyDescent="0.35">
      <c r="A518" s="1" t="s">
        <v>23</v>
      </c>
      <c r="B518" s="1" t="s">
        <v>85</v>
      </c>
      <c r="C518" s="1" t="s">
        <v>90</v>
      </c>
      <c r="D518" s="1">
        <v>6939.3375130000004</v>
      </c>
      <c r="E518" s="1">
        <v>1419.068</v>
      </c>
      <c r="F518" s="1">
        <v>310.77800000000002</v>
      </c>
      <c r="G518" s="1"/>
      <c r="H518" s="1"/>
    </row>
    <row r="519" spans="1:8" x14ac:dyDescent="0.35">
      <c r="A519" s="1" t="s">
        <v>23</v>
      </c>
      <c r="B519" s="1" t="s">
        <v>86</v>
      </c>
      <c r="C519" s="1" t="s">
        <v>90</v>
      </c>
      <c r="D519" s="1">
        <v>10778.942129999999</v>
      </c>
      <c r="E519" s="1">
        <v>4051.5210000000002</v>
      </c>
      <c r="F519" s="1">
        <v>1024.144</v>
      </c>
      <c r="G519" s="1">
        <v>28835.15238</v>
      </c>
      <c r="H519" s="1">
        <v>7288.9535310000001</v>
      </c>
    </row>
    <row r="520" spans="1:8" x14ac:dyDescent="0.35">
      <c r="A520" s="1" t="s">
        <v>24</v>
      </c>
      <c r="B520" s="1" t="s">
        <v>89</v>
      </c>
      <c r="C520" s="1" t="s">
        <v>90</v>
      </c>
      <c r="D520" s="1">
        <v>17265.662899999999</v>
      </c>
      <c r="E520" s="1">
        <v>2897.451</v>
      </c>
      <c r="F520" s="1">
        <v>506.33600000000001</v>
      </c>
      <c r="G520" s="1"/>
      <c r="H520" s="1">
        <v>16325.79327</v>
      </c>
    </row>
    <row r="521" spans="1:8" x14ac:dyDescent="0.35">
      <c r="A521" s="1" t="s">
        <v>24</v>
      </c>
      <c r="B521" s="1" t="s">
        <v>91</v>
      </c>
      <c r="C521" s="1" t="s">
        <v>90</v>
      </c>
      <c r="D521" s="1">
        <v>8074.3219499999996</v>
      </c>
      <c r="E521" s="1">
        <v>41366.097999999998</v>
      </c>
      <c r="F521" s="1">
        <v>20683.048999999999</v>
      </c>
      <c r="G521" s="1"/>
      <c r="H521" s="1"/>
    </row>
    <row r="522" spans="1:8" x14ac:dyDescent="0.35">
      <c r="A522" s="1" t="s">
        <v>24</v>
      </c>
      <c r="B522" s="1" t="s">
        <v>82</v>
      </c>
      <c r="C522" s="1" t="s">
        <v>90</v>
      </c>
      <c r="D522" s="1">
        <v>4514.2413560000005</v>
      </c>
      <c r="E522" s="1">
        <v>6169</v>
      </c>
      <c r="F522" s="1">
        <v>3072.1039999999998</v>
      </c>
      <c r="G522" s="1"/>
      <c r="H522" s="1"/>
    </row>
    <row r="523" spans="1:8" x14ac:dyDescent="0.35">
      <c r="A523" s="1" t="s">
        <v>24</v>
      </c>
      <c r="B523" s="1" t="s">
        <v>83</v>
      </c>
      <c r="C523" s="1" t="s">
        <v>90</v>
      </c>
      <c r="D523" s="1">
        <v>12524.610839999999</v>
      </c>
      <c r="E523" s="1">
        <v>8432.2510000000002</v>
      </c>
      <c r="F523" s="1">
        <v>4036.9650000000001</v>
      </c>
      <c r="G523" s="1"/>
      <c r="H523" s="1"/>
    </row>
    <row r="524" spans="1:8" x14ac:dyDescent="0.35">
      <c r="A524" s="1" t="s">
        <v>24</v>
      </c>
      <c r="B524" s="1" t="s">
        <v>84</v>
      </c>
      <c r="C524" s="1" t="s">
        <v>90</v>
      </c>
      <c r="D524" s="1">
        <v>0</v>
      </c>
      <c r="E524" s="1">
        <v>0</v>
      </c>
      <c r="F524" s="1">
        <v>0</v>
      </c>
      <c r="G524" s="1"/>
      <c r="H524" s="1"/>
    </row>
    <row r="525" spans="1:8" x14ac:dyDescent="0.35">
      <c r="A525" s="1" t="s">
        <v>24</v>
      </c>
      <c r="B525" s="1" t="s">
        <v>85</v>
      </c>
      <c r="C525" s="1" t="s">
        <v>90</v>
      </c>
      <c r="D525" s="1">
        <v>6688.8317790000001</v>
      </c>
      <c r="E525" s="1">
        <v>1363.9459999999999</v>
      </c>
      <c r="F525" s="1">
        <v>324.06400000000002</v>
      </c>
      <c r="G525" s="1"/>
      <c r="H525" s="1"/>
    </row>
    <row r="526" spans="1:8" x14ac:dyDescent="0.35">
      <c r="A526" s="1" t="s">
        <v>24</v>
      </c>
      <c r="B526" s="1" t="s">
        <v>86</v>
      </c>
      <c r="C526" s="1" t="s">
        <v>90</v>
      </c>
      <c r="D526" s="1">
        <v>12769.75029</v>
      </c>
      <c r="E526" s="1">
        <v>4930.9369999999999</v>
      </c>
      <c r="F526" s="1">
        <v>1977.4480000000001</v>
      </c>
      <c r="G526" s="1">
        <v>17692.307069999999</v>
      </c>
      <c r="H526" s="1">
        <v>7095.1255769999998</v>
      </c>
    </row>
    <row r="527" spans="1:8" x14ac:dyDescent="0.35">
      <c r="A527" s="1" t="s">
        <v>25</v>
      </c>
      <c r="B527" s="1" t="s">
        <v>89</v>
      </c>
      <c r="C527" s="1" t="s">
        <v>90</v>
      </c>
      <c r="D527" s="1">
        <v>17726.66894</v>
      </c>
      <c r="E527" s="1">
        <v>3671.8009999999999</v>
      </c>
      <c r="F527" s="1">
        <v>676.10299999999995</v>
      </c>
      <c r="G527" s="1"/>
      <c r="H527" s="1">
        <v>13226.81057</v>
      </c>
    </row>
    <row r="528" spans="1:8" x14ac:dyDescent="0.35">
      <c r="A528" s="1" t="s">
        <v>25</v>
      </c>
      <c r="B528" s="1" t="s">
        <v>91</v>
      </c>
      <c r="C528" s="1" t="s">
        <v>90</v>
      </c>
      <c r="D528" s="1">
        <v>7797.4822299999996</v>
      </c>
      <c r="E528" s="1">
        <v>51276.284</v>
      </c>
      <c r="F528" s="1">
        <v>25638.142</v>
      </c>
      <c r="G528" s="1"/>
      <c r="H528" s="1"/>
    </row>
    <row r="529" spans="1:8" x14ac:dyDescent="0.35">
      <c r="A529" s="1" t="s">
        <v>25</v>
      </c>
      <c r="B529" s="1" t="s">
        <v>82</v>
      </c>
      <c r="C529" s="1" t="s">
        <v>90</v>
      </c>
      <c r="D529" s="1">
        <v>5204.954761</v>
      </c>
      <c r="E529" s="1">
        <v>8102.2479999999996</v>
      </c>
      <c r="F529" s="1">
        <v>3918.6280000000002</v>
      </c>
      <c r="G529" s="1"/>
      <c r="H529" s="1"/>
    </row>
    <row r="530" spans="1:8" x14ac:dyDescent="0.35">
      <c r="A530" s="1" t="s">
        <v>25</v>
      </c>
      <c r="B530" s="1" t="s">
        <v>83</v>
      </c>
      <c r="C530" s="1" t="s">
        <v>90</v>
      </c>
      <c r="D530" s="1">
        <v>15945.36141</v>
      </c>
      <c r="E530" s="1">
        <v>12093.504999999999</v>
      </c>
      <c r="F530" s="1">
        <v>4943.277</v>
      </c>
      <c r="G530" s="1"/>
      <c r="H530" s="1"/>
    </row>
    <row r="531" spans="1:8" x14ac:dyDescent="0.35">
      <c r="A531" s="1" t="s">
        <v>25</v>
      </c>
      <c r="B531" s="1" t="s">
        <v>84</v>
      </c>
      <c r="C531" s="1" t="s">
        <v>90</v>
      </c>
      <c r="D531" s="1">
        <v>102.0230502</v>
      </c>
      <c r="E531" s="1">
        <v>256.78100000000001</v>
      </c>
      <c r="F531" s="1">
        <v>126.331</v>
      </c>
      <c r="G531" s="1"/>
      <c r="H531" s="1"/>
    </row>
    <row r="532" spans="1:8" x14ac:dyDescent="0.35">
      <c r="A532" s="1" t="s">
        <v>25</v>
      </c>
      <c r="B532" s="1" t="s">
        <v>85</v>
      </c>
      <c r="C532" s="1" t="s">
        <v>90</v>
      </c>
      <c r="D532" s="1">
        <v>6484.6748010000001</v>
      </c>
      <c r="E532" s="1">
        <v>1580.7750000000001</v>
      </c>
      <c r="F532" s="1">
        <v>353.65800000000002</v>
      </c>
      <c r="G532" s="1"/>
      <c r="H532" s="1"/>
    </row>
    <row r="533" spans="1:8" x14ac:dyDescent="0.35">
      <c r="A533" s="1" t="s">
        <v>25</v>
      </c>
      <c r="B533" s="1" t="s">
        <v>86</v>
      </c>
      <c r="C533" s="1" t="s">
        <v>90</v>
      </c>
      <c r="D533" s="1">
        <v>17630.33092</v>
      </c>
      <c r="E533" s="1">
        <v>8856.0609999999997</v>
      </c>
      <c r="F533" s="1">
        <v>2363.2060000000001</v>
      </c>
      <c r="G533" s="1">
        <v>20439.300050000002</v>
      </c>
      <c r="H533" s="1">
        <v>5454.1490290000002</v>
      </c>
    </row>
    <row r="534" spans="1:8" x14ac:dyDescent="0.35">
      <c r="A534" s="1" t="s">
        <v>26</v>
      </c>
      <c r="B534" s="1" t="s">
        <v>89</v>
      </c>
      <c r="C534" s="1" t="s">
        <v>90</v>
      </c>
      <c r="D534" s="1">
        <v>9024.0022630000003</v>
      </c>
      <c r="E534" s="1">
        <v>1736.71</v>
      </c>
      <c r="F534" s="1">
        <v>325.41800000000001</v>
      </c>
      <c r="G534" s="1"/>
      <c r="H534" s="1">
        <v>14235.70652</v>
      </c>
    </row>
    <row r="535" spans="1:8" x14ac:dyDescent="0.35">
      <c r="A535" s="1" t="s">
        <v>26</v>
      </c>
      <c r="B535" s="1" t="s">
        <v>91</v>
      </c>
      <c r="C535" s="1" t="s">
        <v>90</v>
      </c>
      <c r="D535" s="1">
        <v>4784.0980799999998</v>
      </c>
      <c r="E535" s="1">
        <v>32999.712</v>
      </c>
      <c r="F535" s="1">
        <v>16499.856</v>
      </c>
      <c r="G535" s="1"/>
      <c r="H535" s="1"/>
    </row>
    <row r="536" spans="1:8" x14ac:dyDescent="0.35">
      <c r="A536" s="1" t="s">
        <v>26</v>
      </c>
      <c r="B536" s="1" t="s">
        <v>82</v>
      </c>
      <c r="C536" s="1" t="s">
        <v>90</v>
      </c>
      <c r="D536" s="1">
        <v>2996.607649</v>
      </c>
      <c r="E536" s="1">
        <v>4690.5739999999996</v>
      </c>
      <c r="F536" s="1">
        <v>2208.5569999999998</v>
      </c>
      <c r="G536" s="1"/>
      <c r="H536" s="1"/>
    </row>
    <row r="537" spans="1:8" x14ac:dyDescent="0.35">
      <c r="A537" s="1" t="s">
        <v>26</v>
      </c>
      <c r="B537" s="1" t="s">
        <v>83</v>
      </c>
      <c r="C537" s="1" t="s">
        <v>90</v>
      </c>
      <c r="D537" s="1">
        <v>9553.9591720000008</v>
      </c>
      <c r="E537" s="1">
        <v>7104.8320000000003</v>
      </c>
      <c r="F537" s="1">
        <v>2569.0169999999998</v>
      </c>
      <c r="G537" s="1"/>
      <c r="H537" s="1"/>
    </row>
    <row r="538" spans="1:8" x14ac:dyDescent="0.35">
      <c r="A538" s="1" t="s">
        <v>26</v>
      </c>
      <c r="B538" s="1" t="s">
        <v>84</v>
      </c>
      <c r="C538" s="1" t="s">
        <v>90</v>
      </c>
      <c r="D538" s="1">
        <v>472.08699999999999</v>
      </c>
      <c r="E538" s="1">
        <v>1620.9870000000001</v>
      </c>
      <c r="F538" s="1">
        <v>801.779</v>
      </c>
      <c r="G538" s="1"/>
      <c r="H538" s="1"/>
    </row>
    <row r="539" spans="1:8" x14ac:dyDescent="0.35">
      <c r="A539" s="1" t="s">
        <v>26</v>
      </c>
      <c r="B539" s="1" t="s">
        <v>85</v>
      </c>
      <c r="C539" s="1" t="s">
        <v>90</v>
      </c>
      <c r="D539" s="1">
        <v>4547.5868650000002</v>
      </c>
      <c r="E539" s="1">
        <v>962.66399999999999</v>
      </c>
      <c r="F539" s="1">
        <v>220.357</v>
      </c>
      <c r="G539" s="1"/>
      <c r="H539" s="1"/>
    </row>
    <row r="540" spans="1:8" x14ac:dyDescent="0.35">
      <c r="A540" s="1" t="s">
        <v>26</v>
      </c>
      <c r="B540" s="1" t="s">
        <v>86</v>
      </c>
      <c r="C540" s="1" t="s">
        <v>90</v>
      </c>
      <c r="D540" s="1">
        <v>4525.4766630000004</v>
      </c>
      <c r="E540" s="1">
        <v>2205.1060000000002</v>
      </c>
      <c r="F540" s="1">
        <v>618.399</v>
      </c>
      <c r="G540" s="1">
        <v>20049.460299999999</v>
      </c>
      <c r="H540" s="1">
        <v>5622.6622209999996</v>
      </c>
    </row>
    <row r="541" spans="1:8" x14ac:dyDescent="0.35">
      <c r="A541" s="1" t="s">
        <v>27</v>
      </c>
      <c r="B541" s="1" t="s">
        <v>89</v>
      </c>
      <c r="C541" s="1" t="s">
        <v>90</v>
      </c>
      <c r="D541" s="1">
        <v>4391.1990990000004</v>
      </c>
      <c r="E541" s="1">
        <v>1155.875</v>
      </c>
      <c r="F541" s="1">
        <v>253.10499999999999</v>
      </c>
      <c r="G541" s="1"/>
      <c r="H541" s="1">
        <v>10408.290220000001</v>
      </c>
    </row>
    <row r="542" spans="1:8" x14ac:dyDescent="0.35">
      <c r="A542" s="1" t="s">
        <v>27</v>
      </c>
      <c r="B542" s="1" t="s">
        <v>91</v>
      </c>
      <c r="C542" s="1" t="s">
        <v>90</v>
      </c>
      <c r="D542" s="1">
        <v>2619.8579500000001</v>
      </c>
      <c r="E542" s="1">
        <v>18234.437999999998</v>
      </c>
      <c r="F542" s="1">
        <v>9117.2189999999991</v>
      </c>
      <c r="G542" s="1"/>
      <c r="H542" s="1"/>
    </row>
    <row r="543" spans="1:8" x14ac:dyDescent="0.35">
      <c r="A543" s="1" t="s">
        <v>27</v>
      </c>
      <c r="B543" s="1" t="s">
        <v>82</v>
      </c>
      <c r="C543" s="1" t="s">
        <v>90</v>
      </c>
      <c r="D543" s="1">
        <v>1766.721483</v>
      </c>
      <c r="E543" s="1">
        <v>3287.0259999999998</v>
      </c>
      <c r="F543" s="1">
        <v>1580.7139999999999</v>
      </c>
      <c r="G543" s="1"/>
      <c r="H543" s="1"/>
    </row>
    <row r="544" spans="1:8" x14ac:dyDescent="0.35">
      <c r="A544" s="1" t="s">
        <v>27</v>
      </c>
      <c r="B544" s="1" t="s">
        <v>83</v>
      </c>
      <c r="C544" s="1" t="s">
        <v>90</v>
      </c>
      <c r="D544" s="1">
        <v>2615.2489409999998</v>
      </c>
      <c r="E544" s="1">
        <v>2603.239</v>
      </c>
      <c r="F544" s="1">
        <v>1091.7760000000001</v>
      </c>
      <c r="G544" s="1"/>
      <c r="H544" s="1"/>
    </row>
    <row r="545" spans="1:8" x14ac:dyDescent="0.35">
      <c r="A545" s="1" t="s">
        <v>27</v>
      </c>
      <c r="B545" s="1" t="s">
        <v>84</v>
      </c>
      <c r="C545" s="1" t="s">
        <v>90</v>
      </c>
      <c r="D545" s="1">
        <v>5.144911885</v>
      </c>
      <c r="E545" s="1">
        <v>20.916</v>
      </c>
      <c r="F545" s="1">
        <v>10.458</v>
      </c>
      <c r="G545" s="1"/>
      <c r="H545" s="1"/>
    </row>
    <row r="546" spans="1:8" x14ac:dyDescent="0.35">
      <c r="A546" s="1" t="s">
        <v>27</v>
      </c>
      <c r="B546" s="1" t="s">
        <v>85</v>
      </c>
      <c r="C546" s="1" t="s">
        <v>90</v>
      </c>
      <c r="D546" s="1">
        <v>527.07099670000002</v>
      </c>
      <c r="E546" s="1">
        <v>251.66800000000001</v>
      </c>
      <c r="F546" s="1">
        <v>63.822000000000003</v>
      </c>
      <c r="G546" s="1"/>
      <c r="H546" s="1"/>
    </row>
    <row r="547" spans="1:8" x14ac:dyDescent="0.35">
      <c r="A547" s="1" t="s">
        <v>27</v>
      </c>
      <c r="B547" s="1" t="s">
        <v>86</v>
      </c>
      <c r="C547" s="1" t="s">
        <v>90</v>
      </c>
      <c r="D547" s="1">
        <v>5170.073292</v>
      </c>
      <c r="E547" s="1">
        <v>3272.7420000000002</v>
      </c>
      <c r="F547" s="1">
        <v>951.84799999999996</v>
      </c>
      <c r="G547" s="1">
        <v>14881.14107</v>
      </c>
      <c r="H547" s="1">
        <v>4328.0479679999999</v>
      </c>
    </row>
    <row r="548" spans="1:8" x14ac:dyDescent="0.35">
      <c r="A548" s="1" t="s">
        <v>28</v>
      </c>
      <c r="B548" s="1" t="s">
        <v>89</v>
      </c>
      <c r="C548" s="1" t="s">
        <v>90</v>
      </c>
      <c r="D548" s="1">
        <v>14376.460150000001</v>
      </c>
      <c r="E548" s="1">
        <v>3124.165</v>
      </c>
      <c r="F548" s="1">
        <v>538.10299999999995</v>
      </c>
      <c r="G548" s="1"/>
      <c r="H548" s="1">
        <v>12607.38855</v>
      </c>
    </row>
    <row r="549" spans="1:8" x14ac:dyDescent="0.35">
      <c r="A549" s="1" t="s">
        <v>28</v>
      </c>
      <c r="B549" s="1" t="s">
        <v>91</v>
      </c>
      <c r="C549" s="1" t="s">
        <v>90</v>
      </c>
      <c r="D549" s="1">
        <v>8705.2317500000008</v>
      </c>
      <c r="E549" s="1">
        <v>35730.186000000002</v>
      </c>
      <c r="F549" s="1">
        <v>17865.093000000001</v>
      </c>
      <c r="G549" s="1"/>
      <c r="H549" s="1"/>
    </row>
    <row r="550" spans="1:8" x14ac:dyDescent="0.35">
      <c r="A550" s="1" t="s">
        <v>28</v>
      </c>
      <c r="B550" s="1" t="s">
        <v>82</v>
      </c>
      <c r="C550" s="1" t="s">
        <v>90</v>
      </c>
      <c r="D550" s="1">
        <v>3311.9749919999999</v>
      </c>
      <c r="E550" s="1">
        <v>5671.47</v>
      </c>
      <c r="F550" s="1">
        <v>2317.779</v>
      </c>
      <c r="G550" s="1"/>
      <c r="H550" s="1"/>
    </row>
    <row r="551" spans="1:8" x14ac:dyDescent="0.35">
      <c r="A551" s="1" t="s">
        <v>28</v>
      </c>
      <c r="B551" s="1" t="s">
        <v>83</v>
      </c>
      <c r="C551" s="1" t="s">
        <v>90</v>
      </c>
      <c r="D551" s="1">
        <v>6637.8436499999998</v>
      </c>
      <c r="E551" s="1">
        <v>5820.1120000000001</v>
      </c>
      <c r="F551" s="1">
        <v>2155.3580000000002</v>
      </c>
      <c r="G551" s="1"/>
      <c r="H551" s="1"/>
    </row>
    <row r="552" spans="1:8" x14ac:dyDescent="0.35">
      <c r="A552" s="1" t="s">
        <v>28</v>
      </c>
      <c r="B552" s="1" t="s">
        <v>84</v>
      </c>
      <c r="C552" s="1" t="s">
        <v>90</v>
      </c>
      <c r="D552" s="1">
        <v>297.56293399999998</v>
      </c>
      <c r="E552" s="1">
        <v>1161.5740000000001</v>
      </c>
      <c r="F552" s="1">
        <v>387.56799999999998</v>
      </c>
      <c r="G552" s="1"/>
      <c r="H552" s="1"/>
    </row>
    <row r="553" spans="1:8" x14ac:dyDescent="0.35">
      <c r="A553" s="1" t="s">
        <v>28</v>
      </c>
      <c r="B553" s="1" t="s">
        <v>85</v>
      </c>
      <c r="C553" s="1" t="s">
        <v>90</v>
      </c>
      <c r="D553" s="1">
        <v>5646.6576459999997</v>
      </c>
      <c r="E553" s="1">
        <v>2229.9479999999999</v>
      </c>
      <c r="F553" s="1">
        <v>494.05900000000003</v>
      </c>
      <c r="G553" s="1"/>
      <c r="H553" s="1"/>
    </row>
    <row r="554" spans="1:8" x14ac:dyDescent="0.35">
      <c r="A554" s="1" t="s">
        <v>28</v>
      </c>
      <c r="B554" s="1" t="s">
        <v>86</v>
      </c>
      <c r="C554" s="1" t="s">
        <v>90</v>
      </c>
      <c r="D554" s="1">
        <v>5682.9373889999997</v>
      </c>
      <c r="E554" s="1">
        <v>3301.8919999999998</v>
      </c>
      <c r="F554" s="1">
        <v>865.89300000000003</v>
      </c>
      <c r="G554" s="1">
        <v>17981.0802</v>
      </c>
      <c r="H554" s="1">
        <v>4715.3848390000003</v>
      </c>
    </row>
    <row r="555" spans="1:8" x14ac:dyDescent="0.35">
      <c r="A555" s="1" t="s">
        <v>29</v>
      </c>
      <c r="B555" s="1" t="s">
        <v>89</v>
      </c>
      <c r="C555" s="1" t="s">
        <v>90</v>
      </c>
      <c r="D555" s="1">
        <v>633.46646039999996</v>
      </c>
      <c r="E555" s="1">
        <v>391.35599999999999</v>
      </c>
      <c r="F555" s="1">
        <v>97.751999999999995</v>
      </c>
      <c r="G555" s="1"/>
      <c r="H555" s="1">
        <v>4434.6440300000004</v>
      </c>
    </row>
    <row r="556" spans="1:8" x14ac:dyDescent="0.35">
      <c r="A556" s="1" t="s">
        <v>29</v>
      </c>
      <c r="B556" s="1" t="s">
        <v>91</v>
      </c>
      <c r="C556" s="1" t="s">
        <v>90</v>
      </c>
      <c r="D556" s="1">
        <v>966.08018000000004</v>
      </c>
      <c r="E556" s="1">
        <v>6340.47</v>
      </c>
      <c r="F556" s="1">
        <v>3170.2350000000001</v>
      </c>
      <c r="G556" s="1"/>
      <c r="H556" s="1"/>
    </row>
    <row r="557" spans="1:8" x14ac:dyDescent="0.35">
      <c r="A557" s="1" t="s">
        <v>29</v>
      </c>
      <c r="B557" s="1" t="s">
        <v>82</v>
      </c>
      <c r="C557" s="1" t="s">
        <v>90</v>
      </c>
      <c r="D557" s="1">
        <v>411.43207489999998</v>
      </c>
      <c r="E557" s="1">
        <v>814.57600000000002</v>
      </c>
      <c r="F557" s="1">
        <v>403.25900000000001</v>
      </c>
      <c r="G557" s="1"/>
      <c r="H557" s="1"/>
    </row>
    <row r="558" spans="1:8" x14ac:dyDescent="0.35">
      <c r="A558" s="1" t="s">
        <v>29</v>
      </c>
      <c r="B558" s="1" t="s">
        <v>83</v>
      </c>
      <c r="C558" s="1" t="s">
        <v>90</v>
      </c>
      <c r="D558" s="1">
        <v>647.71793690000004</v>
      </c>
      <c r="E558" s="1">
        <v>627.98099999999999</v>
      </c>
      <c r="F558" s="1">
        <v>291.57400000000001</v>
      </c>
      <c r="G558" s="1"/>
      <c r="H558" s="1"/>
    </row>
    <row r="559" spans="1:8" x14ac:dyDescent="0.35">
      <c r="A559" s="1" t="s">
        <v>29</v>
      </c>
      <c r="B559" s="1" t="s">
        <v>84</v>
      </c>
      <c r="C559" s="1" t="s">
        <v>90</v>
      </c>
      <c r="D559" s="1">
        <v>28.97587905</v>
      </c>
      <c r="E559" s="1">
        <v>107.98099999999999</v>
      </c>
      <c r="F559" s="1">
        <v>54.307000000000002</v>
      </c>
      <c r="G559" s="1"/>
      <c r="H559" s="1"/>
    </row>
    <row r="560" spans="1:8" x14ac:dyDescent="0.35">
      <c r="A560" s="1" t="s">
        <v>29</v>
      </c>
      <c r="B560" s="1" t="s">
        <v>85</v>
      </c>
      <c r="C560" s="1" t="s">
        <v>90</v>
      </c>
      <c r="D560" s="1">
        <v>0</v>
      </c>
      <c r="E560" s="1">
        <v>0</v>
      </c>
      <c r="F560" s="1">
        <v>0</v>
      </c>
      <c r="G560" s="1"/>
      <c r="H560" s="1"/>
    </row>
    <row r="561" spans="1:8" x14ac:dyDescent="0.35">
      <c r="A561" s="1" t="s">
        <v>29</v>
      </c>
      <c r="B561" s="1" t="s">
        <v>86</v>
      </c>
      <c r="C561" s="1" t="s">
        <v>90</v>
      </c>
      <c r="D561" s="1">
        <v>1263.457136</v>
      </c>
      <c r="E561" s="1">
        <v>837.43799999999999</v>
      </c>
      <c r="F561" s="1">
        <v>257.11399999999998</v>
      </c>
      <c r="G561" s="1">
        <v>13463.002409999999</v>
      </c>
      <c r="H561" s="1">
        <v>4133.4718519999997</v>
      </c>
    </row>
    <row r="562" spans="1:8" x14ac:dyDescent="0.35">
      <c r="A562" s="1" t="s">
        <v>30</v>
      </c>
      <c r="B562" s="1" t="s">
        <v>89</v>
      </c>
      <c r="C562" s="1" t="s">
        <v>90</v>
      </c>
      <c r="D562" s="1">
        <v>1677.236265</v>
      </c>
      <c r="E562" s="1">
        <v>402.38</v>
      </c>
      <c r="F562" s="1">
        <v>68.52</v>
      </c>
      <c r="G562" s="1"/>
      <c r="H562" s="1">
        <v>11419.970799999999</v>
      </c>
    </row>
    <row r="563" spans="1:8" x14ac:dyDescent="0.35">
      <c r="A563" s="1" t="s">
        <v>30</v>
      </c>
      <c r="B563" s="1" t="s">
        <v>91</v>
      </c>
      <c r="C563" s="1" t="s">
        <v>90</v>
      </c>
      <c r="D563" s="1">
        <v>1437.0039099999999</v>
      </c>
      <c r="E563" s="1">
        <v>11844.513999999999</v>
      </c>
      <c r="F563" s="1">
        <v>5922.2569999999996</v>
      </c>
      <c r="G563" s="1"/>
      <c r="H563" s="1"/>
    </row>
    <row r="564" spans="1:8" x14ac:dyDescent="0.35">
      <c r="A564" s="1" t="s">
        <v>30</v>
      </c>
      <c r="B564" s="1" t="s">
        <v>82</v>
      </c>
      <c r="C564" s="1" t="s">
        <v>90</v>
      </c>
      <c r="D564" s="1">
        <v>653.02736919999995</v>
      </c>
      <c r="E564" s="1">
        <v>1356.4659999999999</v>
      </c>
      <c r="F564" s="1">
        <v>651.68299999999999</v>
      </c>
      <c r="G564" s="1"/>
      <c r="H564" s="1"/>
    </row>
    <row r="565" spans="1:8" x14ac:dyDescent="0.35">
      <c r="A565" s="1" t="s">
        <v>30</v>
      </c>
      <c r="B565" s="1" t="s">
        <v>83</v>
      </c>
      <c r="C565" s="1" t="s">
        <v>90</v>
      </c>
      <c r="D565" s="1">
        <v>2476.6226980000001</v>
      </c>
      <c r="E565" s="1">
        <v>2192.5500000000002</v>
      </c>
      <c r="F565" s="1">
        <v>867.34500000000003</v>
      </c>
      <c r="G565" s="1"/>
      <c r="H565" s="1"/>
    </row>
    <row r="566" spans="1:8" x14ac:dyDescent="0.35">
      <c r="A566" s="1" t="s">
        <v>30</v>
      </c>
      <c r="B566" s="1" t="s">
        <v>84</v>
      </c>
      <c r="C566" s="1" t="s">
        <v>90</v>
      </c>
      <c r="D566" s="1">
        <v>37.355892150000003</v>
      </c>
      <c r="E566" s="1">
        <v>143.108</v>
      </c>
      <c r="F566" s="1">
        <v>69.554000000000002</v>
      </c>
      <c r="G566" s="1"/>
      <c r="H566" s="1"/>
    </row>
    <row r="567" spans="1:8" x14ac:dyDescent="0.35">
      <c r="A567" s="1" t="s">
        <v>30</v>
      </c>
      <c r="B567" s="1" t="s">
        <v>85</v>
      </c>
      <c r="C567" s="1" t="s">
        <v>90</v>
      </c>
      <c r="D567" s="1">
        <v>1226.9468690000001</v>
      </c>
      <c r="E567" s="1">
        <v>547.59</v>
      </c>
      <c r="F567" s="1">
        <v>130.31</v>
      </c>
      <c r="G567" s="1"/>
      <c r="H567" s="1"/>
    </row>
    <row r="568" spans="1:8" x14ac:dyDescent="0.35">
      <c r="A568" s="1" t="s">
        <v>30</v>
      </c>
      <c r="B568" s="1" t="s">
        <v>86</v>
      </c>
      <c r="C568" s="1" t="s">
        <v>90</v>
      </c>
      <c r="D568" s="1">
        <v>2070.4219739999999</v>
      </c>
      <c r="E568" s="1">
        <v>1227.02</v>
      </c>
      <c r="F568" s="1">
        <v>325.92</v>
      </c>
      <c r="G568" s="1">
        <v>17404.237140000001</v>
      </c>
      <c r="H568" s="1">
        <v>4622.8985430000002</v>
      </c>
    </row>
    <row r="569" spans="1:8" x14ac:dyDescent="0.35">
      <c r="A569" s="1" t="s">
        <v>31</v>
      </c>
      <c r="B569" s="1" t="s">
        <v>89</v>
      </c>
      <c r="C569" s="1" t="s">
        <v>90</v>
      </c>
      <c r="D569" s="1">
        <v>4681.1479429999999</v>
      </c>
      <c r="E569" s="1">
        <v>847.64700000000005</v>
      </c>
      <c r="F569" s="1">
        <v>162.91900000000001</v>
      </c>
      <c r="G569" s="1"/>
      <c r="H569" s="1">
        <v>15130.19318</v>
      </c>
    </row>
    <row r="570" spans="1:8" x14ac:dyDescent="0.35">
      <c r="A570" s="1" t="s">
        <v>31</v>
      </c>
      <c r="B570" s="1" t="s">
        <v>91</v>
      </c>
      <c r="C570" s="1" t="s">
        <v>90</v>
      </c>
      <c r="D570" s="1">
        <v>5726.0663500000001</v>
      </c>
      <c r="E570" s="1">
        <v>15316.564</v>
      </c>
      <c r="F570" s="1">
        <v>7658.2820000000002</v>
      </c>
      <c r="G570" s="1"/>
      <c r="H570" s="1"/>
    </row>
    <row r="571" spans="1:8" x14ac:dyDescent="0.35">
      <c r="A571" s="1" t="s">
        <v>31</v>
      </c>
      <c r="B571" s="1" t="s">
        <v>82</v>
      </c>
      <c r="C571" s="1" t="s">
        <v>90</v>
      </c>
      <c r="D571" s="1">
        <v>50.1025353</v>
      </c>
      <c r="E571" s="1">
        <v>105.319</v>
      </c>
      <c r="F571" s="1">
        <v>49.412999999999997</v>
      </c>
      <c r="G571" s="1"/>
      <c r="H571" s="1"/>
    </row>
    <row r="572" spans="1:8" x14ac:dyDescent="0.35">
      <c r="A572" s="1" t="s">
        <v>31</v>
      </c>
      <c r="B572" s="1" t="s">
        <v>83</v>
      </c>
      <c r="C572" s="1" t="s">
        <v>90</v>
      </c>
      <c r="D572" s="1">
        <v>5183.3358150000004</v>
      </c>
      <c r="E572" s="1">
        <v>3400.9589999999998</v>
      </c>
      <c r="F572" s="1">
        <v>892.81399999999996</v>
      </c>
      <c r="G572" s="1"/>
      <c r="H572" s="1"/>
    </row>
    <row r="573" spans="1:8" x14ac:dyDescent="0.35">
      <c r="A573" s="1" t="s">
        <v>31</v>
      </c>
      <c r="B573" s="1" t="s">
        <v>84</v>
      </c>
      <c r="C573" s="1" t="s">
        <v>90</v>
      </c>
      <c r="D573" s="1">
        <v>2125.9427620000001</v>
      </c>
      <c r="E573" s="1">
        <v>3098.7779999999998</v>
      </c>
      <c r="F573" s="1">
        <v>1197.4159999999999</v>
      </c>
      <c r="G573" s="1"/>
      <c r="H573" s="1"/>
    </row>
    <row r="574" spans="1:8" x14ac:dyDescent="0.35">
      <c r="A574" s="1" t="s">
        <v>31</v>
      </c>
      <c r="B574" s="1" t="s">
        <v>85</v>
      </c>
      <c r="C574" s="1" t="s">
        <v>90</v>
      </c>
      <c r="D574" s="1">
        <v>1888.3676680000001</v>
      </c>
      <c r="E574" s="1">
        <v>288.19400000000002</v>
      </c>
      <c r="F574" s="1">
        <v>55.155999999999999</v>
      </c>
      <c r="G574" s="1"/>
      <c r="H574" s="1"/>
    </row>
    <row r="575" spans="1:8" x14ac:dyDescent="0.35">
      <c r="A575" s="1" t="s">
        <v>31</v>
      </c>
      <c r="B575" s="1" t="s">
        <v>86</v>
      </c>
      <c r="C575" s="1" t="s">
        <v>90</v>
      </c>
      <c r="D575" s="1">
        <v>3499.6454789999998</v>
      </c>
      <c r="E575" s="1">
        <v>1663.941</v>
      </c>
      <c r="F575" s="1">
        <v>378.786</v>
      </c>
      <c r="G575" s="1">
        <v>25312.629840000001</v>
      </c>
      <c r="H575" s="1">
        <v>5762.2654920000004</v>
      </c>
    </row>
    <row r="576" spans="1:8" x14ac:dyDescent="0.35">
      <c r="A576" s="1" t="s">
        <v>32</v>
      </c>
      <c r="B576" s="1" t="s">
        <v>89</v>
      </c>
      <c r="C576" s="1" t="s">
        <v>90</v>
      </c>
      <c r="D576" s="1">
        <v>2035.179052</v>
      </c>
      <c r="E576" s="1">
        <v>447.851</v>
      </c>
      <c r="F576" s="1">
        <v>83.048000000000002</v>
      </c>
      <c r="G576" s="1"/>
      <c r="H576" s="1">
        <v>12450.19665</v>
      </c>
    </row>
    <row r="577" spans="1:8" x14ac:dyDescent="0.35">
      <c r="A577" s="1" t="s">
        <v>32</v>
      </c>
      <c r="B577" s="1" t="s">
        <v>91</v>
      </c>
      <c r="C577" s="1" t="s">
        <v>90</v>
      </c>
      <c r="D577" s="1">
        <v>827.82</v>
      </c>
      <c r="E577" s="1">
        <v>7323.9480000000003</v>
      </c>
      <c r="F577" s="1">
        <v>3661.9740000000002</v>
      </c>
      <c r="G577" s="1"/>
      <c r="H577" s="1"/>
    </row>
    <row r="578" spans="1:8" x14ac:dyDescent="0.35">
      <c r="A578" s="1" t="s">
        <v>32</v>
      </c>
      <c r="B578" s="1" t="s">
        <v>82</v>
      </c>
      <c r="C578" s="1" t="s">
        <v>90</v>
      </c>
      <c r="D578" s="1">
        <v>909.15921600000001</v>
      </c>
      <c r="E578" s="1">
        <v>1090.45</v>
      </c>
      <c r="F578" s="1">
        <v>540.952</v>
      </c>
      <c r="G578" s="1"/>
      <c r="H578" s="1"/>
    </row>
    <row r="579" spans="1:8" x14ac:dyDescent="0.35">
      <c r="A579" s="1" t="s">
        <v>32</v>
      </c>
      <c r="B579" s="1" t="s">
        <v>83</v>
      </c>
      <c r="C579" s="1" t="s">
        <v>90</v>
      </c>
      <c r="D579" s="1">
        <v>1727.743215</v>
      </c>
      <c r="E579" s="1">
        <v>1079.819</v>
      </c>
      <c r="F579" s="1">
        <v>490.93</v>
      </c>
      <c r="G579" s="1"/>
      <c r="H579" s="1"/>
    </row>
    <row r="580" spans="1:8" x14ac:dyDescent="0.35">
      <c r="A580" s="1" t="s">
        <v>32</v>
      </c>
      <c r="B580" s="1" t="s">
        <v>84</v>
      </c>
      <c r="C580" s="1" t="s">
        <v>90</v>
      </c>
      <c r="D580" s="1">
        <v>0</v>
      </c>
      <c r="E580" s="1">
        <v>0</v>
      </c>
      <c r="F580" s="1">
        <v>0</v>
      </c>
      <c r="G580" s="1"/>
      <c r="H580" s="1"/>
    </row>
    <row r="581" spans="1:8" x14ac:dyDescent="0.35">
      <c r="A581" s="1" t="s">
        <v>32</v>
      </c>
      <c r="B581" s="1" t="s">
        <v>85</v>
      </c>
      <c r="C581" s="1" t="s">
        <v>90</v>
      </c>
      <c r="D581" s="1">
        <v>1429.7772620000001</v>
      </c>
      <c r="E581" s="1">
        <v>319.12599999999998</v>
      </c>
      <c r="F581" s="1">
        <v>74.058999999999997</v>
      </c>
      <c r="G581" s="1"/>
      <c r="H581" s="1"/>
    </row>
    <row r="582" spans="1:8" x14ac:dyDescent="0.35">
      <c r="A582" s="1" t="s">
        <v>32</v>
      </c>
      <c r="B582" s="1" t="s">
        <v>86</v>
      </c>
      <c r="C582" s="1" t="s">
        <v>90</v>
      </c>
      <c r="D582" s="1">
        <v>1344.2497430000001</v>
      </c>
      <c r="E582" s="1">
        <v>557.82500000000005</v>
      </c>
      <c r="F582" s="1">
        <v>223.482</v>
      </c>
      <c r="G582" s="1">
        <v>16479.519639999999</v>
      </c>
      <c r="H582" s="1">
        <v>6602.2067999999999</v>
      </c>
    </row>
    <row r="583" spans="1:8" x14ac:dyDescent="0.35">
      <c r="A583" s="1" t="s">
        <v>33</v>
      </c>
      <c r="B583" s="1" t="s">
        <v>89</v>
      </c>
      <c r="C583" s="1" t="s">
        <v>90</v>
      </c>
      <c r="D583" s="1">
        <v>15848.62868</v>
      </c>
      <c r="E583" s="1">
        <v>2704.8330000000001</v>
      </c>
      <c r="F583" s="1">
        <v>386.66</v>
      </c>
      <c r="G583" s="1"/>
      <c r="H583" s="1">
        <v>16053.07999</v>
      </c>
    </row>
    <row r="584" spans="1:8" x14ac:dyDescent="0.35">
      <c r="A584" s="1" t="s">
        <v>33</v>
      </c>
      <c r="B584" s="1" t="s">
        <v>91</v>
      </c>
      <c r="C584" s="1" t="s">
        <v>90</v>
      </c>
      <c r="D584" s="1">
        <v>11203.894</v>
      </c>
      <c r="E584" s="1">
        <v>47819.18</v>
      </c>
      <c r="F584" s="1">
        <v>23909.59</v>
      </c>
      <c r="G584" s="1"/>
      <c r="H584" s="1"/>
    </row>
    <row r="585" spans="1:8" x14ac:dyDescent="0.35">
      <c r="A585" s="1" t="s">
        <v>33</v>
      </c>
      <c r="B585" s="1" t="s">
        <v>82</v>
      </c>
      <c r="C585" s="1" t="s">
        <v>90</v>
      </c>
      <c r="D585" s="1">
        <v>4724.1799030000002</v>
      </c>
      <c r="E585" s="1">
        <v>5950.3379999999997</v>
      </c>
      <c r="F585" s="1">
        <v>2922.7</v>
      </c>
      <c r="G585" s="1"/>
      <c r="H585" s="1"/>
    </row>
    <row r="586" spans="1:8" x14ac:dyDescent="0.35">
      <c r="A586" s="1" t="s">
        <v>33</v>
      </c>
      <c r="B586" s="1" t="s">
        <v>83</v>
      </c>
      <c r="C586" s="1" t="s">
        <v>90</v>
      </c>
      <c r="D586" s="1">
        <v>11515.35103</v>
      </c>
      <c r="E586" s="1">
        <v>8070.5159999999996</v>
      </c>
      <c r="F586" s="1">
        <v>3630.51</v>
      </c>
      <c r="G586" s="1"/>
      <c r="H586" s="1"/>
    </row>
    <row r="587" spans="1:8" x14ac:dyDescent="0.35">
      <c r="A587" s="1" t="s">
        <v>33</v>
      </c>
      <c r="B587" s="1" t="s">
        <v>84</v>
      </c>
      <c r="C587" s="1" t="s">
        <v>90</v>
      </c>
      <c r="D587" s="1">
        <v>672.7553345</v>
      </c>
      <c r="E587" s="1">
        <v>826.19500000000005</v>
      </c>
      <c r="F587" s="1">
        <v>401.88</v>
      </c>
      <c r="G587" s="1"/>
      <c r="H587" s="1"/>
    </row>
    <row r="588" spans="1:8" x14ac:dyDescent="0.35">
      <c r="A588" s="1" t="s">
        <v>33</v>
      </c>
      <c r="B588" s="1" t="s">
        <v>85</v>
      </c>
      <c r="C588" s="1" t="s">
        <v>90</v>
      </c>
      <c r="D588" s="1">
        <v>13077.78312</v>
      </c>
      <c r="E588" s="1">
        <v>2520.5419999999999</v>
      </c>
      <c r="F588" s="1">
        <v>453.01</v>
      </c>
      <c r="G588" s="1"/>
      <c r="H588" s="1"/>
    </row>
    <row r="589" spans="1:8" x14ac:dyDescent="0.35">
      <c r="A589" s="1" t="s">
        <v>33</v>
      </c>
      <c r="B589" s="1" t="s">
        <v>86</v>
      </c>
      <c r="C589" s="1" t="s">
        <v>90</v>
      </c>
      <c r="D589" s="1">
        <v>16195.32323</v>
      </c>
      <c r="E589" s="1">
        <v>5934.8029999999999</v>
      </c>
      <c r="F589" s="1">
        <v>1798.85</v>
      </c>
      <c r="G589" s="1">
        <v>24666.17482</v>
      </c>
      <c r="H589" s="1">
        <v>7476.3641829999997</v>
      </c>
    </row>
    <row r="590" spans="1:8" x14ac:dyDescent="0.35">
      <c r="A590" s="1" t="s">
        <v>34</v>
      </c>
      <c r="B590" s="1" t="s">
        <v>89</v>
      </c>
      <c r="C590" s="1" t="s">
        <v>90</v>
      </c>
      <c r="D590" s="1">
        <v>2917.164428</v>
      </c>
      <c r="E590" s="1">
        <v>771.09400000000005</v>
      </c>
      <c r="F590" s="1">
        <v>156.08699999999999</v>
      </c>
      <c r="G590" s="1"/>
      <c r="H590" s="1">
        <v>10364.795099999999</v>
      </c>
    </row>
    <row r="591" spans="1:8" x14ac:dyDescent="0.35">
      <c r="A591" s="1" t="s">
        <v>34</v>
      </c>
      <c r="B591" s="1" t="s">
        <v>91</v>
      </c>
      <c r="C591" s="1" t="s">
        <v>90</v>
      </c>
      <c r="D591" s="1">
        <v>982.93368999999996</v>
      </c>
      <c r="E591" s="1">
        <v>17022.366000000002</v>
      </c>
      <c r="F591" s="1">
        <v>8511.1830000000009</v>
      </c>
      <c r="G591" s="1"/>
      <c r="H591" s="1"/>
    </row>
    <row r="592" spans="1:8" x14ac:dyDescent="0.35">
      <c r="A592" s="1" t="s">
        <v>34</v>
      </c>
      <c r="B592" s="1" t="s">
        <v>82</v>
      </c>
      <c r="C592" s="1" t="s">
        <v>90</v>
      </c>
      <c r="D592" s="1">
        <v>1070.5777840000001</v>
      </c>
      <c r="E592" s="1">
        <v>1824.09</v>
      </c>
      <c r="F592" s="1">
        <v>856.7</v>
      </c>
      <c r="G592" s="1"/>
      <c r="H592" s="1"/>
    </row>
    <row r="593" spans="1:8" x14ac:dyDescent="0.35">
      <c r="A593" s="1" t="s">
        <v>34</v>
      </c>
      <c r="B593" s="1" t="s">
        <v>83</v>
      </c>
      <c r="C593" s="1" t="s">
        <v>90</v>
      </c>
      <c r="D593" s="1">
        <v>1826.0841929999999</v>
      </c>
      <c r="E593" s="1">
        <v>1913.8320000000001</v>
      </c>
      <c r="F593" s="1">
        <v>742.85400000000004</v>
      </c>
      <c r="G593" s="1"/>
      <c r="H593" s="1"/>
    </row>
    <row r="594" spans="1:8" x14ac:dyDescent="0.35">
      <c r="A594" s="1" t="s">
        <v>34</v>
      </c>
      <c r="B594" s="1" t="s">
        <v>84</v>
      </c>
      <c r="C594" s="1" t="s">
        <v>90</v>
      </c>
      <c r="D594" s="1">
        <v>265.67282519999998</v>
      </c>
      <c r="E594" s="1">
        <v>638.22799999999995</v>
      </c>
      <c r="F594" s="1">
        <v>308.85899999999998</v>
      </c>
      <c r="G594" s="1"/>
      <c r="H594" s="1"/>
    </row>
    <row r="595" spans="1:8" x14ac:dyDescent="0.35">
      <c r="A595" s="1" t="s">
        <v>34</v>
      </c>
      <c r="B595" s="1" t="s">
        <v>85</v>
      </c>
      <c r="C595" s="1" t="s">
        <v>90</v>
      </c>
      <c r="D595" s="1">
        <v>115.96029559999999</v>
      </c>
      <c r="E595" s="1">
        <v>49.015999999999998</v>
      </c>
      <c r="F595" s="1">
        <v>11.706</v>
      </c>
      <c r="G595" s="1"/>
      <c r="H595" s="1"/>
    </row>
    <row r="596" spans="1:8" x14ac:dyDescent="0.35">
      <c r="A596" s="1" t="s">
        <v>34</v>
      </c>
      <c r="B596" s="1" t="s">
        <v>86</v>
      </c>
      <c r="C596" s="1" t="s">
        <v>90</v>
      </c>
      <c r="D596" s="1">
        <v>4170.6479939999999</v>
      </c>
      <c r="E596" s="1">
        <v>2728.71</v>
      </c>
      <c r="F596" s="1">
        <v>701.78899999999999</v>
      </c>
      <c r="G596" s="1">
        <v>16281.863719999999</v>
      </c>
      <c r="H596" s="1">
        <v>4187.4852440000004</v>
      </c>
    </row>
    <row r="597" spans="1:8" x14ac:dyDescent="0.35">
      <c r="A597" s="1" t="s">
        <v>35</v>
      </c>
      <c r="B597" s="1" t="s">
        <v>89</v>
      </c>
      <c r="C597" s="1" t="s">
        <v>90</v>
      </c>
      <c r="D597" s="1">
        <v>21354.7788</v>
      </c>
      <c r="E597" s="1">
        <v>4792.88</v>
      </c>
      <c r="F597" s="1">
        <v>932.89</v>
      </c>
      <c r="G597" s="1"/>
      <c r="H597" s="1">
        <v>12206.9076</v>
      </c>
    </row>
    <row r="598" spans="1:8" x14ac:dyDescent="0.35">
      <c r="A598" s="1" t="s">
        <v>35</v>
      </c>
      <c r="B598" s="1" t="s">
        <v>91</v>
      </c>
      <c r="C598" s="1" t="s">
        <v>90</v>
      </c>
      <c r="D598" s="1">
        <v>15201.52</v>
      </c>
      <c r="E598" s="1">
        <v>67207.820000000007</v>
      </c>
      <c r="F598" s="1">
        <v>33603.910000000003</v>
      </c>
      <c r="G598" s="1"/>
      <c r="H598" s="1"/>
    </row>
    <row r="599" spans="1:8" x14ac:dyDescent="0.35">
      <c r="A599" s="1" t="s">
        <v>35</v>
      </c>
      <c r="B599" s="1" t="s">
        <v>82</v>
      </c>
      <c r="C599" s="1" t="s">
        <v>90</v>
      </c>
      <c r="D599" s="1">
        <v>7369.8708660000002</v>
      </c>
      <c r="E599" s="1">
        <v>11061.92</v>
      </c>
      <c r="F599" s="1">
        <v>5521.58</v>
      </c>
      <c r="G599" s="1"/>
      <c r="H599" s="1"/>
    </row>
    <row r="600" spans="1:8" x14ac:dyDescent="0.35">
      <c r="A600" s="1" t="s">
        <v>35</v>
      </c>
      <c r="B600" s="1" t="s">
        <v>83</v>
      </c>
      <c r="C600" s="1" t="s">
        <v>90</v>
      </c>
      <c r="D600" s="1">
        <v>17489.970130000002</v>
      </c>
      <c r="E600" s="1">
        <v>12569.02</v>
      </c>
      <c r="F600" s="1">
        <v>5489.09</v>
      </c>
      <c r="G600" s="1"/>
      <c r="H600" s="1"/>
    </row>
    <row r="601" spans="1:8" x14ac:dyDescent="0.35">
      <c r="A601" s="1" t="s">
        <v>35</v>
      </c>
      <c r="B601" s="1" t="s">
        <v>84</v>
      </c>
      <c r="C601" s="1" t="s">
        <v>90</v>
      </c>
      <c r="D601" s="1">
        <v>176.78493589999999</v>
      </c>
      <c r="E601" s="1">
        <v>527.27</v>
      </c>
      <c r="F601" s="1">
        <v>262.04000000000002</v>
      </c>
      <c r="G601" s="1"/>
      <c r="H601" s="1"/>
    </row>
    <row r="602" spans="1:8" x14ac:dyDescent="0.35">
      <c r="A602" s="1" t="s">
        <v>35</v>
      </c>
      <c r="B602" s="1" t="s">
        <v>85</v>
      </c>
      <c r="C602" s="1" t="s">
        <v>90</v>
      </c>
      <c r="D602" s="1">
        <v>17523.930189999999</v>
      </c>
      <c r="E602" s="1">
        <v>3788.3</v>
      </c>
      <c r="F602" s="1">
        <v>810.92</v>
      </c>
      <c r="G602" s="1"/>
      <c r="H602" s="1"/>
    </row>
    <row r="603" spans="1:8" x14ac:dyDescent="0.35">
      <c r="A603" s="1" t="s">
        <v>35</v>
      </c>
      <c r="B603" s="1" t="s">
        <v>86</v>
      </c>
      <c r="C603" s="1" t="s">
        <v>90</v>
      </c>
      <c r="D603" s="1">
        <v>19382.32775</v>
      </c>
      <c r="E603" s="1">
        <v>9664.25</v>
      </c>
      <c r="F603" s="1">
        <v>3163.86</v>
      </c>
      <c r="G603" s="1">
        <v>16784.013139999999</v>
      </c>
      <c r="H603" s="1">
        <v>5494.7117269999999</v>
      </c>
    </row>
    <row r="604" spans="1:8" x14ac:dyDescent="0.35">
      <c r="A604" s="1" t="s">
        <v>253</v>
      </c>
      <c r="B604" s="1" t="s">
        <v>89</v>
      </c>
      <c r="C604" s="1" t="s">
        <v>90</v>
      </c>
      <c r="D604" s="1">
        <v>20953.652109999999</v>
      </c>
      <c r="E604" s="1">
        <v>4079.5320000000002</v>
      </c>
      <c r="F604" s="1">
        <v>787.01</v>
      </c>
      <c r="G604" s="1"/>
      <c r="H604" s="1">
        <v>14072.022489999999</v>
      </c>
    </row>
    <row r="605" spans="1:8" x14ac:dyDescent="0.35">
      <c r="A605" s="1" t="s">
        <v>253</v>
      </c>
      <c r="B605" s="1" t="s">
        <v>91</v>
      </c>
      <c r="C605" s="1" t="s">
        <v>90</v>
      </c>
      <c r="D605" s="1">
        <v>15767.635</v>
      </c>
      <c r="E605" s="1">
        <v>62379.548000000003</v>
      </c>
      <c r="F605" s="1">
        <v>31189.774000000001</v>
      </c>
      <c r="G605" s="1"/>
      <c r="H605" s="1"/>
    </row>
    <row r="606" spans="1:8" x14ac:dyDescent="0.35">
      <c r="A606" s="1" t="s">
        <v>253</v>
      </c>
      <c r="B606" s="1" t="s">
        <v>82</v>
      </c>
      <c r="C606" s="1" t="s">
        <v>90</v>
      </c>
      <c r="D606" s="1">
        <v>7451.624108</v>
      </c>
      <c r="E606" s="1">
        <v>7227.79</v>
      </c>
      <c r="F606" s="1">
        <v>3366.4569999999999</v>
      </c>
      <c r="G606" s="1"/>
      <c r="H606" s="1"/>
    </row>
    <row r="607" spans="1:8" x14ac:dyDescent="0.35">
      <c r="A607" s="1" t="s">
        <v>253</v>
      </c>
      <c r="B607" s="1" t="s">
        <v>83</v>
      </c>
      <c r="C607" s="1" t="s">
        <v>90</v>
      </c>
      <c r="D607" s="1">
        <v>14344.90258</v>
      </c>
      <c r="E607" s="1">
        <v>8958.4869999999992</v>
      </c>
      <c r="F607" s="1">
        <v>3446.0940000000001</v>
      </c>
      <c r="G607" s="1"/>
      <c r="H607" s="1"/>
    </row>
    <row r="608" spans="1:8" x14ac:dyDescent="0.35">
      <c r="A608" s="1" t="s">
        <v>253</v>
      </c>
      <c r="B608" s="1" t="s">
        <v>84</v>
      </c>
      <c r="C608" s="1" t="s">
        <v>90</v>
      </c>
      <c r="D608" s="1">
        <v>675.05528240000001</v>
      </c>
      <c r="E608" s="1">
        <v>948.12900000000002</v>
      </c>
      <c r="F608" s="1">
        <v>465.58600000000001</v>
      </c>
      <c r="G608" s="1"/>
      <c r="H608" s="1"/>
    </row>
    <row r="609" spans="1:8" x14ac:dyDescent="0.35">
      <c r="A609" s="1" t="s">
        <v>253</v>
      </c>
      <c r="B609" s="1" t="s">
        <v>85</v>
      </c>
      <c r="C609" s="1" t="s">
        <v>90</v>
      </c>
      <c r="D609" s="1">
        <v>5708.6056680000002</v>
      </c>
      <c r="E609" s="1">
        <v>1904.05</v>
      </c>
      <c r="F609" s="1">
        <v>451.74099999999999</v>
      </c>
      <c r="G609" s="1"/>
      <c r="H609" s="1"/>
    </row>
    <row r="610" spans="1:8" x14ac:dyDescent="0.35">
      <c r="A610" s="1" t="s">
        <v>253</v>
      </c>
      <c r="B610" s="1" t="s">
        <v>86</v>
      </c>
      <c r="C610" s="1" t="s">
        <v>90</v>
      </c>
      <c r="D610" s="1">
        <v>15955.113939999999</v>
      </c>
      <c r="E610" s="1">
        <v>7399.4340000000002</v>
      </c>
      <c r="F610" s="1">
        <v>2002.201</v>
      </c>
      <c r="G610" s="1">
        <v>21832.294020000001</v>
      </c>
      <c r="H610" s="1">
        <v>5907.5654869999998</v>
      </c>
    </row>
    <row r="611" spans="1:8" x14ac:dyDescent="0.35">
      <c r="A611" s="1" t="s">
        <v>36</v>
      </c>
      <c r="B611" s="1" t="s">
        <v>89</v>
      </c>
      <c r="C611" s="1" t="s">
        <v>90</v>
      </c>
      <c r="D611" s="1">
        <v>535.07709320000004</v>
      </c>
      <c r="E611" s="1">
        <v>261.58600000000001</v>
      </c>
      <c r="F611" s="1">
        <v>61.191000000000003</v>
      </c>
      <c r="G611" s="1"/>
      <c r="H611" s="1">
        <v>5604.1402790000002</v>
      </c>
    </row>
    <row r="612" spans="1:8" x14ac:dyDescent="0.35">
      <c r="A612" s="1" t="s">
        <v>36</v>
      </c>
      <c r="B612" s="1" t="s">
        <v>91</v>
      </c>
      <c r="C612" s="1" t="s">
        <v>90</v>
      </c>
      <c r="D612" s="1">
        <v>536.39523999999994</v>
      </c>
      <c r="E612" s="1">
        <v>3944.6379999999999</v>
      </c>
      <c r="F612" s="1">
        <v>1972.319</v>
      </c>
      <c r="G612" s="1"/>
      <c r="H612" s="1"/>
    </row>
    <row r="613" spans="1:8" x14ac:dyDescent="0.35">
      <c r="A613" s="1" t="s">
        <v>36</v>
      </c>
      <c r="B613" s="1" t="s">
        <v>82</v>
      </c>
      <c r="C613" s="1" t="s">
        <v>90</v>
      </c>
      <c r="D613" s="1">
        <v>311.22160339999999</v>
      </c>
      <c r="E613" s="1">
        <v>666.06899999999996</v>
      </c>
      <c r="F613" s="1">
        <v>331.12400000000002</v>
      </c>
      <c r="G613" s="1"/>
      <c r="H613" s="1"/>
    </row>
    <row r="614" spans="1:8" x14ac:dyDescent="0.35">
      <c r="A614" s="1" t="s">
        <v>36</v>
      </c>
      <c r="B614" s="1" t="s">
        <v>83</v>
      </c>
      <c r="C614" s="1" t="s">
        <v>90</v>
      </c>
      <c r="D614" s="1">
        <v>666.16332939999995</v>
      </c>
      <c r="E614" s="1">
        <v>695.66</v>
      </c>
      <c r="F614" s="1">
        <v>315.3</v>
      </c>
      <c r="G614" s="1"/>
      <c r="H614" s="1"/>
    </row>
    <row r="615" spans="1:8" x14ac:dyDescent="0.35">
      <c r="A615" s="1" t="s">
        <v>36</v>
      </c>
      <c r="B615" s="1" t="s">
        <v>84</v>
      </c>
      <c r="C615" s="1" t="s">
        <v>90</v>
      </c>
      <c r="D615" s="1">
        <v>0</v>
      </c>
      <c r="E615" s="1">
        <v>0</v>
      </c>
      <c r="F615" s="1">
        <v>0</v>
      </c>
      <c r="G615" s="1"/>
      <c r="H615" s="1"/>
    </row>
    <row r="616" spans="1:8" x14ac:dyDescent="0.35">
      <c r="A616" s="1" t="s">
        <v>36</v>
      </c>
      <c r="B616" s="1" t="s">
        <v>85</v>
      </c>
      <c r="C616" s="1" t="s">
        <v>90</v>
      </c>
      <c r="D616" s="1">
        <v>0</v>
      </c>
      <c r="E616" s="1">
        <v>0</v>
      </c>
      <c r="F616" s="1">
        <v>0</v>
      </c>
      <c r="G616" s="1"/>
      <c r="H616" s="1"/>
    </row>
    <row r="617" spans="1:8" x14ac:dyDescent="0.35">
      <c r="A617" s="1" t="s">
        <v>36</v>
      </c>
      <c r="B617" s="1" t="s">
        <v>86</v>
      </c>
      <c r="C617" s="1" t="s">
        <v>90</v>
      </c>
      <c r="D617" s="1">
        <v>901.36477709999997</v>
      </c>
      <c r="E617" s="1">
        <v>686.15200000000004</v>
      </c>
      <c r="F617" s="1">
        <v>208.21100000000001</v>
      </c>
      <c r="G617" s="1">
        <v>11860.528689999999</v>
      </c>
      <c r="H617" s="1">
        <v>3599.045897</v>
      </c>
    </row>
    <row r="618" spans="1:8" x14ac:dyDescent="0.35">
      <c r="A618" s="1" t="s">
        <v>37</v>
      </c>
      <c r="B618" s="1" t="s">
        <v>89</v>
      </c>
      <c r="C618" s="1" t="s">
        <v>90</v>
      </c>
      <c r="D618" s="1">
        <v>25420.335480000002</v>
      </c>
      <c r="E618" s="1">
        <v>5333.049</v>
      </c>
      <c r="F618" s="1">
        <v>931.38</v>
      </c>
      <c r="G618" s="1"/>
      <c r="H618" s="1">
        <v>13059.087729999999</v>
      </c>
    </row>
    <row r="619" spans="1:8" x14ac:dyDescent="0.35">
      <c r="A619" s="1" t="s">
        <v>37</v>
      </c>
      <c r="B619" s="1" t="s">
        <v>91</v>
      </c>
      <c r="C619" s="1" t="s">
        <v>90</v>
      </c>
      <c r="D619" s="1">
        <v>9851.5062300000009</v>
      </c>
      <c r="E619" s="1">
        <v>67263.58</v>
      </c>
      <c r="F619" s="1">
        <v>33631.79</v>
      </c>
      <c r="G619" s="1"/>
      <c r="H619" s="1"/>
    </row>
    <row r="620" spans="1:8" x14ac:dyDescent="0.35">
      <c r="A620" s="1" t="s">
        <v>37</v>
      </c>
      <c r="B620" s="1" t="s">
        <v>82</v>
      </c>
      <c r="C620" s="1" t="s">
        <v>90</v>
      </c>
      <c r="D620" s="1">
        <v>9643.5099590000009</v>
      </c>
      <c r="E620" s="1">
        <v>12421.735000000001</v>
      </c>
      <c r="F620" s="1">
        <v>5373.1260000000002</v>
      </c>
      <c r="G620" s="1"/>
      <c r="H620" s="1"/>
    </row>
    <row r="621" spans="1:8" x14ac:dyDescent="0.35">
      <c r="A621" s="1" t="s">
        <v>37</v>
      </c>
      <c r="B621" s="1" t="s">
        <v>83</v>
      </c>
      <c r="C621" s="1" t="s">
        <v>90</v>
      </c>
      <c r="D621" s="1">
        <v>13617.940329999999</v>
      </c>
      <c r="E621" s="1">
        <v>10728.353999999999</v>
      </c>
      <c r="F621" s="1">
        <v>3963.1010000000001</v>
      </c>
      <c r="G621" s="1"/>
      <c r="H621" s="1"/>
    </row>
    <row r="622" spans="1:8" x14ac:dyDescent="0.35">
      <c r="A622" s="1" t="s">
        <v>37</v>
      </c>
      <c r="B622" s="1" t="s">
        <v>84</v>
      </c>
      <c r="C622" s="1" t="s">
        <v>90</v>
      </c>
      <c r="D622" s="1">
        <v>547.89409850000004</v>
      </c>
      <c r="E622" s="1">
        <v>1285.6300000000001</v>
      </c>
      <c r="F622" s="1">
        <v>617.15</v>
      </c>
      <c r="G622" s="1"/>
      <c r="H622" s="1"/>
    </row>
    <row r="623" spans="1:8" x14ac:dyDescent="0.35">
      <c r="A623" s="1" t="s">
        <v>37</v>
      </c>
      <c r="B623" s="1" t="s">
        <v>85</v>
      </c>
      <c r="C623" s="1" t="s">
        <v>90</v>
      </c>
      <c r="D623" s="1">
        <v>6606.8595519999999</v>
      </c>
      <c r="E623" s="1">
        <v>2435.011</v>
      </c>
      <c r="F623" s="1">
        <v>580.4</v>
      </c>
      <c r="G623" s="1"/>
      <c r="H623" s="1"/>
    </row>
    <row r="624" spans="1:8" x14ac:dyDescent="0.35">
      <c r="A624" s="1" t="s">
        <v>37</v>
      </c>
      <c r="B624" s="1" t="s">
        <v>86</v>
      </c>
      <c r="C624" s="1" t="s">
        <v>90</v>
      </c>
      <c r="D624" s="1">
        <v>13983.59569</v>
      </c>
      <c r="E624" s="1">
        <v>8097.44</v>
      </c>
      <c r="F624" s="1">
        <v>2445.308</v>
      </c>
      <c r="G624" s="1">
        <v>15667.237450000001</v>
      </c>
      <c r="H624" s="1">
        <v>4731.2756959999997</v>
      </c>
    </row>
    <row r="625" spans="1:8" x14ac:dyDescent="0.35">
      <c r="A625" s="1" t="s">
        <v>38</v>
      </c>
      <c r="B625" s="1" t="s">
        <v>89</v>
      </c>
      <c r="C625" s="1" t="s">
        <v>90</v>
      </c>
      <c r="D625" s="1">
        <v>5800.6801560000004</v>
      </c>
      <c r="E625" s="1">
        <v>1409.086</v>
      </c>
      <c r="F625" s="1">
        <v>287.06900000000002</v>
      </c>
      <c r="G625" s="1"/>
      <c r="H625" s="1">
        <v>11278.42758</v>
      </c>
    </row>
    <row r="626" spans="1:8" x14ac:dyDescent="0.35">
      <c r="A626" s="1" t="s">
        <v>38</v>
      </c>
      <c r="B626" s="1" t="s">
        <v>91</v>
      </c>
      <c r="C626" s="1" t="s">
        <v>90</v>
      </c>
      <c r="D626" s="1">
        <v>2122.7308699999999</v>
      </c>
      <c r="E626" s="1">
        <v>26618.673999999999</v>
      </c>
      <c r="F626" s="1">
        <v>13309.337</v>
      </c>
      <c r="G626" s="1"/>
      <c r="H626" s="1"/>
    </row>
    <row r="627" spans="1:8" x14ac:dyDescent="0.35">
      <c r="A627" s="1" t="s">
        <v>38</v>
      </c>
      <c r="B627" s="1" t="s">
        <v>82</v>
      </c>
      <c r="C627" s="1" t="s">
        <v>90</v>
      </c>
      <c r="D627" s="1">
        <v>1481.3844449999999</v>
      </c>
      <c r="E627" s="1">
        <v>3377.8449999999998</v>
      </c>
      <c r="F627" s="1">
        <v>1545.0540000000001</v>
      </c>
      <c r="G627" s="1"/>
      <c r="H627" s="1"/>
    </row>
    <row r="628" spans="1:8" x14ac:dyDescent="0.35">
      <c r="A628" s="1" t="s">
        <v>38</v>
      </c>
      <c r="B628" s="1" t="s">
        <v>83</v>
      </c>
      <c r="C628" s="1" t="s">
        <v>90</v>
      </c>
      <c r="D628" s="1">
        <v>4859.6589249999997</v>
      </c>
      <c r="E628" s="1">
        <v>6020.8720000000003</v>
      </c>
      <c r="F628" s="1">
        <v>2265.9299999999998</v>
      </c>
      <c r="G628" s="1"/>
      <c r="H628" s="1"/>
    </row>
    <row r="629" spans="1:8" x14ac:dyDescent="0.35">
      <c r="A629" s="1" t="s">
        <v>38</v>
      </c>
      <c r="B629" s="1" t="s">
        <v>84</v>
      </c>
      <c r="C629" s="1" t="s">
        <v>90</v>
      </c>
      <c r="D629" s="1">
        <v>78.886508300000003</v>
      </c>
      <c r="E629" s="1">
        <v>289.93799999999999</v>
      </c>
      <c r="F629" s="1">
        <v>137.18700000000001</v>
      </c>
      <c r="G629" s="1"/>
      <c r="H629" s="1"/>
    </row>
    <row r="630" spans="1:8" x14ac:dyDescent="0.35">
      <c r="A630" s="1" t="s">
        <v>38</v>
      </c>
      <c r="B630" s="1" t="s">
        <v>85</v>
      </c>
      <c r="C630" s="1" t="s">
        <v>90</v>
      </c>
      <c r="D630" s="1">
        <v>2827.0080010000001</v>
      </c>
      <c r="E630" s="1">
        <v>877.85199999999998</v>
      </c>
      <c r="F630" s="1">
        <v>192.55</v>
      </c>
      <c r="G630" s="1"/>
      <c r="H630" s="1"/>
    </row>
    <row r="631" spans="1:8" x14ac:dyDescent="0.35">
      <c r="A631" s="1" t="s">
        <v>38</v>
      </c>
      <c r="B631" s="1" t="s">
        <v>86</v>
      </c>
      <c r="C631" s="1" t="s">
        <v>90</v>
      </c>
      <c r="D631" s="1">
        <v>5457.8306920000005</v>
      </c>
      <c r="E631" s="1">
        <v>4357.9549999999999</v>
      </c>
      <c r="F631" s="1">
        <v>1177.9639999999999</v>
      </c>
      <c r="G631" s="1">
        <v>12693.903039999999</v>
      </c>
      <c r="H631" s="1">
        <v>3431.1875180000002</v>
      </c>
    </row>
    <row r="632" spans="1:8" x14ac:dyDescent="0.35">
      <c r="A632" s="1" t="s">
        <v>39</v>
      </c>
      <c r="B632" s="1" t="s">
        <v>89</v>
      </c>
      <c r="C632" s="1" t="s">
        <v>90</v>
      </c>
      <c r="D632" s="1">
        <v>5790.2431999999999</v>
      </c>
      <c r="E632" s="1">
        <v>1114.92</v>
      </c>
      <c r="F632" s="1">
        <v>234.38</v>
      </c>
      <c r="G632" s="1"/>
      <c r="H632" s="1">
        <v>14228.53658</v>
      </c>
    </row>
    <row r="633" spans="1:8" x14ac:dyDescent="0.35">
      <c r="A633" s="1" t="s">
        <v>39</v>
      </c>
      <c r="B633" s="1" t="s">
        <v>91</v>
      </c>
      <c r="C633" s="1" t="s">
        <v>90</v>
      </c>
      <c r="D633" s="1">
        <v>1916.1759099999999</v>
      </c>
      <c r="E633" s="1">
        <v>20271.599999999999</v>
      </c>
      <c r="F633" s="1">
        <v>10135.799999999999</v>
      </c>
      <c r="G633" s="1"/>
      <c r="H633" s="1"/>
    </row>
    <row r="634" spans="1:8" x14ac:dyDescent="0.35">
      <c r="A634" s="1" t="s">
        <v>39</v>
      </c>
      <c r="B634" s="1" t="s">
        <v>82</v>
      </c>
      <c r="C634" s="1" t="s">
        <v>90</v>
      </c>
      <c r="D634" s="1">
        <v>2733.3832379999999</v>
      </c>
      <c r="E634" s="1">
        <v>4292.4799999999996</v>
      </c>
      <c r="F634" s="1">
        <v>2124.96</v>
      </c>
      <c r="G634" s="1"/>
      <c r="H634" s="1"/>
    </row>
    <row r="635" spans="1:8" x14ac:dyDescent="0.35">
      <c r="A635" s="1" t="s">
        <v>39</v>
      </c>
      <c r="B635" s="1" t="s">
        <v>83</v>
      </c>
      <c r="C635" s="1" t="s">
        <v>90</v>
      </c>
      <c r="D635" s="1">
        <v>4434.2674340000003</v>
      </c>
      <c r="E635" s="1">
        <v>3003.86</v>
      </c>
      <c r="F635" s="1">
        <v>1286.46</v>
      </c>
      <c r="G635" s="1"/>
      <c r="H635" s="1"/>
    </row>
    <row r="636" spans="1:8" x14ac:dyDescent="0.35">
      <c r="A636" s="1" t="s">
        <v>39</v>
      </c>
      <c r="B636" s="1" t="s">
        <v>84</v>
      </c>
      <c r="C636" s="1" t="s">
        <v>90</v>
      </c>
      <c r="D636" s="1">
        <v>271.96266800000001</v>
      </c>
      <c r="E636" s="1">
        <v>1012.7</v>
      </c>
      <c r="F636" s="1">
        <v>504.76</v>
      </c>
      <c r="G636" s="1"/>
      <c r="H636" s="1"/>
    </row>
    <row r="637" spans="1:8" x14ac:dyDescent="0.35">
      <c r="A637" s="1" t="s">
        <v>39</v>
      </c>
      <c r="B637" s="1" t="s">
        <v>85</v>
      </c>
      <c r="C637" s="1" t="s">
        <v>90</v>
      </c>
      <c r="D637" s="1">
        <v>1418.0717199999999</v>
      </c>
      <c r="E637" s="1">
        <v>261.77</v>
      </c>
      <c r="F637" s="1">
        <v>62.2</v>
      </c>
      <c r="G637" s="1"/>
      <c r="H637" s="1"/>
    </row>
    <row r="638" spans="1:8" x14ac:dyDescent="0.35">
      <c r="A638" s="1" t="s">
        <v>39</v>
      </c>
      <c r="B638" s="1" t="s">
        <v>86</v>
      </c>
      <c r="C638" s="1" t="s">
        <v>90</v>
      </c>
      <c r="D638" s="1">
        <v>5636.3429580000002</v>
      </c>
      <c r="E638" s="1">
        <v>2721.46</v>
      </c>
      <c r="F638" s="1">
        <v>850.76</v>
      </c>
      <c r="G638" s="1">
        <v>18150.871569999999</v>
      </c>
      <c r="H638" s="1">
        <v>5674.1732380000003</v>
      </c>
    </row>
    <row r="639" spans="1:8" x14ac:dyDescent="0.35">
      <c r="A639" s="1" t="s">
        <v>40</v>
      </c>
      <c r="B639" s="1" t="s">
        <v>89</v>
      </c>
      <c r="C639" s="1" t="s">
        <v>90</v>
      </c>
      <c r="D639" s="1">
        <v>16637.308580000001</v>
      </c>
      <c r="E639" s="1">
        <v>3573.5419999999999</v>
      </c>
      <c r="F639" s="1">
        <v>797.06299999999999</v>
      </c>
      <c r="G639" s="1"/>
      <c r="H639" s="1">
        <v>12755.31877</v>
      </c>
    </row>
    <row r="640" spans="1:8" x14ac:dyDescent="0.35">
      <c r="A640" s="1" t="s">
        <v>40</v>
      </c>
      <c r="B640" s="1" t="s">
        <v>91</v>
      </c>
      <c r="C640" s="1" t="s">
        <v>90</v>
      </c>
      <c r="D640" s="1">
        <v>7844.2376400000003</v>
      </c>
      <c r="E640" s="1">
        <v>68402.27</v>
      </c>
      <c r="F640" s="1">
        <v>34201.135000000002</v>
      </c>
      <c r="G640" s="1"/>
      <c r="H640" s="1"/>
    </row>
    <row r="641" spans="1:8" x14ac:dyDescent="0.35">
      <c r="A641" s="1" t="s">
        <v>40</v>
      </c>
      <c r="B641" s="1" t="s">
        <v>82</v>
      </c>
      <c r="C641" s="1" t="s">
        <v>90</v>
      </c>
      <c r="D641" s="1">
        <v>7743.441358</v>
      </c>
      <c r="E641" s="1">
        <v>11743.397000000001</v>
      </c>
      <c r="F641" s="1">
        <v>5843.6779999999999</v>
      </c>
      <c r="G641" s="1"/>
      <c r="H641" s="1"/>
    </row>
    <row r="642" spans="1:8" x14ac:dyDescent="0.35">
      <c r="A642" s="1" t="s">
        <v>40</v>
      </c>
      <c r="B642" s="1" t="s">
        <v>83</v>
      </c>
      <c r="C642" s="1" t="s">
        <v>90</v>
      </c>
      <c r="D642" s="1">
        <v>12000.44332</v>
      </c>
      <c r="E642" s="1">
        <v>8838.1990000000005</v>
      </c>
      <c r="F642" s="1">
        <v>4068.6210000000001</v>
      </c>
      <c r="G642" s="1"/>
      <c r="H642" s="1"/>
    </row>
    <row r="643" spans="1:8" x14ac:dyDescent="0.35">
      <c r="A643" s="1" t="s">
        <v>40</v>
      </c>
      <c r="B643" s="1" t="s">
        <v>84</v>
      </c>
      <c r="C643" s="1" t="s">
        <v>90</v>
      </c>
      <c r="D643" s="1">
        <v>8.7186414849999991</v>
      </c>
      <c r="E643" s="1">
        <v>40.616</v>
      </c>
      <c r="F643" s="1">
        <v>20.343</v>
      </c>
      <c r="G643" s="1"/>
      <c r="H643" s="1"/>
    </row>
    <row r="644" spans="1:8" x14ac:dyDescent="0.35">
      <c r="A644" s="1" t="s">
        <v>40</v>
      </c>
      <c r="B644" s="1" t="s">
        <v>85</v>
      </c>
      <c r="C644" s="1" t="s">
        <v>90</v>
      </c>
      <c r="D644" s="1">
        <v>7745.7267879999999</v>
      </c>
      <c r="E644" s="1">
        <v>2316.2269999999999</v>
      </c>
      <c r="F644" s="1">
        <v>556.50800000000004</v>
      </c>
      <c r="G644" s="1"/>
      <c r="H644" s="1"/>
    </row>
    <row r="645" spans="1:8" x14ac:dyDescent="0.35">
      <c r="A645" s="1" t="s">
        <v>40</v>
      </c>
      <c r="B645" s="1" t="s">
        <v>86</v>
      </c>
      <c r="C645" s="1" t="s">
        <v>90</v>
      </c>
      <c r="D645" s="1">
        <v>16378.87038</v>
      </c>
      <c r="E645" s="1">
        <v>8292.5920000000006</v>
      </c>
      <c r="F645" s="1">
        <v>2872.5459999999998</v>
      </c>
      <c r="G645" s="1">
        <v>15621.548779999999</v>
      </c>
      <c r="H645" s="1">
        <v>5411.289675</v>
      </c>
    </row>
    <row r="646" spans="1:8" x14ac:dyDescent="0.35">
      <c r="A646" s="1" t="s">
        <v>87</v>
      </c>
      <c r="B646" s="1" t="s">
        <v>89</v>
      </c>
      <c r="C646" s="1" t="s">
        <v>90</v>
      </c>
      <c r="D646" s="1">
        <v>4716.0983660000002</v>
      </c>
      <c r="E646" s="1">
        <v>1196.105</v>
      </c>
      <c r="F646" s="1">
        <v>256.69799999999998</v>
      </c>
      <c r="G646" s="1"/>
      <c r="H646" s="1">
        <v>10802.410690000001</v>
      </c>
    </row>
    <row r="647" spans="1:8" x14ac:dyDescent="0.35">
      <c r="A647" s="1" t="s">
        <v>87</v>
      </c>
      <c r="B647" s="1" t="s">
        <v>91</v>
      </c>
      <c r="C647" s="1" t="s">
        <v>90</v>
      </c>
      <c r="D647" s="1">
        <v>15.77969</v>
      </c>
      <c r="E647" s="1">
        <v>24630.5</v>
      </c>
      <c r="F647" s="1">
        <v>12315.25</v>
      </c>
      <c r="G647" s="1"/>
      <c r="H647" s="1"/>
    </row>
    <row r="648" spans="1:8" x14ac:dyDescent="0.35">
      <c r="A648" s="1" t="s">
        <v>87</v>
      </c>
      <c r="B648" s="1" t="s">
        <v>82</v>
      </c>
      <c r="C648" s="1" t="s">
        <v>90</v>
      </c>
      <c r="D648" s="1">
        <v>1935.0137480000001</v>
      </c>
      <c r="E648" s="1">
        <v>2494.4589999999998</v>
      </c>
      <c r="F648" s="1">
        <v>1200.0519999999999</v>
      </c>
      <c r="G648" s="1"/>
      <c r="H648" s="1"/>
    </row>
    <row r="649" spans="1:8" x14ac:dyDescent="0.35">
      <c r="A649" s="1" t="s">
        <v>87</v>
      </c>
      <c r="B649" s="1" t="s">
        <v>83</v>
      </c>
      <c r="C649" s="1" t="s">
        <v>90</v>
      </c>
      <c r="D649" s="1">
        <v>3007.219497</v>
      </c>
      <c r="E649" s="1">
        <v>2042.329</v>
      </c>
      <c r="F649" s="1">
        <v>941.86500000000001</v>
      </c>
      <c r="G649" s="1"/>
      <c r="H649" s="1"/>
    </row>
    <row r="650" spans="1:8" x14ac:dyDescent="0.35">
      <c r="A650" s="1" t="s">
        <v>87</v>
      </c>
      <c r="B650" s="1" t="s">
        <v>84</v>
      </c>
      <c r="C650" s="1" t="s">
        <v>90</v>
      </c>
      <c r="D650" s="1">
        <v>0</v>
      </c>
      <c r="E650" s="1">
        <v>0</v>
      </c>
      <c r="F650" s="1">
        <v>0</v>
      </c>
      <c r="G650" s="1"/>
      <c r="H650" s="1"/>
    </row>
    <row r="651" spans="1:8" x14ac:dyDescent="0.35">
      <c r="A651" s="1" t="s">
        <v>87</v>
      </c>
      <c r="B651" s="1" t="s">
        <v>85</v>
      </c>
      <c r="C651" s="1" t="s">
        <v>90</v>
      </c>
      <c r="D651" s="1">
        <v>912.34244920000003</v>
      </c>
      <c r="E651" s="1">
        <v>262.03300000000002</v>
      </c>
      <c r="F651" s="1">
        <v>55.636000000000003</v>
      </c>
      <c r="G651" s="1"/>
      <c r="H651" s="1"/>
    </row>
    <row r="652" spans="1:8" x14ac:dyDescent="0.35">
      <c r="A652" s="1" t="s">
        <v>87</v>
      </c>
      <c r="B652" s="1" t="s">
        <v>86</v>
      </c>
      <c r="C652" s="1" t="s">
        <v>90</v>
      </c>
      <c r="D652" s="1">
        <v>3041.338166</v>
      </c>
      <c r="E652" s="1">
        <v>1406.0550000000001</v>
      </c>
      <c r="F652" s="1">
        <v>398.983</v>
      </c>
      <c r="G652" s="1">
        <v>20884.181359999999</v>
      </c>
      <c r="H652" s="1">
        <v>5926.1076780000003</v>
      </c>
    </row>
    <row r="653" spans="1:8" x14ac:dyDescent="0.35">
      <c r="A653" s="1" t="s">
        <v>41</v>
      </c>
      <c r="B653" s="1" t="s">
        <v>89</v>
      </c>
      <c r="C653" s="1" t="s">
        <v>90</v>
      </c>
      <c r="D653" s="1">
        <v>1863.6140419999999</v>
      </c>
      <c r="E653" s="1">
        <v>306.75700000000001</v>
      </c>
      <c r="F653" s="1">
        <v>52.165999999999997</v>
      </c>
      <c r="G653" s="1"/>
      <c r="H653" s="1">
        <v>16644.418539999999</v>
      </c>
    </row>
    <row r="654" spans="1:8" x14ac:dyDescent="0.35">
      <c r="A654" s="1" t="s">
        <v>41</v>
      </c>
      <c r="B654" s="1" t="s">
        <v>91</v>
      </c>
      <c r="C654" s="1" t="s">
        <v>90</v>
      </c>
      <c r="D654" s="1">
        <v>384.18221999999997</v>
      </c>
      <c r="E654" s="1">
        <v>6522.25</v>
      </c>
      <c r="F654" s="1">
        <v>3261.125</v>
      </c>
      <c r="G654" s="1"/>
      <c r="H654" s="1"/>
    </row>
    <row r="655" spans="1:8" x14ac:dyDescent="0.35">
      <c r="A655" s="1" t="s">
        <v>41</v>
      </c>
      <c r="B655" s="1" t="s">
        <v>82</v>
      </c>
      <c r="C655" s="1" t="s">
        <v>90</v>
      </c>
      <c r="D655" s="1">
        <v>586.86473569999998</v>
      </c>
      <c r="E655" s="1">
        <v>1079.662</v>
      </c>
      <c r="F655" s="1">
        <v>542.41099999999994</v>
      </c>
      <c r="G655" s="1"/>
      <c r="H655" s="1"/>
    </row>
    <row r="656" spans="1:8" x14ac:dyDescent="0.35">
      <c r="A656" s="1" t="s">
        <v>41</v>
      </c>
      <c r="B656" s="1" t="s">
        <v>83</v>
      </c>
      <c r="C656" s="1" t="s">
        <v>90</v>
      </c>
      <c r="D656" s="1">
        <v>1032.582686</v>
      </c>
      <c r="E656" s="1">
        <v>707.92499999999995</v>
      </c>
      <c r="F656" s="1">
        <v>340.33199999999999</v>
      </c>
      <c r="G656" s="1"/>
      <c r="H656" s="1"/>
    </row>
    <row r="657" spans="1:8" x14ac:dyDescent="0.35">
      <c r="A657" s="1" t="s">
        <v>41</v>
      </c>
      <c r="B657" s="1" t="s">
        <v>84</v>
      </c>
      <c r="C657" s="1" t="s">
        <v>90</v>
      </c>
      <c r="D657" s="1">
        <v>18.18686194</v>
      </c>
      <c r="E657" s="1">
        <v>67.953000000000003</v>
      </c>
      <c r="F657" s="1">
        <v>34.719000000000001</v>
      </c>
      <c r="G657" s="1"/>
      <c r="H657" s="1"/>
    </row>
    <row r="658" spans="1:8" x14ac:dyDescent="0.35">
      <c r="A658" s="1" t="s">
        <v>41</v>
      </c>
      <c r="B658" s="1" t="s">
        <v>85</v>
      </c>
      <c r="C658" s="1" t="s">
        <v>90</v>
      </c>
      <c r="D658" s="1">
        <v>942.22148240000001</v>
      </c>
      <c r="E658" s="1">
        <v>263.178</v>
      </c>
      <c r="F658" s="1">
        <v>65.34</v>
      </c>
      <c r="G658" s="1"/>
      <c r="H658" s="1"/>
    </row>
    <row r="659" spans="1:8" x14ac:dyDescent="0.35">
      <c r="A659" s="1" t="s">
        <v>41</v>
      </c>
      <c r="B659" s="1" t="s">
        <v>86</v>
      </c>
      <c r="C659" s="1" t="s">
        <v>90</v>
      </c>
      <c r="D659" s="1">
        <v>1834.880083</v>
      </c>
      <c r="E659" s="1">
        <v>898.97400000000005</v>
      </c>
      <c r="F659" s="1">
        <v>343.06299999999999</v>
      </c>
      <c r="G659" s="1">
        <v>14653.485570000001</v>
      </c>
      <c r="H659" s="1">
        <v>5592.0068000000001</v>
      </c>
    </row>
    <row r="660" spans="1:8" x14ac:dyDescent="0.35">
      <c r="A660" s="1" t="s">
        <v>254</v>
      </c>
      <c r="B660" s="1" t="s">
        <v>89</v>
      </c>
      <c r="C660" s="1" t="s">
        <v>90</v>
      </c>
      <c r="D660" s="1">
        <v>8016.3858179999997</v>
      </c>
      <c r="E660" s="1">
        <v>1618.596</v>
      </c>
      <c r="F660" s="1">
        <v>304.29899999999998</v>
      </c>
      <c r="G660" s="1"/>
      <c r="H660" s="1">
        <v>13568.982540000001</v>
      </c>
    </row>
    <row r="661" spans="1:8" x14ac:dyDescent="0.35">
      <c r="A661" s="1" t="s">
        <v>254</v>
      </c>
      <c r="B661" s="1" t="s">
        <v>91</v>
      </c>
      <c r="C661" s="1" t="s">
        <v>90</v>
      </c>
      <c r="D661" s="1">
        <v>2653.2678599999999</v>
      </c>
      <c r="E661" s="1">
        <v>36636.086000000003</v>
      </c>
      <c r="F661" s="1">
        <v>18318.043000000001</v>
      </c>
      <c r="G661" s="1"/>
      <c r="H661" s="1"/>
    </row>
    <row r="662" spans="1:8" x14ac:dyDescent="0.35">
      <c r="A662" s="1" t="s">
        <v>254</v>
      </c>
      <c r="B662" s="1" t="s">
        <v>82</v>
      </c>
      <c r="C662" s="1" t="s">
        <v>90</v>
      </c>
      <c r="D662" s="1">
        <v>4199.0178400000004</v>
      </c>
      <c r="E662" s="1">
        <v>5910.1379999999999</v>
      </c>
      <c r="F662" s="1">
        <v>2817.0770000000002</v>
      </c>
      <c r="G662" s="1"/>
      <c r="H662" s="1"/>
    </row>
    <row r="663" spans="1:8" x14ac:dyDescent="0.35">
      <c r="A663" s="1" t="s">
        <v>254</v>
      </c>
      <c r="B663" s="1" t="s">
        <v>83</v>
      </c>
      <c r="C663" s="1" t="s">
        <v>90</v>
      </c>
      <c r="D663" s="1">
        <v>7400.8456850000002</v>
      </c>
      <c r="E663" s="1">
        <v>4935.0290000000005</v>
      </c>
      <c r="F663" s="1">
        <v>1775.3240000000001</v>
      </c>
      <c r="G663" s="1"/>
      <c r="H663" s="1"/>
    </row>
    <row r="664" spans="1:8" x14ac:dyDescent="0.35">
      <c r="A664" s="1" t="s">
        <v>254</v>
      </c>
      <c r="B664" s="1" t="s">
        <v>84</v>
      </c>
      <c r="C664" s="1" t="s">
        <v>90</v>
      </c>
      <c r="D664" s="1">
        <v>44.218572880000004</v>
      </c>
      <c r="E664" s="1">
        <v>153.608</v>
      </c>
      <c r="F664" s="1">
        <v>76.364000000000004</v>
      </c>
      <c r="G664" s="1"/>
      <c r="H664" s="1"/>
    </row>
    <row r="665" spans="1:8" x14ac:dyDescent="0.35">
      <c r="A665" s="1" t="s">
        <v>254</v>
      </c>
      <c r="B665" s="1" t="s">
        <v>85</v>
      </c>
      <c r="C665" s="1" t="s">
        <v>90</v>
      </c>
      <c r="D665" s="1">
        <v>920.70289869999999</v>
      </c>
      <c r="E665" s="1">
        <v>373.79700000000003</v>
      </c>
      <c r="F665" s="1">
        <v>84.866</v>
      </c>
      <c r="G665" s="1"/>
      <c r="H665" s="1"/>
    </row>
    <row r="666" spans="1:8" x14ac:dyDescent="0.35">
      <c r="A666" s="1" t="s">
        <v>254</v>
      </c>
      <c r="B666" s="1" t="s">
        <v>86</v>
      </c>
      <c r="C666" s="1" t="s">
        <v>90</v>
      </c>
      <c r="D666" s="1">
        <v>8690.0821379999998</v>
      </c>
      <c r="E666" s="1">
        <v>4126.1270000000004</v>
      </c>
      <c r="F666" s="1">
        <v>1064.173</v>
      </c>
      <c r="G666" s="1">
        <v>22372.719679999998</v>
      </c>
      <c r="H666" s="1">
        <v>5770.1675720000003</v>
      </c>
    </row>
    <row r="667" spans="1:8" x14ac:dyDescent="0.35">
      <c r="A667" s="1" t="s">
        <v>42</v>
      </c>
      <c r="B667" s="1" t="s">
        <v>89</v>
      </c>
      <c r="C667" s="1" t="s">
        <v>90</v>
      </c>
      <c r="D667" s="1">
        <v>810.89441350000004</v>
      </c>
      <c r="E667" s="1">
        <v>395.81400000000002</v>
      </c>
      <c r="F667" s="1">
        <v>87.748999999999995</v>
      </c>
      <c r="G667" s="1"/>
      <c r="H667" s="1">
        <v>5612.8093749999998</v>
      </c>
    </row>
    <row r="668" spans="1:8" x14ac:dyDescent="0.35">
      <c r="A668" s="1" t="s">
        <v>42</v>
      </c>
      <c r="B668" s="1" t="s">
        <v>91</v>
      </c>
      <c r="C668" s="1" t="s">
        <v>90</v>
      </c>
      <c r="D668" s="1">
        <v>282.26873999999998</v>
      </c>
      <c r="E668" s="1">
        <v>4538.29</v>
      </c>
      <c r="F668" s="1">
        <v>2269.145</v>
      </c>
      <c r="G668" s="1"/>
      <c r="H668" s="1"/>
    </row>
    <row r="669" spans="1:8" x14ac:dyDescent="0.35">
      <c r="A669" s="1" t="s">
        <v>42</v>
      </c>
      <c r="B669" s="1" t="s">
        <v>82</v>
      </c>
      <c r="C669" s="1" t="s">
        <v>90</v>
      </c>
      <c r="D669" s="1">
        <v>279.24497860000002</v>
      </c>
      <c r="E669" s="1">
        <v>709.63900000000001</v>
      </c>
      <c r="F669" s="1">
        <v>342.02600000000001</v>
      </c>
      <c r="G669" s="1"/>
      <c r="H669" s="1"/>
    </row>
    <row r="670" spans="1:8" x14ac:dyDescent="0.35">
      <c r="A670" s="1" t="s">
        <v>42</v>
      </c>
      <c r="B670" s="1" t="s">
        <v>83</v>
      </c>
      <c r="C670" s="1" t="s">
        <v>90</v>
      </c>
      <c r="D670" s="1">
        <v>1020.520927</v>
      </c>
      <c r="E670" s="1">
        <v>1119.1030000000001</v>
      </c>
      <c r="F670" s="1">
        <v>446.58600000000001</v>
      </c>
      <c r="G670" s="1"/>
      <c r="H670" s="1"/>
    </row>
    <row r="671" spans="1:8" x14ac:dyDescent="0.35">
      <c r="A671" s="1" t="s">
        <v>42</v>
      </c>
      <c r="B671" s="1" t="s">
        <v>84</v>
      </c>
      <c r="C671" s="1" t="s">
        <v>90</v>
      </c>
      <c r="D671" s="1">
        <v>0</v>
      </c>
      <c r="E671" s="1">
        <v>0</v>
      </c>
      <c r="F671" s="1">
        <v>0</v>
      </c>
      <c r="G671" s="1"/>
      <c r="H671" s="1"/>
    </row>
    <row r="672" spans="1:8" x14ac:dyDescent="0.35">
      <c r="A672" s="1" t="s">
        <v>42</v>
      </c>
      <c r="B672" s="1" t="s">
        <v>85</v>
      </c>
      <c r="C672" s="1" t="s">
        <v>90</v>
      </c>
      <c r="D672" s="1">
        <v>89.503951689999994</v>
      </c>
      <c r="E672" s="1">
        <v>72.680000000000007</v>
      </c>
      <c r="F672" s="1">
        <v>18.170000000000002</v>
      </c>
      <c r="G672" s="1"/>
      <c r="H672" s="1"/>
    </row>
    <row r="673" spans="1:8" x14ac:dyDescent="0.35">
      <c r="A673" s="1" t="s">
        <v>42</v>
      </c>
      <c r="B673" s="1" t="s">
        <v>86</v>
      </c>
      <c r="C673" s="1" t="s">
        <v>90</v>
      </c>
      <c r="D673" s="1">
        <v>506.28911840000001</v>
      </c>
      <c r="E673" s="1">
        <v>475.51499999999999</v>
      </c>
      <c r="F673" s="1">
        <v>136.37700000000001</v>
      </c>
      <c r="G673" s="1">
        <v>10171.022059999999</v>
      </c>
      <c r="H673" s="1">
        <v>2917.0341100000001</v>
      </c>
    </row>
    <row r="674" spans="1:8" x14ac:dyDescent="0.35">
      <c r="A674" s="1" t="s">
        <v>43</v>
      </c>
      <c r="B674" s="1" t="s">
        <v>89</v>
      </c>
      <c r="C674" s="1" t="s">
        <v>90</v>
      </c>
      <c r="D674" s="1">
        <v>15881.852849999999</v>
      </c>
      <c r="E674" s="1">
        <v>2956.3910000000001</v>
      </c>
      <c r="F674" s="1">
        <v>556.58799999999997</v>
      </c>
      <c r="G674" s="1"/>
      <c r="H674" s="1">
        <v>14717.91979</v>
      </c>
    </row>
    <row r="675" spans="1:8" x14ac:dyDescent="0.35">
      <c r="A675" s="1" t="s">
        <v>43</v>
      </c>
      <c r="B675" s="1" t="s">
        <v>91</v>
      </c>
      <c r="C675" s="1" t="s">
        <v>90</v>
      </c>
      <c r="D675" s="1">
        <v>9923.9277000000002</v>
      </c>
      <c r="E675" s="1">
        <v>46103.156000000003</v>
      </c>
      <c r="F675" s="1">
        <v>23051.578000000001</v>
      </c>
      <c r="G675" s="1"/>
      <c r="H675" s="1"/>
    </row>
    <row r="676" spans="1:8" x14ac:dyDescent="0.35">
      <c r="A676" s="1" t="s">
        <v>43</v>
      </c>
      <c r="B676" s="1" t="s">
        <v>82</v>
      </c>
      <c r="C676" s="1" t="s">
        <v>90</v>
      </c>
      <c r="D676" s="1">
        <v>4142.5464869999996</v>
      </c>
      <c r="E676" s="1">
        <v>5454.2520000000004</v>
      </c>
      <c r="F676" s="1">
        <v>2552.6390000000001</v>
      </c>
      <c r="G676" s="1"/>
      <c r="H676" s="1"/>
    </row>
    <row r="677" spans="1:8" x14ac:dyDescent="0.35">
      <c r="A677" s="1" t="s">
        <v>43</v>
      </c>
      <c r="B677" s="1" t="s">
        <v>83</v>
      </c>
      <c r="C677" s="1" t="s">
        <v>90</v>
      </c>
      <c r="D677" s="1">
        <v>9486.5978240000004</v>
      </c>
      <c r="E677" s="1">
        <v>7081.8320000000003</v>
      </c>
      <c r="F677" s="1">
        <v>2600.0349999999999</v>
      </c>
      <c r="G677" s="1"/>
      <c r="H677" s="1"/>
    </row>
    <row r="678" spans="1:8" x14ac:dyDescent="0.35">
      <c r="A678" s="1" t="s">
        <v>43</v>
      </c>
      <c r="B678" s="1" t="s">
        <v>84</v>
      </c>
      <c r="C678" s="1" t="s">
        <v>90</v>
      </c>
      <c r="D678" s="1">
        <v>806.49124689999996</v>
      </c>
      <c r="E678" s="1">
        <v>2023.114</v>
      </c>
      <c r="F678" s="1">
        <v>1004.773</v>
      </c>
      <c r="G678" s="1"/>
      <c r="H678" s="1"/>
    </row>
    <row r="679" spans="1:8" x14ac:dyDescent="0.35">
      <c r="A679" s="1" t="s">
        <v>43</v>
      </c>
      <c r="B679" s="1" t="s">
        <v>85</v>
      </c>
      <c r="C679" s="1" t="s">
        <v>90</v>
      </c>
      <c r="D679" s="1">
        <v>2687.1743369999999</v>
      </c>
      <c r="E679" s="1">
        <v>762.90800000000002</v>
      </c>
      <c r="F679" s="1">
        <v>172.89699999999999</v>
      </c>
      <c r="G679" s="1"/>
      <c r="H679" s="1"/>
    </row>
    <row r="680" spans="1:8" x14ac:dyDescent="0.35">
      <c r="A680" s="1" t="s">
        <v>43</v>
      </c>
      <c r="B680" s="1" t="s">
        <v>86</v>
      </c>
      <c r="C680" s="1" t="s">
        <v>90</v>
      </c>
      <c r="D680" s="1">
        <v>13779.27864</v>
      </c>
      <c r="E680" s="1">
        <v>7063.4570000000003</v>
      </c>
      <c r="F680" s="1">
        <v>1906.6079999999999</v>
      </c>
      <c r="G680" s="1">
        <v>19800.319899999999</v>
      </c>
      <c r="H680" s="1">
        <v>5344.6135979999999</v>
      </c>
    </row>
    <row r="681" spans="1:8" x14ac:dyDescent="0.35">
      <c r="A681" s="1" t="s">
        <v>44</v>
      </c>
      <c r="B681" s="1" t="s">
        <v>89</v>
      </c>
      <c r="C681" s="1" t="s">
        <v>90</v>
      </c>
      <c r="D681" s="1">
        <v>52954.704819999999</v>
      </c>
      <c r="E681" s="1">
        <v>8472.8829999999998</v>
      </c>
      <c r="F681" s="1">
        <v>1458.395</v>
      </c>
      <c r="G681" s="1"/>
      <c r="H681" s="1">
        <v>17123.02448</v>
      </c>
    </row>
    <row r="682" spans="1:8" x14ac:dyDescent="0.35">
      <c r="A682" s="1" t="s">
        <v>44</v>
      </c>
      <c r="B682" s="1" t="s">
        <v>91</v>
      </c>
      <c r="C682" s="1" t="s">
        <v>90</v>
      </c>
      <c r="D682" s="1">
        <v>12807.485000000001</v>
      </c>
      <c r="E682" s="1">
        <v>151096.87599999999</v>
      </c>
      <c r="F682" s="1">
        <v>75548.437999999995</v>
      </c>
      <c r="G682" s="1"/>
      <c r="H682" s="1"/>
    </row>
    <row r="683" spans="1:8" x14ac:dyDescent="0.35">
      <c r="A683" s="1" t="s">
        <v>44</v>
      </c>
      <c r="B683" s="1" t="s">
        <v>82</v>
      </c>
      <c r="C683" s="1" t="s">
        <v>90</v>
      </c>
      <c r="D683" s="1">
        <v>29446.02389</v>
      </c>
      <c r="E683" s="1">
        <v>35762.822</v>
      </c>
      <c r="F683" s="1">
        <v>15862.762000000001</v>
      </c>
      <c r="G683" s="1"/>
      <c r="H683" s="1"/>
    </row>
    <row r="684" spans="1:8" x14ac:dyDescent="0.35">
      <c r="A684" s="1" t="s">
        <v>44</v>
      </c>
      <c r="B684" s="1" t="s">
        <v>83</v>
      </c>
      <c r="C684" s="1" t="s">
        <v>90</v>
      </c>
      <c r="D684" s="1">
        <v>34334.107219999998</v>
      </c>
      <c r="E684" s="1">
        <v>25843.755000000001</v>
      </c>
      <c r="F684" s="1">
        <v>8058.7160000000003</v>
      </c>
      <c r="G684" s="1"/>
      <c r="H684" s="1"/>
    </row>
    <row r="685" spans="1:8" x14ac:dyDescent="0.35">
      <c r="A685" s="1" t="s">
        <v>44</v>
      </c>
      <c r="B685" s="1" t="s">
        <v>84</v>
      </c>
      <c r="C685" s="1" t="s">
        <v>90</v>
      </c>
      <c r="D685" s="1">
        <v>899.22767180000005</v>
      </c>
      <c r="E685" s="1">
        <v>2393.6860000000001</v>
      </c>
      <c r="F685" s="1">
        <v>1124.3330000000001</v>
      </c>
      <c r="G685" s="1"/>
      <c r="H685" s="1"/>
    </row>
    <row r="686" spans="1:8" x14ac:dyDescent="0.35">
      <c r="A686" s="1" t="s">
        <v>44</v>
      </c>
      <c r="B686" s="1" t="s">
        <v>85</v>
      </c>
      <c r="C686" s="1" t="s">
        <v>90</v>
      </c>
      <c r="D686" s="1">
        <v>33670.586819999997</v>
      </c>
      <c r="E686" s="1">
        <v>7117.6769999999997</v>
      </c>
      <c r="F686" s="1">
        <v>1402.4169999999999</v>
      </c>
      <c r="G686" s="1"/>
      <c r="H686" s="1"/>
    </row>
    <row r="687" spans="1:8" x14ac:dyDescent="0.35">
      <c r="A687" s="1" t="s">
        <v>44</v>
      </c>
      <c r="B687" s="1" t="s">
        <v>86</v>
      </c>
      <c r="C687" s="1" t="s">
        <v>90</v>
      </c>
      <c r="D687" s="1">
        <v>45489.967830000001</v>
      </c>
      <c r="E687" s="1">
        <v>25687.674999999999</v>
      </c>
      <c r="F687" s="1">
        <v>6243.77</v>
      </c>
      <c r="G687" s="1">
        <v>19960.70465</v>
      </c>
      <c r="H687" s="1">
        <v>4851.7450040000003</v>
      </c>
    </row>
    <row r="688" spans="1:8" x14ac:dyDescent="0.35">
      <c r="A688" s="1" t="s">
        <v>88</v>
      </c>
      <c r="B688" s="1" t="s">
        <v>89</v>
      </c>
      <c r="C688" s="1" t="s">
        <v>90</v>
      </c>
      <c r="D688" s="1">
        <v>575753.32380000001</v>
      </c>
      <c r="E688" s="1">
        <v>107001.588</v>
      </c>
      <c r="F688" s="1">
        <v>19176.550999999999</v>
      </c>
      <c r="G688" s="1"/>
      <c r="H688" s="1">
        <v>14741.896790000001</v>
      </c>
    </row>
    <row r="689" spans="1:8" x14ac:dyDescent="0.35">
      <c r="A689" s="1" t="s">
        <v>88</v>
      </c>
      <c r="B689" s="1" t="s">
        <v>91</v>
      </c>
      <c r="C689" s="1" t="s">
        <v>90</v>
      </c>
      <c r="D689" s="1">
        <v>305543.94170000002</v>
      </c>
      <c r="E689" s="1">
        <v>1754293.648</v>
      </c>
      <c r="F689" s="1">
        <v>877146.82400000002</v>
      </c>
      <c r="G689" s="1"/>
      <c r="H689" s="1"/>
    </row>
    <row r="690" spans="1:8" x14ac:dyDescent="0.35">
      <c r="A690" s="1" t="s">
        <v>88</v>
      </c>
      <c r="B690" s="1" t="s">
        <v>82</v>
      </c>
      <c r="C690" s="1" t="s">
        <v>90</v>
      </c>
      <c r="D690" s="1">
        <v>217681.48319999999</v>
      </c>
      <c r="E690" s="1">
        <v>279576.92099999997</v>
      </c>
      <c r="F690" s="1">
        <v>130165.01700000001</v>
      </c>
      <c r="G690" s="1"/>
      <c r="H690" s="1"/>
    </row>
    <row r="691" spans="1:8" x14ac:dyDescent="0.35">
      <c r="A691" s="1" t="s">
        <v>88</v>
      </c>
      <c r="B691" s="1" t="s">
        <v>83</v>
      </c>
      <c r="C691" s="1" t="s">
        <v>90</v>
      </c>
      <c r="D691" s="1">
        <v>418150.94439999998</v>
      </c>
      <c r="E691" s="1">
        <v>296642.37099999998</v>
      </c>
      <c r="F691" s="1">
        <v>112229.545</v>
      </c>
      <c r="G691" s="1"/>
      <c r="H691" s="1"/>
    </row>
    <row r="692" spans="1:8" x14ac:dyDescent="0.35">
      <c r="A692" s="1" t="s">
        <v>88</v>
      </c>
      <c r="B692" s="1" t="s">
        <v>84</v>
      </c>
      <c r="C692" s="1" t="s">
        <v>90</v>
      </c>
      <c r="D692" s="1">
        <v>22355.233970000001</v>
      </c>
      <c r="E692" s="1">
        <v>44958.811000000002</v>
      </c>
      <c r="F692" s="1">
        <v>21218.191999999999</v>
      </c>
      <c r="G692" s="1"/>
      <c r="H692" s="1"/>
    </row>
    <row r="693" spans="1:8" x14ac:dyDescent="0.35">
      <c r="A693" s="1" t="s">
        <v>88</v>
      </c>
      <c r="B693" s="1" t="s">
        <v>85</v>
      </c>
      <c r="C693" s="1" t="s">
        <v>90</v>
      </c>
      <c r="D693" s="1">
        <v>254876.80660000001</v>
      </c>
      <c r="E693" s="1">
        <v>57404.756000000001</v>
      </c>
      <c r="F693" s="1">
        <v>12050.414000000001</v>
      </c>
      <c r="G693" s="1"/>
      <c r="H693" s="1"/>
    </row>
    <row r="694" spans="1:8" x14ac:dyDescent="0.35">
      <c r="A694" s="1" t="s">
        <v>88</v>
      </c>
      <c r="B694" s="1" t="s">
        <v>86</v>
      </c>
      <c r="C694" s="1" t="s">
        <v>90</v>
      </c>
      <c r="D694" s="1">
        <v>483557.34299999999</v>
      </c>
      <c r="E694" s="1">
        <v>240406.08100000001</v>
      </c>
      <c r="F694" s="1">
        <v>66367.218999999997</v>
      </c>
      <c r="G694" s="1">
        <v>19961.882659999999</v>
      </c>
      <c r="H694" s="1">
        <v>5510.7368029999998</v>
      </c>
    </row>
    <row r="695" spans="1:8" x14ac:dyDescent="0.35">
      <c r="A695" s="1" t="s">
        <v>45</v>
      </c>
      <c r="B695" s="1" t="s">
        <v>89</v>
      </c>
      <c r="C695" s="1" t="s">
        <v>90</v>
      </c>
      <c r="D695" s="1">
        <v>8463.3058529999998</v>
      </c>
      <c r="E695" s="1">
        <v>1670.47</v>
      </c>
      <c r="F695" s="1">
        <v>253.42599999999999</v>
      </c>
      <c r="G695" s="1"/>
      <c r="H695" s="1">
        <v>13880.608050000001</v>
      </c>
    </row>
    <row r="696" spans="1:8" x14ac:dyDescent="0.35">
      <c r="A696" s="1" t="s">
        <v>45</v>
      </c>
      <c r="B696" s="1" t="s">
        <v>91</v>
      </c>
      <c r="C696" s="1" t="s">
        <v>90</v>
      </c>
      <c r="D696" s="1">
        <v>4172.8497299999999</v>
      </c>
      <c r="E696" s="1">
        <v>17922.524000000001</v>
      </c>
      <c r="F696" s="1">
        <v>8961.2620000000006</v>
      </c>
      <c r="G696" s="1"/>
      <c r="H696" s="1"/>
    </row>
    <row r="697" spans="1:8" x14ac:dyDescent="0.35">
      <c r="A697" s="1" t="s">
        <v>45</v>
      </c>
      <c r="B697" s="1" t="s">
        <v>82</v>
      </c>
      <c r="C697" s="1" t="s">
        <v>90</v>
      </c>
      <c r="D697" s="1">
        <v>1979.7870230000001</v>
      </c>
      <c r="E697" s="1">
        <v>2349.1689999999999</v>
      </c>
      <c r="F697" s="1">
        <v>1117.346</v>
      </c>
      <c r="G697" s="1"/>
      <c r="H697" s="1"/>
    </row>
    <row r="698" spans="1:8" x14ac:dyDescent="0.35">
      <c r="A698" s="1" t="s">
        <v>45</v>
      </c>
      <c r="B698" s="1" t="s">
        <v>83</v>
      </c>
      <c r="C698" s="1" t="s">
        <v>90</v>
      </c>
      <c r="D698" s="1">
        <v>2782.1563350000001</v>
      </c>
      <c r="E698" s="1">
        <v>1851.8320000000001</v>
      </c>
      <c r="F698" s="1">
        <v>684.29200000000003</v>
      </c>
      <c r="G698" s="1"/>
      <c r="H698" s="1"/>
    </row>
    <row r="699" spans="1:8" x14ac:dyDescent="0.35">
      <c r="A699" s="1" t="s">
        <v>45</v>
      </c>
      <c r="B699" s="1" t="s">
        <v>84</v>
      </c>
      <c r="C699" s="1" t="s">
        <v>90</v>
      </c>
      <c r="D699" s="1">
        <v>347.06943630000001</v>
      </c>
      <c r="E699" s="1">
        <v>1134.741</v>
      </c>
      <c r="F699" s="1">
        <v>559.66499999999996</v>
      </c>
      <c r="G699" s="1"/>
      <c r="H699" s="1"/>
    </row>
    <row r="700" spans="1:8" x14ac:dyDescent="0.35">
      <c r="A700" s="1" t="s">
        <v>45</v>
      </c>
      <c r="B700" s="1" t="s">
        <v>85</v>
      </c>
      <c r="C700" s="1" t="s">
        <v>90</v>
      </c>
      <c r="D700" s="1">
        <v>467.9577104</v>
      </c>
      <c r="E700" s="1">
        <v>173.63200000000001</v>
      </c>
      <c r="F700" s="1">
        <v>48.722999999999999</v>
      </c>
      <c r="G700" s="1"/>
      <c r="H700" s="1"/>
    </row>
    <row r="701" spans="1:8" x14ac:dyDescent="0.35">
      <c r="A701" s="1" t="s">
        <v>45</v>
      </c>
      <c r="B701" s="1" t="s">
        <v>86</v>
      </c>
      <c r="C701" s="1" t="s">
        <v>90</v>
      </c>
      <c r="D701" s="1">
        <v>5809.6343159999997</v>
      </c>
      <c r="E701" s="1">
        <v>2584.886</v>
      </c>
      <c r="F701" s="1">
        <v>659.92600000000004</v>
      </c>
      <c r="G701" s="1">
        <v>24119.077509999999</v>
      </c>
      <c r="H701" s="1">
        <v>6157.6434490000001</v>
      </c>
    </row>
    <row r="702" spans="1:8" x14ac:dyDescent="0.35">
      <c r="A702" s="1" t="s">
        <v>46</v>
      </c>
      <c r="B702" s="1" t="s">
        <v>89</v>
      </c>
      <c r="C702" s="1" t="s">
        <v>90</v>
      </c>
      <c r="D702" s="1">
        <v>550.84455300000002</v>
      </c>
      <c r="E702" s="1">
        <v>256.78800000000001</v>
      </c>
      <c r="F702" s="1">
        <v>64.308000000000007</v>
      </c>
      <c r="G702" s="1"/>
      <c r="H702" s="1">
        <v>5877.0782079999999</v>
      </c>
    </row>
    <row r="703" spans="1:8" x14ac:dyDescent="0.35">
      <c r="A703" s="1" t="s">
        <v>46</v>
      </c>
      <c r="B703" s="1" t="s">
        <v>91</v>
      </c>
      <c r="C703" s="1" t="s">
        <v>90</v>
      </c>
      <c r="D703" s="1">
        <v>322.03440000000001</v>
      </c>
      <c r="E703" s="1">
        <v>1737.356</v>
      </c>
      <c r="F703" s="1">
        <v>868.678</v>
      </c>
      <c r="G703" s="1"/>
      <c r="H703" s="1"/>
    </row>
    <row r="704" spans="1:8" x14ac:dyDescent="0.35">
      <c r="A704" s="1" t="s">
        <v>46</v>
      </c>
      <c r="B704" s="1" t="s">
        <v>82</v>
      </c>
      <c r="C704" s="1" t="s">
        <v>90</v>
      </c>
      <c r="D704" s="1">
        <v>265.16504959999997</v>
      </c>
      <c r="E704" s="1">
        <v>493.77600000000001</v>
      </c>
      <c r="F704" s="1">
        <v>246.83099999999999</v>
      </c>
      <c r="G704" s="1"/>
      <c r="H704" s="1"/>
    </row>
    <row r="705" spans="1:8" x14ac:dyDescent="0.35">
      <c r="A705" s="1" t="s">
        <v>46</v>
      </c>
      <c r="B705" s="1" t="s">
        <v>83</v>
      </c>
      <c r="C705" s="1" t="s">
        <v>90</v>
      </c>
      <c r="D705" s="1">
        <v>335.69621810000001</v>
      </c>
      <c r="E705" s="1">
        <v>298.52</v>
      </c>
      <c r="F705" s="1">
        <v>148.16800000000001</v>
      </c>
      <c r="G705" s="1"/>
      <c r="H705" s="1"/>
    </row>
    <row r="706" spans="1:8" x14ac:dyDescent="0.35">
      <c r="A706" s="1" t="s">
        <v>46</v>
      </c>
      <c r="B706" s="1" t="s">
        <v>84</v>
      </c>
      <c r="C706" s="1" t="s">
        <v>90</v>
      </c>
      <c r="D706" s="1">
        <v>24.285484149999998</v>
      </c>
      <c r="E706" s="1">
        <v>64.22</v>
      </c>
      <c r="F706" s="1">
        <v>32.11</v>
      </c>
      <c r="G706" s="1"/>
      <c r="H706" s="1"/>
    </row>
    <row r="707" spans="1:8" x14ac:dyDescent="0.35">
      <c r="A707" s="1" t="s">
        <v>46</v>
      </c>
      <c r="B707" s="1" t="s">
        <v>85</v>
      </c>
      <c r="C707" s="1" t="s">
        <v>90</v>
      </c>
      <c r="D707" s="1">
        <v>59.639533800000002</v>
      </c>
      <c r="E707" s="1">
        <v>41.253999999999998</v>
      </c>
      <c r="F707" s="1">
        <v>16.041</v>
      </c>
      <c r="G707" s="1"/>
      <c r="H707" s="1"/>
    </row>
    <row r="708" spans="1:8" x14ac:dyDescent="0.35">
      <c r="A708" s="1" t="s">
        <v>46</v>
      </c>
      <c r="B708" s="1" t="s">
        <v>86</v>
      </c>
      <c r="C708" s="1" t="s">
        <v>90</v>
      </c>
      <c r="D708" s="1">
        <v>566.56208189999995</v>
      </c>
      <c r="E708" s="1">
        <v>316.69099999999997</v>
      </c>
      <c r="F708" s="1">
        <v>126.508</v>
      </c>
      <c r="G708" s="1">
        <v>12269.776470000001</v>
      </c>
      <c r="H708" s="1">
        <v>4901.386152</v>
      </c>
    </row>
    <row r="709" spans="1:8" x14ac:dyDescent="0.35">
      <c r="A709" s="1" t="s">
        <v>47</v>
      </c>
      <c r="B709" s="1" t="s">
        <v>89</v>
      </c>
      <c r="C709" s="1" t="s">
        <v>90</v>
      </c>
      <c r="D709" s="1">
        <v>16998.348419999998</v>
      </c>
      <c r="E709" s="1">
        <v>3062.3620000000001</v>
      </c>
      <c r="F709" s="1">
        <v>521.16700000000003</v>
      </c>
      <c r="G709" s="1"/>
      <c r="H709" s="1">
        <v>15207.48285</v>
      </c>
    </row>
    <row r="710" spans="1:8" x14ac:dyDescent="0.35">
      <c r="A710" s="1" t="s">
        <v>47</v>
      </c>
      <c r="B710" s="1" t="s">
        <v>91</v>
      </c>
      <c r="C710" s="1" t="s">
        <v>90</v>
      </c>
      <c r="D710" s="1">
        <v>5306.7558099999997</v>
      </c>
      <c r="E710" s="1">
        <v>37864.212</v>
      </c>
      <c r="F710" s="1">
        <v>18932.106</v>
      </c>
      <c r="G710" s="1"/>
      <c r="H710" s="1"/>
    </row>
    <row r="711" spans="1:8" x14ac:dyDescent="0.35">
      <c r="A711" s="1" t="s">
        <v>47</v>
      </c>
      <c r="B711" s="1" t="s">
        <v>82</v>
      </c>
      <c r="C711" s="1" t="s">
        <v>90</v>
      </c>
      <c r="D711" s="1">
        <v>4562.8946530000003</v>
      </c>
      <c r="E711" s="1">
        <v>5733.1509999999998</v>
      </c>
      <c r="F711" s="1">
        <v>2545.4949999999999</v>
      </c>
      <c r="G711" s="1"/>
      <c r="H711" s="1"/>
    </row>
    <row r="712" spans="1:8" x14ac:dyDescent="0.35">
      <c r="A712" s="1" t="s">
        <v>47</v>
      </c>
      <c r="B712" s="1" t="s">
        <v>83</v>
      </c>
      <c r="C712" s="1" t="s">
        <v>90</v>
      </c>
      <c r="D712" s="1">
        <v>10550.041499999999</v>
      </c>
      <c r="E712" s="1">
        <v>6699.3779999999997</v>
      </c>
      <c r="F712" s="1">
        <v>2277.413</v>
      </c>
      <c r="G712" s="1"/>
      <c r="H712" s="1"/>
    </row>
    <row r="713" spans="1:8" x14ac:dyDescent="0.35">
      <c r="A713" s="1" t="s">
        <v>47</v>
      </c>
      <c r="B713" s="1" t="s">
        <v>84</v>
      </c>
      <c r="C713" s="1" t="s">
        <v>90</v>
      </c>
      <c r="D713" s="1">
        <v>633.16122689999997</v>
      </c>
      <c r="E713" s="1">
        <v>1679.5909999999999</v>
      </c>
      <c r="F713" s="1">
        <v>778.803</v>
      </c>
      <c r="G713" s="1"/>
      <c r="H713" s="1"/>
    </row>
    <row r="714" spans="1:8" x14ac:dyDescent="0.35">
      <c r="A714" s="1" t="s">
        <v>47</v>
      </c>
      <c r="B714" s="1" t="s">
        <v>85</v>
      </c>
      <c r="C714" s="1" t="s">
        <v>90</v>
      </c>
      <c r="D714" s="1">
        <v>5313.2815270000001</v>
      </c>
      <c r="E714" s="1">
        <v>1584.838</v>
      </c>
      <c r="F714" s="1">
        <v>359.13799999999998</v>
      </c>
      <c r="G714" s="1"/>
      <c r="H714" s="1"/>
    </row>
    <row r="715" spans="1:8" x14ac:dyDescent="0.35">
      <c r="A715" s="1" t="s">
        <v>47</v>
      </c>
      <c r="B715" s="1" t="s">
        <v>86</v>
      </c>
      <c r="C715" s="1" t="s">
        <v>90</v>
      </c>
      <c r="D715" s="1">
        <v>12675.852140000001</v>
      </c>
      <c r="E715" s="1">
        <v>5574.09</v>
      </c>
      <c r="F715" s="1">
        <v>1352.2629999999999</v>
      </c>
      <c r="G715" s="1">
        <v>25681.662530000001</v>
      </c>
      <c r="H715" s="1">
        <v>6230.319571</v>
      </c>
    </row>
    <row r="716" spans="1:8" x14ac:dyDescent="0.35">
      <c r="A716" s="1" t="s">
        <v>48</v>
      </c>
      <c r="B716" s="1" t="s">
        <v>89</v>
      </c>
      <c r="C716" s="1" t="s">
        <v>90</v>
      </c>
      <c r="D716" s="1">
        <v>12435.26972</v>
      </c>
      <c r="E716" s="1">
        <v>2096.41</v>
      </c>
      <c r="F716" s="1">
        <v>334.59</v>
      </c>
      <c r="G716" s="1"/>
      <c r="H716" s="1">
        <v>16251.225710000001</v>
      </c>
    </row>
    <row r="717" spans="1:8" x14ac:dyDescent="0.35">
      <c r="A717" s="1" t="s">
        <v>48</v>
      </c>
      <c r="B717" s="1" t="s">
        <v>91</v>
      </c>
      <c r="C717" s="1" t="s">
        <v>90</v>
      </c>
      <c r="D717" s="1">
        <v>4954.4512400000003</v>
      </c>
      <c r="E717" s="1">
        <v>32882.983999999997</v>
      </c>
      <c r="F717" s="1">
        <v>16441.491999999998</v>
      </c>
      <c r="G717" s="1"/>
      <c r="H717" s="1"/>
    </row>
    <row r="718" spans="1:8" x14ac:dyDescent="0.35">
      <c r="A718" s="1" t="s">
        <v>48</v>
      </c>
      <c r="B718" s="1" t="s">
        <v>82</v>
      </c>
      <c r="C718" s="1" t="s">
        <v>90</v>
      </c>
      <c r="D718" s="1">
        <v>3422.5871579999998</v>
      </c>
      <c r="E718" s="1">
        <v>5544.2020000000002</v>
      </c>
      <c r="F718" s="1">
        <v>2741.491</v>
      </c>
      <c r="G718" s="1"/>
      <c r="H718" s="1"/>
    </row>
    <row r="719" spans="1:8" x14ac:dyDescent="0.35">
      <c r="A719" s="1" t="s">
        <v>48</v>
      </c>
      <c r="B719" s="1" t="s">
        <v>83</v>
      </c>
      <c r="C719" s="1" t="s">
        <v>90</v>
      </c>
      <c r="D719" s="1">
        <v>7963.5547770000003</v>
      </c>
      <c r="E719" s="1">
        <v>6011.134</v>
      </c>
      <c r="F719" s="1">
        <v>2762.2959999999998</v>
      </c>
      <c r="G719" s="1"/>
      <c r="H719" s="1"/>
    </row>
    <row r="720" spans="1:8" x14ac:dyDescent="0.35">
      <c r="A720" s="1" t="s">
        <v>48</v>
      </c>
      <c r="B720" s="1" t="s">
        <v>84</v>
      </c>
      <c r="C720" s="1" t="s">
        <v>90</v>
      </c>
      <c r="D720" s="1">
        <v>145.02387719999999</v>
      </c>
      <c r="E720" s="1">
        <v>439.298</v>
      </c>
      <c r="F720" s="1">
        <v>219.52199999999999</v>
      </c>
      <c r="G720" s="1"/>
      <c r="H720" s="1"/>
    </row>
    <row r="721" spans="1:8" x14ac:dyDescent="0.35">
      <c r="A721" s="1" t="s">
        <v>48</v>
      </c>
      <c r="B721" s="1" t="s">
        <v>85</v>
      </c>
      <c r="C721" s="1" t="s">
        <v>90</v>
      </c>
      <c r="D721" s="1">
        <v>6109.979773</v>
      </c>
      <c r="E721" s="1">
        <v>1604.98</v>
      </c>
      <c r="F721" s="1">
        <v>421.95800000000003</v>
      </c>
      <c r="G721" s="1"/>
      <c r="H721" s="1"/>
    </row>
    <row r="722" spans="1:8" x14ac:dyDescent="0.35">
      <c r="A722" s="1" t="s">
        <v>48</v>
      </c>
      <c r="B722" s="1" t="s">
        <v>86</v>
      </c>
      <c r="C722" s="1" t="s">
        <v>90</v>
      </c>
      <c r="D722" s="1">
        <v>10002.0373</v>
      </c>
      <c r="E722" s="1">
        <v>4896.2340000000004</v>
      </c>
      <c r="F722" s="1">
        <v>1443.13</v>
      </c>
      <c r="G722" s="1">
        <v>18988.477760000002</v>
      </c>
      <c r="H722" s="1">
        <v>5596.7181950000004</v>
      </c>
    </row>
    <row r="723" spans="1:8" x14ac:dyDescent="0.35">
      <c r="A723" s="1" t="s">
        <v>49</v>
      </c>
      <c r="B723" s="1" t="s">
        <v>89</v>
      </c>
      <c r="C723" s="1" t="s">
        <v>90</v>
      </c>
      <c r="D723" s="1">
        <v>3570.2769920000001</v>
      </c>
      <c r="E723" s="1">
        <v>1018.385</v>
      </c>
      <c r="F723" s="1">
        <v>235.238</v>
      </c>
      <c r="G723" s="1"/>
      <c r="H723" s="1">
        <v>9604.9930039999999</v>
      </c>
    </row>
    <row r="724" spans="1:8" x14ac:dyDescent="0.35">
      <c r="A724" s="1" t="s">
        <v>49</v>
      </c>
      <c r="B724" s="1" t="s">
        <v>91</v>
      </c>
      <c r="C724" s="1" t="s">
        <v>90</v>
      </c>
      <c r="D724" s="1">
        <v>681.25243</v>
      </c>
      <c r="E724" s="1">
        <v>8677.8799999999992</v>
      </c>
      <c r="F724" s="1">
        <v>4338.9399999999996</v>
      </c>
      <c r="G724" s="1"/>
      <c r="H724" s="1"/>
    </row>
    <row r="725" spans="1:8" x14ac:dyDescent="0.35">
      <c r="A725" s="1" t="s">
        <v>49</v>
      </c>
      <c r="B725" s="1" t="s">
        <v>82</v>
      </c>
      <c r="C725" s="1" t="s">
        <v>90</v>
      </c>
      <c r="D725" s="1">
        <v>910.30824440000004</v>
      </c>
      <c r="E725" s="1">
        <v>1815.473</v>
      </c>
      <c r="F725" s="1">
        <v>900.38699999999994</v>
      </c>
      <c r="G725" s="1"/>
      <c r="H725" s="1"/>
    </row>
    <row r="726" spans="1:8" x14ac:dyDescent="0.35">
      <c r="A726" s="1" t="s">
        <v>49</v>
      </c>
      <c r="B726" s="1" t="s">
        <v>83</v>
      </c>
      <c r="C726" s="1" t="s">
        <v>90</v>
      </c>
      <c r="D726" s="1">
        <v>1902.6653389999999</v>
      </c>
      <c r="E726" s="1">
        <v>1501.4490000000001</v>
      </c>
      <c r="F726" s="1">
        <v>720.68299999999999</v>
      </c>
      <c r="G726" s="1"/>
      <c r="H726" s="1"/>
    </row>
    <row r="727" spans="1:8" x14ac:dyDescent="0.35">
      <c r="A727" s="1" t="s">
        <v>49</v>
      </c>
      <c r="B727" s="1" t="s">
        <v>84</v>
      </c>
      <c r="C727" s="1" t="s">
        <v>90</v>
      </c>
      <c r="D727" s="1">
        <v>27.39060375</v>
      </c>
      <c r="E727" s="1">
        <v>122.64</v>
      </c>
      <c r="F727" s="1">
        <v>61.32</v>
      </c>
      <c r="G727" s="1"/>
      <c r="H727" s="1"/>
    </row>
    <row r="728" spans="1:8" x14ac:dyDescent="0.35">
      <c r="A728" s="1" t="s">
        <v>49</v>
      </c>
      <c r="B728" s="1" t="s">
        <v>85</v>
      </c>
      <c r="C728" s="1" t="s">
        <v>90</v>
      </c>
      <c r="D728" s="1">
        <v>93.280239499999993</v>
      </c>
      <c r="E728" s="1">
        <v>51.337000000000003</v>
      </c>
      <c r="F728" s="1">
        <v>14.271000000000001</v>
      </c>
      <c r="G728" s="1"/>
      <c r="H728" s="1"/>
    </row>
    <row r="729" spans="1:8" x14ac:dyDescent="0.35">
      <c r="A729" s="1" t="s">
        <v>49</v>
      </c>
      <c r="B729" s="1" t="s">
        <v>86</v>
      </c>
      <c r="C729" s="1" t="s">
        <v>90</v>
      </c>
      <c r="D729" s="1">
        <v>2281.0601999999999</v>
      </c>
      <c r="E729" s="1">
        <v>1278.367</v>
      </c>
      <c r="F729" s="1">
        <v>405.988</v>
      </c>
      <c r="G729" s="1">
        <v>15393.262860000001</v>
      </c>
      <c r="H729" s="1">
        <v>4888.6430890000001</v>
      </c>
    </row>
    <row r="730" spans="1:8" x14ac:dyDescent="0.35">
      <c r="A730" s="1" t="s">
        <v>50</v>
      </c>
      <c r="B730" s="1" t="s">
        <v>89</v>
      </c>
      <c r="C730" s="1" t="s">
        <v>90</v>
      </c>
      <c r="D730" s="1">
        <v>8344.5900249999995</v>
      </c>
      <c r="E730" s="1">
        <v>1787.82</v>
      </c>
      <c r="F730" s="1">
        <v>366.26</v>
      </c>
      <c r="G730" s="1"/>
      <c r="H730" s="1">
        <v>12787.57955</v>
      </c>
    </row>
    <row r="731" spans="1:8" x14ac:dyDescent="0.35">
      <c r="A731" s="1" t="s">
        <v>50</v>
      </c>
      <c r="B731" s="1" t="s">
        <v>91</v>
      </c>
      <c r="C731" s="1" t="s">
        <v>90</v>
      </c>
      <c r="D731" s="1">
        <v>2977.07323</v>
      </c>
      <c r="E731" s="1">
        <v>31263.55</v>
      </c>
      <c r="F731" s="1">
        <v>15631.775</v>
      </c>
      <c r="G731" s="1"/>
      <c r="H731" s="1"/>
    </row>
    <row r="732" spans="1:8" x14ac:dyDescent="0.35">
      <c r="A732" s="1" t="s">
        <v>50</v>
      </c>
      <c r="B732" s="1" t="s">
        <v>82</v>
      </c>
      <c r="C732" s="1" t="s">
        <v>90</v>
      </c>
      <c r="D732" s="1">
        <v>3132.214543</v>
      </c>
      <c r="E732" s="1">
        <v>6188.0730000000003</v>
      </c>
      <c r="F732" s="1">
        <v>2989.1080000000002</v>
      </c>
      <c r="G732" s="1"/>
      <c r="H732" s="1"/>
    </row>
    <row r="733" spans="1:8" x14ac:dyDescent="0.35">
      <c r="A733" s="1" t="s">
        <v>50</v>
      </c>
      <c r="B733" s="1" t="s">
        <v>83</v>
      </c>
      <c r="C733" s="1" t="s">
        <v>90</v>
      </c>
      <c r="D733" s="1">
        <v>5714.8081320000001</v>
      </c>
      <c r="E733" s="1">
        <v>6275.8890000000001</v>
      </c>
      <c r="F733" s="1">
        <v>2683.39</v>
      </c>
      <c r="G733" s="1"/>
      <c r="H733" s="1"/>
    </row>
    <row r="734" spans="1:8" x14ac:dyDescent="0.35">
      <c r="A734" s="1" t="s">
        <v>50</v>
      </c>
      <c r="B734" s="1" t="s">
        <v>84</v>
      </c>
      <c r="C734" s="1" t="s">
        <v>90</v>
      </c>
      <c r="D734" s="1">
        <v>0</v>
      </c>
      <c r="E734" s="1">
        <v>0</v>
      </c>
      <c r="F734" s="1">
        <v>0</v>
      </c>
      <c r="G734" s="1"/>
      <c r="H734" s="1"/>
    </row>
    <row r="735" spans="1:8" x14ac:dyDescent="0.35">
      <c r="A735" s="1" t="s">
        <v>50</v>
      </c>
      <c r="B735" s="1" t="s">
        <v>85</v>
      </c>
      <c r="C735" s="1" t="s">
        <v>90</v>
      </c>
      <c r="D735" s="1">
        <v>3472.9509090000001</v>
      </c>
      <c r="E735" s="1">
        <v>1401.11</v>
      </c>
      <c r="F735" s="1">
        <v>341.91</v>
      </c>
      <c r="G735" s="1"/>
      <c r="H735" s="1"/>
    </row>
    <row r="736" spans="1:8" x14ac:dyDescent="0.35">
      <c r="A736" s="1" t="s">
        <v>50</v>
      </c>
      <c r="B736" s="1" t="s">
        <v>86</v>
      </c>
      <c r="C736" s="1" t="s">
        <v>90</v>
      </c>
      <c r="D736" s="1">
        <v>9320.3992789999993</v>
      </c>
      <c r="E736" s="1">
        <v>6062.9790000000003</v>
      </c>
      <c r="F736" s="1">
        <v>1950.501</v>
      </c>
      <c r="G736" s="1">
        <v>13091.682849999999</v>
      </c>
      <c r="H736" s="1">
        <v>4211.6821600000003</v>
      </c>
    </row>
    <row r="737" spans="1:8" x14ac:dyDescent="0.35">
      <c r="A737" s="1" t="s">
        <v>51</v>
      </c>
      <c r="B737" s="1" t="s">
        <v>89</v>
      </c>
      <c r="C737" s="1" t="s">
        <v>90</v>
      </c>
      <c r="D737" s="1">
        <v>561.38314690000004</v>
      </c>
      <c r="E737" s="1">
        <v>423.036</v>
      </c>
      <c r="F737" s="1">
        <v>105.759</v>
      </c>
      <c r="G737" s="1"/>
      <c r="H737" s="1">
        <v>3635.709535</v>
      </c>
    </row>
    <row r="738" spans="1:8" x14ac:dyDescent="0.35">
      <c r="A738" s="1" t="s">
        <v>51</v>
      </c>
      <c r="B738" s="1" t="s">
        <v>91</v>
      </c>
      <c r="C738" s="1" t="s">
        <v>90</v>
      </c>
      <c r="D738" s="1">
        <v>551.46025999999995</v>
      </c>
      <c r="E738" s="1">
        <v>3219.38</v>
      </c>
      <c r="F738" s="1">
        <v>1609.69</v>
      </c>
      <c r="G738" s="1"/>
      <c r="H738" s="1"/>
    </row>
    <row r="739" spans="1:8" x14ac:dyDescent="0.35">
      <c r="A739" s="1" t="s">
        <v>51</v>
      </c>
      <c r="B739" s="1" t="s">
        <v>82</v>
      </c>
      <c r="C739" s="1" t="s">
        <v>90</v>
      </c>
      <c r="D739" s="1">
        <v>520.15199470000005</v>
      </c>
      <c r="E739" s="1">
        <v>1071.989</v>
      </c>
      <c r="F739" s="1">
        <v>526.93799999999999</v>
      </c>
      <c r="G739" s="1"/>
      <c r="H739" s="1"/>
    </row>
    <row r="740" spans="1:8" x14ac:dyDescent="0.35">
      <c r="A740" s="1" t="s">
        <v>51</v>
      </c>
      <c r="B740" s="1" t="s">
        <v>83</v>
      </c>
      <c r="C740" s="1" t="s">
        <v>90</v>
      </c>
      <c r="D740" s="1">
        <v>471.90668160000001</v>
      </c>
      <c r="E740" s="1">
        <v>640.39700000000005</v>
      </c>
      <c r="F740" s="1">
        <v>256.84899999999999</v>
      </c>
      <c r="G740" s="1"/>
      <c r="H740" s="1"/>
    </row>
    <row r="741" spans="1:8" x14ac:dyDescent="0.35">
      <c r="A741" s="1" t="s">
        <v>51</v>
      </c>
      <c r="B741" s="1" t="s">
        <v>84</v>
      </c>
      <c r="C741" s="1" t="s">
        <v>90</v>
      </c>
      <c r="D741" s="1">
        <v>111.1629557</v>
      </c>
      <c r="E741" s="1">
        <v>244.61799999999999</v>
      </c>
      <c r="F741" s="1">
        <v>119.78400000000001</v>
      </c>
      <c r="G741" s="1"/>
      <c r="H741" s="1"/>
    </row>
    <row r="742" spans="1:8" x14ac:dyDescent="0.35">
      <c r="A742" s="1" t="s">
        <v>51</v>
      </c>
      <c r="B742" s="1" t="s">
        <v>85</v>
      </c>
      <c r="C742" s="1" t="s">
        <v>90</v>
      </c>
      <c r="D742" s="1">
        <v>10.804096360000001</v>
      </c>
      <c r="E742" s="1">
        <v>10.94</v>
      </c>
      <c r="F742" s="1">
        <v>2.7349999999999999</v>
      </c>
      <c r="G742" s="1"/>
      <c r="H742" s="1"/>
    </row>
    <row r="743" spans="1:8" x14ac:dyDescent="0.35">
      <c r="A743" s="1" t="s">
        <v>51</v>
      </c>
      <c r="B743" s="1" t="s">
        <v>86</v>
      </c>
      <c r="C743" s="1" t="s">
        <v>90</v>
      </c>
      <c r="D743" s="1">
        <v>791.16165420000004</v>
      </c>
      <c r="E743" s="1">
        <v>766.98199999999997</v>
      </c>
      <c r="F743" s="1">
        <v>239.38</v>
      </c>
      <c r="G743" s="1">
        <v>9054.9176040000002</v>
      </c>
      <c r="H743" s="1">
        <v>2826.097843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6848-D2F5-47DB-8591-2CFFF0FF381A}">
  <dimension ref="A1:R57"/>
  <sheetViews>
    <sheetView topLeftCell="E1" workbookViewId="0">
      <selection activeCell="R57" sqref="R57"/>
    </sheetView>
  </sheetViews>
  <sheetFormatPr defaultRowHeight="14.5" x14ac:dyDescent="0.35"/>
  <cols>
    <col min="2" max="2" width="15.81640625" bestFit="1" customWidth="1"/>
    <col min="7" max="7" width="11.7265625" customWidth="1"/>
    <col min="9" max="9" width="23.54296875" bestFit="1" customWidth="1"/>
    <col min="10" max="10" width="24.6328125" bestFit="1" customWidth="1"/>
    <col min="11" max="11" width="23.54296875" bestFit="1" customWidth="1"/>
  </cols>
  <sheetData>
    <row r="1" spans="1:18" x14ac:dyDescent="0.35">
      <c r="F1" t="s">
        <v>261</v>
      </c>
      <c r="G1" t="s">
        <v>263</v>
      </c>
      <c r="H1" t="s">
        <v>264</v>
      </c>
      <c r="I1" s="4" t="s">
        <v>258</v>
      </c>
      <c r="M1" s="4"/>
    </row>
    <row r="2" spans="1:18" x14ac:dyDescent="0.35">
      <c r="B2" s="20" t="s">
        <v>259</v>
      </c>
      <c r="C2" s="20"/>
      <c r="D2" s="20"/>
      <c r="E2" s="20"/>
      <c r="G2" s="17">
        <f>SUM([1]AEO_VMT_Base!$B$6:$B$7)/[1]AEO_VMT_Base!$B$10</f>
        <v>0.90535164725664219</v>
      </c>
      <c r="H2" s="18">
        <f>1-G2</f>
        <v>9.4648352743357811E-2</v>
      </c>
      <c r="I2" s="17">
        <v>0.75199579050384902</v>
      </c>
      <c r="J2" s="17">
        <v>0.87735831905237105</v>
      </c>
      <c r="K2" s="17">
        <v>0.89836813906696733</v>
      </c>
      <c r="L2" s="17">
        <v>0.93268934201593456</v>
      </c>
      <c r="M2" s="17"/>
      <c r="N2" s="17"/>
      <c r="O2" s="17"/>
      <c r="P2" s="17"/>
    </row>
    <row r="3" spans="1:18" x14ac:dyDescent="0.35">
      <c r="C3" t="s">
        <v>262</v>
      </c>
      <c r="E3" t="s">
        <v>260</v>
      </c>
      <c r="F3" t="s">
        <v>255</v>
      </c>
      <c r="G3" s="4" t="s">
        <v>265</v>
      </c>
      <c r="H3" s="4" t="s">
        <v>266</v>
      </c>
      <c r="I3" s="4" t="s">
        <v>267</v>
      </c>
      <c r="J3" s="4" t="s">
        <v>268</v>
      </c>
      <c r="K3" s="4" t="s">
        <v>269</v>
      </c>
      <c r="L3" s="4" t="s">
        <v>270</v>
      </c>
      <c r="M3" s="4" t="s">
        <v>267</v>
      </c>
      <c r="N3" s="4" t="s">
        <v>268</v>
      </c>
      <c r="O3" s="4" t="s">
        <v>269</v>
      </c>
      <c r="P3" s="4" t="s">
        <v>270</v>
      </c>
      <c r="Q3" s="4" t="s">
        <v>271</v>
      </c>
      <c r="R3" s="4" t="s">
        <v>272</v>
      </c>
    </row>
    <row r="4" spans="1:18" x14ac:dyDescent="0.35">
      <c r="A4" t="s">
        <v>0</v>
      </c>
      <c r="B4" t="s">
        <v>278</v>
      </c>
      <c r="C4" t="s">
        <v>279</v>
      </c>
      <c r="D4" t="s">
        <v>280</v>
      </c>
      <c r="E4" t="s">
        <v>281</v>
      </c>
      <c r="F4" t="s">
        <v>273</v>
      </c>
      <c r="G4" t="s">
        <v>274</v>
      </c>
      <c r="H4" t="s">
        <v>275</v>
      </c>
      <c r="I4" t="s">
        <v>276</v>
      </c>
      <c r="J4" t="s">
        <v>277</v>
      </c>
      <c r="K4" t="s">
        <v>276</v>
      </c>
      <c r="L4" t="s">
        <v>282</v>
      </c>
      <c r="M4" t="s">
        <v>283</v>
      </c>
      <c r="N4" t="s">
        <v>284</v>
      </c>
      <c r="O4" t="s">
        <v>285</v>
      </c>
      <c r="P4" t="s">
        <v>286</v>
      </c>
      <c r="Q4" t="s">
        <v>287</v>
      </c>
      <c r="R4" t="s">
        <v>288</v>
      </c>
    </row>
    <row r="5" spans="1:18" x14ac:dyDescent="0.35">
      <c r="A5" t="s">
        <v>3</v>
      </c>
      <c r="B5" s="5">
        <v>6644.1635999999999</v>
      </c>
      <c r="C5" s="5">
        <v>9354.2180499999995</v>
      </c>
      <c r="D5" s="5">
        <v>5574.0811599999997</v>
      </c>
      <c r="E5" s="5">
        <v>9992.8711800000001</v>
      </c>
      <c r="F5" s="5">
        <v>71734.627819999994</v>
      </c>
      <c r="G5" s="19">
        <f t="shared" ref="G5:G36" si="0">F5*$G$2</f>
        <v>64945.063462179147</v>
      </c>
      <c r="H5" s="19">
        <f t="shared" ref="H5:H36" si="1">F5-G5</f>
        <v>6789.5643578208474</v>
      </c>
      <c r="I5">
        <f t="shared" ref="I5:I36" si="2">B5*$I$2</f>
        <v>4996.3830586188988</v>
      </c>
      <c r="J5">
        <f t="shared" ref="J5:J36" si="3">C5*$J$2</f>
        <v>8207.0010243973484</v>
      </c>
      <c r="K5">
        <f t="shared" ref="K5:K36" si="4">D5*$K$2</f>
        <v>5007.5769187174419</v>
      </c>
      <c r="L5">
        <f t="shared" ref="L5:L36" si="5">E5*$L$2</f>
        <v>9320.2444457241963</v>
      </c>
      <c r="M5">
        <f t="shared" ref="M5:M36" si="6">B5*(1-$I$2)</f>
        <v>1647.7805413811006</v>
      </c>
      <c r="N5">
        <f t="shared" ref="N5:N36" si="7">C5*(1-$J$2)</f>
        <v>1147.2170256026518</v>
      </c>
      <c r="O5">
        <f t="shared" ref="O5:O36" si="8">D5*(1-$K$2)</f>
        <v>566.50424128255736</v>
      </c>
      <c r="P5">
        <f t="shared" ref="P5:P36" si="9">E5*(1-$L$2)</f>
        <v>672.62673427580444</v>
      </c>
      <c r="Q5" s="17">
        <f>SUM(I5:L5)/G5</f>
        <v>0.42391529055154009</v>
      </c>
      <c r="R5" s="17">
        <f>SUM(M5:P5)/H5</f>
        <v>0.59416603627819387</v>
      </c>
    </row>
    <row r="6" spans="1:18" x14ac:dyDescent="0.35">
      <c r="A6" t="s">
        <v>4</v>
      </c>
      <c r="B6" s="5">
        <v>850.57822999999996</v>
      </c>
      <c r="C6" s="5">
        <v>790.13103999999998</v>
      </c>
      <c r="D6" s="5">
        <v>333.18556000000001</v>
      </c>
      <c r="E6" s="5">
        <v>980.99573999999996</v>
      </c>
      <c r="F6" s="5">
        <v>5881.3031400000009</v>
      </c>
      <c r="G6" s="19">
        <f t="shared" si="0"/>
        <v>5324.647485814663</v>
      </c>
      <c r="H6" s="19">
        <f t="shared" si="1"/>
        <v>556.65565418533788</v>
      </c>
      <c r="I6">
        <f t="shared" si="2"/>
        <v>639.63124845421464</v>
      </c>
      <c r="J6">
        <f t="shared" si="3"/>
        <v>693.22804108550179</v>
      </c>
      <c r="K6">
        <f t="shared" si="4"/>
        <v>299.32329150118539</v>
      </c>
      <c r="L6">
        <f t="shared" si="5"/>
        <v>914.96427126103481</v>
      </c>
      <c r="M6">
        <f t="shared" si="6"/>
        <v>210.94698154578529</v>
      </c>
      <c r="N6">
        <f t="shared" si="7"/>
        <v>96.902998914498241</v>
      </c>
      <c r="O6">
        <f t="shared" si="8"/>
        <v>33.862268498814615</v>
      </c>
      <c r="P6">
        <f t="shared" si="9"/>
        <v>66.031468738965174</v>
      </c>
      <c r="Q6" s="17">
        <f t="shared" ref="Q6:Q57" si="10">SUM(I6:L6)/G6</f>
        <v>0.47836910501357388</v>
      </c>
      <c r="R6" s="17">
        <f t="shared" ref="R6:R57" si="11">SUM(M6:P6)/H6</f>
        <v>0.73248823510971728</v>
      </c>
    </row>
    <row r="7" spans="1:18" x14ac:dyDescent="0.35">
      <c r="A7" t="s">
        <v>5</v>
      </c>
      <c r="B7" s="5">
        <v>7158.0484699999997</v>
      </c>
      <c r="C7" s="5">
        <v>8090.3361100000002</v>
      </c>
      <c r="D7" s="5">
        <v>3614.0083</v>
      </c>
      <c r="E7" s="5">
        <v>14112.207249999999</v>
      </c>
      <c r="F7" s="5">
        <v>70280.646479999996</v>
      </c>
      <c r="G7" s="19">
        <f t="shared" si="0"/>
        <v>63628.699060929728</v>
      </c>
      <c r="H7" s="19">
        <f t="shared" si="1"/>
        <v>6651.9474190702676</v>
      </c>
      <c r="I7">
        <f t="shared" si="2"/>
        <v>5382.822317662517</v>
      </c>
      <c r="J7">
        <f t="shared" si="3"/>
        <v>7098.1236900382983</v>
      </c>
      <c r="K7">
        <f t="shared" si="4"/>
        <v>3246.7099110435743</v>
      </c>
      <c r="L7">
        <f t="shared" si="5"/>
        <v>13162.305294395001</v>
      </c>
      <c r="M7">
        <f t="shared" si="6"/>
        <v>1775.226152337483</v>
      </c>
      <c r="N7">
        <f t="shared" si="7"/>
        <v>992.21241996170158</v>
      </c>
      <c r="O7">
        <f t="shared" si="8"/>
        <v>367.29838895642581</v>
      </c>
      <c r="P7">
        <f t="shared" si="9"/>
        <v>949.90195560499865</v>
      </c>
      <c r="Q7" s="17">
        <f t="shared" si="10"/>
        <v>0.45403979084147023</v>
      </c>
      <c r="R7" s="17">
        <f t="shared" si="11"/>
        <v>0.61405159414677291</v>
      </c>
    </row>
    <row r="8" spans="1:18" x14ac:dyDescent="0.35">
      <c r="A8" t="s">
        <v>6</v>
      </c>
      <c r="B8" s="5">
        <v>4296.7689700000001</v>
      </c>
      <c r="C8" s="5">
        <v>5655.4303</v>
      </c>
      <c r="D8" s="5">
        <v>4076.81727</v>
      </c>
      <c r="E8" s="5">
        <v>4322.2232299999996</v>
      </c>
      <c r="F8" s="5">
        <v>37099.019809999998</v>
      </c>
      <c r="G8" s="19">
        <f t="shared" si="0"/>
        <v>33587.658696590297</v>
      </c>
      <c r="H8" s="19">
        <f t="shared" si="1"/>
        <v>3511.3611134097009</v>
      </c>
      <c r="I8">
        <f t="shared" si="2"/>
        <v>3231.1521782075592</v>
      </c>
      <c r="J8">
        <f t="shared" si="3"/>
        <v>4961.8388215258465</v>
      </c>
      <c r="K8">
        <f t="shared" si="4"/>
        <v>3662.4827441659741</v>
      </c>
      <c r="L8">
        <f t="shared" si="5"/>
        <v>4031.2915404346872</v>
      </c>
      <c r="M8">
        <f t="shared" si="6"/>
        <v>1065.6167917924408</v>
      </c>
      <c r="N8">
        <f t="shared" si="7"/>
        <v>693.59147847415352</v>
      </c>
      <c r="O8">
        <f t="shared" si="8"/>
        <v>414.3345258340259</v>
      </c>
      <c r="P8">
        <f t="shared" si="9"/>
        <v>290.93168956531258</v>
      </c>
      <c r="Q8" s="17">
        <f t="shared" si="10"/>
        <v>0.47299412643926969</v>
      </c>
      <c r="R8" s="17">
        <f t="shared" si="11"/>
        <v>0.70185731574409593</v>
      </c>
    </row>
    <row r="9" spans="1:18" x14ac:dyDescent="0.35">
      <c r="A9" t="s">
        <v>7</v>
      </c>
      <c r="B9" s="5">
        <v>17184.357929999998</v>
      </c>
      <c r="C9" s="5">
        <v>74947.063479999997</v>
      </c>
      <c r="D9" s="5">
        <v>16643.360710000001</v>
      </c>
      <c r="E9" s="5">
        <v>113582.42974000001</v>
      </c>
      <c r="F9" s="5">
        <v>340836.25153000001</v>
      </c>
      <c r="G9" s="19">
        <f t="shared" si="0"/>
        <v>308576.66176746471</v>
      </c>
      <c r="H9" s="19">
        <f t="shared" si="1"/>
        <v>32259.589762535295</v>
      </c>
      <c r="I9">
        <f t="shared" si="2"/>
        <v>12922.564825871435</v>
      </c>
      <c r="J9">
        <f t="shared" si="3"/>
        <v>65755.429632724146</v>
      </c>
      <c r="K9">
        <f t="shared" si="4"/>
        <v>14951.864988862981</v>
      </c>
      <c r="L9">
        <f t="shared" si="5"/>
        <v>105937.12165877172</v>
      </c>
      <c r="M9">
        <f t="shared" si="6"/>
        <v>4261.7931041285628</v>
      </c>
      <c r="N9">
        <f t="shared" si="7"/>
        <v>9191.6338472758525</v>
      </c>
      <c r="O9">
        <f t="shared" si="8"/>
        <v>1691.4957211370199</v>
      </c>
      <c r="P9">
        <f t="shared" si="9"/>
        <v>7645.3080812282833</v>
      </c>
      <c r="Q9" s="17">
        <f t="shared" si="10"/>
        <v>0.6467338779386328</v>
      </c>
      <c r="R9" s="17">
        <f t="shared" si="11"/>
        <v>0.70646374989669503</v>
      </c>
    </row>
    <row r="10" spans="1:18" x14ac:dyDescent="0.35">
      <c r="A10" t="s">
        <v>8</v>
      </c>
      <c r="B10" s="5">
        <v>4935.0395900000003</v>
      </c>
      <c r="C10" s="5">
        <v>9927.1580900000008</v>
      </c>
      <c r="D10" s="5">
        <v>4781.9092199999996</v>
      </c>
      <c r="E10" s="5">
        <v>15127.131649999999</v>
      </c>
      <c r="F10" s="5">
        <v>54633.554510000002</v>
      </c>
      <c r="G10" s="19">
        <f t="shared" si="0"/>
        <v>49462.578571114056</v>
      </c>
      <c r="H10" s="19">
        <f t="shared" si="1"/>
        <v>5170.9759388859457</v>
      </c>
      <c r="I10">
        <f t="shared" si="2"/>
        <v>3711.128997649841</v>
      </c>
      <c r="J10">
        <f t="shared" si="3"/>
        <v>8709.6747348095469</v>
      </c>
      <c r="K10">
        <f t="shared" si="4"/>
        <v>4295.914887158573</v>
      </c>
      <c r="L10">
        <f t="shared" si="5"/>
        <v>14108.914465226919</v>
      </c>
      <c r="M10">
        <f t="shared" si="6"/>
        <v>1223.910592350159</v>
      </c>
      <c r="N10">
        <f t="shared" si="7"/>
        <v>1217.4833551904537</v>
      </c>
      <c r="O10">
        <f t="shared" si="8"/>
        <v>485.99433284142668</v>
      </c>
      <c r="P10">
        <f t="shared" si="9"/>
        <v>1018.2171847730814</v>
      </c>
      <c r="Q10" s="17">
        <f t="shared" si="10"/>
        <v>0.62321120279901709</v>
      </c>
      <c r="R10" s="17">
        <f t="shared" si="11"/>
        <v>0.76302916737322446</v>
      </c>
    </row>
    <row r="11" spans="1:18" x14ac:dyDescent="0.35">
      <c r="A11" t="s">
        <v>9</v>
      </c>
      <c r="B11" s="5">
        <v>490.17237</v>
      </c>
      <c r="C11" s="5">
        <v>9806.0856199999998</v>
      </c>
      <c r="D11" s="5">
        <v>752.85447999999997</v>
      </c>
      <c r="E11" s="5">
        <v>8129.1675800000003</v>
      </c>
      <c r="F11" s="5">
        <v>31600.848359999996</v>
      </c>
      <c r="G11" s="19">
        <f t="shared" si="0"/>
        <v>28609.880117433357</v>
      </c>
      <c r="H11" s="19">
        <f t="shared" si="1"/>
        <v>2990.9682425666397</v>
      </c>
      <c r="I11">
        <f t="shared" si="2"/>
        <v>368.60755886129516</v>
      </c>
      <c r="J11">
        <f t="shared" si="3"/>
        <v>8603.4507960468272</v>
      </c>
      <c r="K11">
        <f t="shared" si="4"/>
        <v>676.3404781858294</v>
      </c>
      <c r="L11">
        <f t="shared" si="5"/>
        <v>7581.987961327467</v>
      </c>
      <c r="M11">
        <f t="shared" si="6"/>
        <v>121.56481113870484</v>
      </c>
      <c r="N11">
        <f t="shared" si="7"/>
        <v>1202.6348239531721</v>
      </c>
      <c r="O11">
        <f t="shared" si="8"/>
        <v>76.514001814170626</v>
      </c>
      <c r="P11">
        <f t="shared" si="9"/>
        <v>547.17961867253291</v>
      </c>
      <c r="Q11" s="17">
        <f t="shared" si="10"/>
        <v>0.6022530232107518</v>
      </c>
      <c r="R11" s="17">
        <f t="shared" si="11"/>
        <v>0.65125842122182975</v>
      </c>
    </row>
    <row r="12" spans="1:18" x14ac:dyDescent="0.35">
      <c r="A12" t="s">
        <v>10</v>
      </c>
      <c r="B12" s="5">
        <v>0</v>
      </c>
      <c r="C12" s="5">
        <v>1496.0450800000001</v>
      </c>
      <c r="D12" s="5">
        <v>1115.8550299999999</v>
      </c>
      <c r="E12" s="5">
        <v>3090.5949300000002</v>
      </c>
      <c r="F12" s="5">
        <v>10245.15892</v>
      </c>
      <c r="G12" s="19">
        <f t="shared" si="0"/>
        <v>9275.4715046280817</v>
      </c>
      <c r="H12" s="19">
        <f t="shared" si="1"/>
        <v>969.68741537191818</v>
      </c>
      <c r="I12">
        <f t="shared" si="2"/>
        <v>0</v>
      </c>
      <c r="J12">
        <f t="shared" si="3"/>
        <v>1312.5675966153701</v>
      </c>
      <c r="K12">
        <f t="shared" si="4"/>
        <v>1002.4486067696149</v>
      </c>
      <c r="L12">
        <f t="shared" si="5"/>
        <v>2882.5649516994836</v>
      </c>
      <c r="M12">
        <f t="shared" si="6"/>
        <v>0</v>
      </c>
      <c r="N12">
        <f t="shared" si="7"/>
        <v>183.47748338463003</v>
      </c>
      <c r="O12">
        <f t="shared" si="8"/>
        <v>113.40642323038499</v>
      </c>
      <c r="P12">
        <f t="shared" si="9"/>
        <v>208.02997830051666</v>
      </c>
      <c r="Q12" s="17">
        <f t="shared" si="10"/>
        <v>0.56035762198084349</v>
      </c>
      <c r="R12" s="17">
        <f t="shared" si="11"/>
        <v>0.52069757419907814</v>
      </c>
    </row>
    <row r="13" spans="1:18" x14ac:dyDescent="0.35">
      <c r="A13" t="s">
        <v>11</v>
      </c>
      <c r="B13" s="5">
        <v>0</v>
      </c>
      <c r="C13" s="5">
        <v>521.12662999999998</v>
      </c>
      <c r="D13" s="5">
        <v>0</v>
      </c>
      <c r="E13" s="5">
        <v>1443.4212399999999</v>
      </c>
      <c r="F13" s="5">
        <v>3756.0697499999997</v>
      </c>
      <c r="G13" s="19">
        <f t="shared" si="0"/>
        <v>3400.5639353733441</v>
      </c>
      <c r="H13" s="19">
        <f t="shared" si="1"/>
        <v>355.50581462665559</v>
      </c>
      <c r="I13">
        <f t="shared" si="2"/>
        <v>0</v>
      </c>
      <c r="J13">
        <f t="shared" si="3"/>
        <v>457.2147841102269</v>
      </c>
      <c r="K13">
        <f t="shared" si="4"/>
        <v>0</v>
      </c>
      <c r="L13">
        <f t="shared" si="5"/>
        <v>1346.2636065874242</v>
      </c>
      <c r="M13">
        <f t="shared" si="6"/>
        <v>0</v>
      </c>
      <c r="N13">
        <f t="shared" si="7"/>
        <v>63.911845889773076</v>
      </c>
      <c r="O13">
        <f t="shared" si="8"/>
        <v>0</v>
      </c>
      <c r="P13">
        <f t="shared" si="9"/>
        <v>97.15763341257562</v>
      </c>
      <c r="Q13" s="17">
        <f t="shared" si="10"/>
        <v>0.53034685568987816</v>
      </c>
      <c r="R13" s="17">
        <f t="shared" si="11"/>
        <v>0.45307129356379255</v>
      </c>
    </row>
    <row r="14" spans="1:18" x14ac:dyDescent="0.35">
      <c r="A14" t="s">
        <v>12</v>
      </c>
      <c r="B14" s="5">
        <v>11165.791230000001</v>
      </c>
      <c r="C14" s="5">
        <v>31627.123650000001</v>
      </c>
      <c r="D14" s="5">
        <v>11030.328869999999</v>
      </c>
      <c r="E14" s="5">
        <v>62161.199460000003</v>
      </c>
      <c r="F14" s="5">
        <v>226514.41612000001</v>
      </c>
      <c r="G14" s="19">
        <f t="shared" si="0"/>
        <v>205075.19976161851</v>
      </c>
      <c r="H14" s="19">
        <f t="shared" si="1"/>
        <v>21439.216358381498</v>
      </c>
      <c r="I14">
        <f t="shared" si="2"/>
        <v>8396.6280026047953</v>
      </c>
      <c r="J14">
        <f t="shared" si="3"/>
        <v>27748.320042025491</v>
      </c>
      <c r="K14">
        <f t="shared" si="4"/>
        <v>9909.2960202385439</v>
      </c>
      <c r="L14">
        <f t="shared" si="5"/>
        <v>57977.088223268671</v>
      </c>
      <c r="M14">
        <f t="shared" si="6"/>
        <v>2769.1632273952055</v>
      </c>
      <c r="N14">
        <f t="shared" si="7"/>
        <v>3878.8036079745102</v>
      </c>
      <c r="O14">
        <f t="shared" si="8"/>
        <v>1121.0328497614553</v>
      </c>
      <c r="P14">
        <f t="shared" si="9"/>
        <v>4184.1112367313335</v>
      </c>
      <c r="Q14" s="17">
        <f t="shared" si="10"/>
        <v>0.50728382763525071</v>
      </c>
      <c r="R14" s="17">
        <f t="shared" si="11"/>
        <v>0.5575348801025336</v>
      </c>
    </row>
    <row r="15" spans="1:18" x14ac:dyDescent="0.35">
      <c r="A15" t="s">
        <v>13</v>
      </c>
      <c r="B15" s="5">
        <v>8113.7515000000003</v>
      </c>
      <c r="C15" s="5">
        <v>25484.49797</v>
      </c>
      <c r="D15" s="5">
        <v>7436.0118400000001</v>
      </c>
      <c r="E15" s="5">
        <v>22556.175039999998</v>
      </c>
      <c r="F15" s="5">
        <v>133127.65823</v>
      </c>
      <c r="G15" s="19">
        <f t="shared" si="0"/>
        <v>120527.34467394977</v>
      </c>
      <c r="H15" s="19">
        <f t="shared" si="1"/>
        <v>12600.313556050227</v>
      </c>
      <c r="I15">
        <f t="shared" si="2"/>
        <v>6101.5069731942913</v>
      </c>
      <c r="J15">
        <f t="shared" si="3"/>
        <v>22359.036300852764</v>
      </c>
      <c r="K15">
        <f t="shared" si="4"/>
        <v>6680.2761187807355</v>
      </c>
      <c r="L15">
        <f t="shared" si="5"/>
        <v>21037.904056453845</v>
      </c>
      <c r="M15">
        <f t="shared" si="6"/>
        <v>2012.2445268057095</v>
      </c>
      <c r="N15">
        <f t="shared" si="7"/>
        <v>3125.4616691472379</v>
      </c>
      <c r="O15">
        <f t="shared" si="8"/>
        <v>755.73572121926441</v>
      </c>
      <c r="P15">
        <f t="shared" si="9"/>
        <v>1518.2709835461535</v>
      </c>
      <c r="Q15" s="17">
        <f t="shared" si="10"/>
        <v>0.46610770030034393</v>
      </c>
      <c r="R15" s="17">
        <f t="shared" si="11"/>
        <v>0.5882165445922195</v>
      </c>
    </row>
    <row r="16" spans="1:18" x14ac:dyDescent="0.35">
      <c r="A16" t="s">
        <v>14</v>
      </c>
      <c r="B16" s="5">
        <v>0</v>
      </c>
      <c r="C16" s="5">
        <v>2067.3204099999998</v>
      </c>
      <c r="D16" s="5">
        <v>352.72901000000002</v>
      </c>
      <c r="E16" s="5">
        <v>2697.00666</v>
      </c>
      <c r="F16" s="5">
        <v>11024.0049</v>
      </c>
      <c r="G16" s="19">
        <f t="shared" si="0"/>
        <v>9980.6009955802947</v>
      </c>
      <c r="H16" s="19">
        <f t="shared" si="1"/>
        <v>1043.4039044197052</v>
      </c>
      <c r="I16">
        <f t="shared" si="2"/>
        <v>0</v>
      </c>
      <c r="J16">
        <f t="shared" si="3"/>
        <v>1813.7807598602583</v>
      </c>
      <c r="K16">
        <f t="shared" si="4"/>
        <v>316.8805043086337</v>
      </c>
      <c r="L16">
        <f t="shared" si="5"/>
        <v>2515.4693671279933</v>
      </c>
      <c r="M16">
        <f t="shared" si="6"/>
        <v>0</v>
      </c>
      <c r="N16">
        <f t="shared" si="7"/>
        <v>253.53965013974144</v>
      </c>
      <c r="O16">
        <f t="shared" si="8"/>
        <v>35.848505691366292</v>
      </c>
      <c r="P16">
        <f t="shared" si="9"/>
        <v>181.53729287200665</v>
      </c>
      <c r="Q16" s="17">
        <f t="shared" si="10"/>
        <v>0.46551611805284365</v>
      </c>
      <c r="R16" s="17">
        <f t="shared" si="11"/>
        <v>0.45133571640698639</v>
      </c>
    </row>
    <row r="17" spans="1:18" x14ac:dyDescent="0.35">
      <c r="A17" t="s">
        <v>15</v>
      </c>
      <c r="B17" s="5">
        <v>2787.7912700000002</v>
      </c>
      <c r="C17" s="5">
        <v>1727.2699399999999</v>
      </c>
      <c r="D17" s="5">
        <v>2479.9039699999998</v>
      </c>
      <c r="E17" s="5">
        <v>2188.3993999999998</v>
      </c>
      <c r="F17" s="5">
        <v>18057.66158</v>
      </c>
      <c r="G17" s="19">
        <f t="shared" si="0"/>
        <v>16348.533657055979</v>
      </c>
      <c r="H17" s="19">
        <f t="shared" si="1"/>
        <v>1709.1279229440206</v>
      </c>
      <c r="I17">
        <f t="shared" si="2"/>
        <v>2096.4072998433794</v>
      </c>
      <c r="J17">
        <f t="shared" si="3"/>
        <v>1515.4346511080896</v>
      </c>
      <c r="K17">
        <f t="shared" si="4"/>
        <v>2227.8667145936843</v>
      </c>
      <c r="L17">
        <f t="shared" si="5"/>
        <v>2041.0967964540657</v>
      </c>
      <c r="M17">
        <f t="shared" si="6"/>
        <v>691.38397015662088</v>
      </c>
      <c r="N17">
        <f t="shared" si="7"/>
        <v>211.83528889191018</v>
      </c>
      <c r="O17">
        <f t="shared" si="8"/>
        <v>252.03725540631561</v>
      </c>
      <c r="P17">
        <f t="shared" si="9"/>
        <v>147.30260354593401</v>
      </c>
      <c r="Q17" s="17">
        <f t="shared" si="10"/>
        <v>0.48204968270031279</v>
      </c>
      <c r="R17" s="17">
        <f t="shared" si="11"/>
        <v>0.76211914890319399</v>
      </c>
    </row>
    <row r="18" spans="1:18" x14ac:dyDescent="0.35">
      <c r="A18" t="s">
        <v>16</v>
      </c>
      <c r="B18" s="5">
        <v>9405.1479099999997</v>
      </c>
      <c r="C18" s="5">
        <v>24517.78643</v>
      </c>
      <c r="D18" s="5">
        <v>3981.4377199999999</v>
      </c>
      <c r="E18" s="5">
        <v>21895.885590000002</v>
      </c>
      <c r="F18" s="5">
        <v>107524.64446</v>
      </c>
      <c r="G18" s="19">
        <f t="shared" si="0"/>
        <v>97347.613982545779</v>
      </c>
      <c r="H18" s="19">
        <f t="shared" si="1"/>
        <v>10177.030477454216</v>
      </c>
      <c r="I18">
        <f t="shared" si="2"/>
        <v>7072.6316373860727</v>
      </c>
      <c r="J18">
        <f t="shared" si="3"/>
        <v>21510.883889109835</v>
      </c>
      <c r="K18">
        <f t="shared" si="4"/>
        <v>3576.7967953274292</v>
      </c>
      <c r="L18">
        <f t="shared" si="5"/>
        <v>20422.059123793286</v>
      </c>
      <c r="M18">
        <f t="shared" si="6"/>
        <v>2332.5162726139265</v>
      </c>
      <c r="N18">
        <f t="shared" si="7"/>
        <v>3006.9025408901666</v>
      </c>
      <c r="O18">
        <f t="shared" si="8"/>
        <v>404.64092467257063</v>
      </c>
      <c r="P18">
        <f t="shared" si="9"/>
        <v>1473.826466206717</v>
      </c>
      <c r="Q18" s="17">
        <f t="shared" si="10"/>
        <v>0.54015059326512638</v>
      </c>
      <c r="R18" s="17">
        <f t="shared" si="11"/>
        <v>0.70923303417176509</v>
      </c>
    </row>
    <row r="19" spans="1:18" x14ac:dyDescent="0.35">
      <c r="A19" t="s">
        <v>17</v>
      </c>
      <c r="B19" s="5">
        <v>8118.3254500000003</v>
      </c>
      <c r="C19" s="5">
        <v>11154.376200000001</v>
      </c>
      <c r="D19" s="5">
        <v>5495.5285700000004</v>
      </c>
      <c r="E19" s="5">
        <v>5163.7956400000003</v>
      </c>
      <c r="F19" s="5">
        <v>82719.123000000007</v>
      </c>
      <c r="G19" s="19">
        <f t="shared" si="0"/>
        <v>74889.894267674797</v>
      </c>
      <c r="H19" s="19">
        <f t="shared" si="1"/>
        <v>7829.2287323252094</v>
      </c>
      <c r="I19">
        <f t="shared" si="2"/>
        <v>6104.9465643402664</v>
      </c>
      <c r="J19">
        <f t="shared" si="3"/>
        <v>9786.3847529097748</v>
      </c>
      <c r="K19">
        <f t="shared" si="4"/>
        <v>4937.0077746202523</v>
      </c>
      <c r="L19">
        <f t="shared" si="5"/>
        <v>4816.217157776352</v>
      </c>
      <c r="M19">
        <f t="shared" si="6"/>
        <v>2013.3788856597344</v>
      </c>
      <c r="N19">
        <f t="shared" si="7"/>
        <v>1367.9914470902258</v>
      </c>
      <c r="O19">
        <f t="shared" si="8"/>
        <v>558.52079537974794</v>
      </c>
      <c r="P19">
        <f t="shared" si="9"/>
        <v>347.57848222364828</v>
      </c>
      <c r="Q19" s="17">
        <f t="shared" si="10"/>
        <v>0.34243013026546315</v>
      </c>
      <c r="R19" s="17">
        <f t="shared" si="11"/>
        <v>0.54762349612437722</v>
      </c>
    </row>
    <row r="20" spans="1:18" x14ac:dyDescent="0.35">
      <c r="A20" t="s">
        <v>18</v>
      </c>
      <c r="B20" s="5">
        <v>5216.43145</v>
      </c>
      <c r="C20" s="5">
        <v>3225.0204699999999</v>
      </c>
      <c r="D20" s="5">
        <v>6343.6311599999999</v>
      </c>
      <c r="E20" s="5">
        <v>4081.36319</v>
      </c>
      <c r="F20" s="5">
        <v>33537.019039999999</v>
      </c>
      <c r="G20" s="19">
        <f t="shared" si="0"/>
        <v>30362.795431941373</v>
      </c>
      <c r="H20" s="19">
        <f t="shared" si="1"/>
        <v>3174.2236080586263</v>
      </c>
      <c r="I20">
        <f t="shared" si="2"/>
        <v>3922.7344918518893</v>
      </c>
      <c r="J20">
        <f t="shared" si="3"/>
        <v>2829.4985384686875</v>
      </c>
      <c r="K20">
        <f t="shared" si="4"/>
        <v>5698.9161201364268</v>
      </c>
      <c r="L20">
        <f t="shared" si="5"/>
        <v>3806.643948209156</v>
      </c>
      <c r="M20">
        <f t="shared" si="6"/>
        <v>1293.6969581481108</v>
      </c>
      <c r="N20">
        <f t="shared" si="7"/>
        <v>395.52193153131236</v>
      </c>
      <c r="O20">
        <f t="shared" si="8"/>
        <v>644.71503986357266</v>
      </c>
      <c r="P20">
        <f t="shared" si="9"/>
        <v>274.71924179084431</v>
      </c>
      <c r="Q20" s="17">
        <f t="shared" si="10"/>
        <v>0.53545112916589743</v>
      </c>
      <c r="R20" s="17">
        <f t="shared" si="11"/>
        <v>0.82182400909345754</v>
      </c>
    </row>
    <row r="21" spans="1:18" x14ac:dyDescent="0.35">
      <c r="A21" t="s">
        <v>19</v>
      </c>
      <c r="B21" s="5">
        <v>3706.1032300000002</v>
      </c>
      <c r="C21" s="5">
        <v>4116.1496200000001</v>
      </c>
      <c r="D21" s="5">
        <v>4627.7584500000003</v>
      </c>
      <c r="E21" s="5">
        <v>3249.5461500000001</v>
      </c>
      <c r="F21" s="5">
        <v>31842.519930000002</v>
      </c>
      <c r="G21" s="19">
        <f t="shared" si="0"/>
        <v>28828.677871427961</v>
      </c>
      <c r="H21" s="19">
        <f t="shared" si="1"/>
        <v>3013.8420585720414</v>
      </c>
      <c r="I21">
        <f t="shared" si="2"/>
        <v>2786.9740281327181</v>
      </c>
      <c r="J21">
        <f t="shared" si="3"/>
        <v>3611.3381115712559</v>
      </c>
      <c r="K21">
        <f t="shared" si="4"/>
        <v>4157.4307467779336</v>
      </c>
      <c r="L21">
        <f t="shared" si="5"/>
        <v>3030.8170604939137</v>
      </c>
      <c r="M21">
        <f t="shared" si="6"/>
        <v>919.12920186728184</v>
      </c>
      <c r="N21">
        <f t="shared" si="7"/>
        <v>504.81150842874416</v>
      </c>
      <c r="O21">
        <f t="shared" si="8"/>
        <v>470.32770322206687</v>
      </c>
      <c r="P21">
        <f t="shared" si="9"/>
        <v>218.72908950608661</v>
      </c>
      <c r="Q21" s="17">
        <f t="shared" si="10"/>
        <v>0.47128626597341916</v>
      </c>
      <c r="R21" s="17">
        <f t="shared" si="11"/>
        <v>0.70109762288781574</v>
      </c>
    </row>
    <row r="22" spans="1:18" x14ac:dyDescent="0.35">
      <c r="A22" t="s">
        <v>20</v>
      </c>
      <c r="B22" s="5">
        <v>8425.8981199999998</v>
      </c>
      <c r="C22" s="5">
        <v>6791.2008699999997</v>
      </c>
      <c r="D22" s="5">
        <v>5165.79864</v>
      </c>
      <c r="E22" s="5">
        <v>5569.48603</v>
      </c>
      <c r="F22" s="5">
        <v>49410.331810000003</v>
      </c>
      <c r="G22" s="19">
        <f t="shared" si="0"/>
        <v>44733.725295680772</v>
      </c>
      <c r="H22" s="19">
        <f t="shared" si="1"/>
        <v>4676.6065143192318</v>
      </c>
      <c r="I22">
        <f t="shared" si="2"/>
        <v>6336.2399174542952</v>
      </c>
      <c r="J22">
        <f t="shared" si="3"/>
        <v>5958.3165796501999</v>
      </c>
      <c r="K22">
        <f t="shared" si="4"/>
        <v>4640.7889110114711</v>
      </c>
      <c r="L22">
        <f t="shared" si="5"/>
        <v>5194.60026068764</v>
      </c>
      <c r="M22">
        <f t="shared" si="6"/>
        <v>2089.6582025457046</v>
      </c>
      <c r="N22">
        <f t="shared" si="7"/>
        <v>832.88429034980015</v>
      </c>
      <c r="O22">
        <f t="shared" si="8"/>
        <v>525.00972898852933</v>
      </c>
      <c r="P22">
        <f t="shared" si="9"/>
        <v>374.88576931236042</v>
      </c>
      <c r="Q22" s="17">
        <f t="shared" si="10"/>
        <v>0.49470383972113191</v>
      </c>
      <c r="R22" s="17">
        <f t="shared" si="11"/>
        <v>0.81735292021950723</v>
      </c>
    </row>
    <row r="23" spans="1:18" x14ac:dyDescent="0.35">
      <c r="A23" t="s">
        <v>21</v>
      </c>
      <c r="B23" s="5">
        <v>6923.8067499999997</v>
      </c>
      <c r="C23" s="5">
        <v>9795.5677899999991</v>
      </c>
      <c r="D23" s="5">
        <v>2751.8955999999998</v>
      </c>
      <c r="E23" s="5">
        <v>7597.4188899999999</v>
      </c>
      <c r="F23" s="5">
        <v>51360.303250000004</v>
      </c>
      <c r="G23" s="19">
        <f t="shared" si="0"/>
        <v>46499.135150988179</v>
      </c>
      <c r="H23" s="19">
        <f t="shared" si="1"/>
        <v>4861.1680990118257</v>
      </c>
      <c r="I23">
        <f t="shared" si="2"/>
        <v>5206.6735302621355</v>
      </c>
      <c r="J23">
        <f t="shared" si="3"/>
        <v>8594.2228903979485</v>
      </c>
      <c r="K23">
        <f t="shared" si="4"/>
        <v>2472.2153290785755</v>
      </c>
      <c r="L23">
        <f t="shared" si="5"/>
        <v>7086.031625533532</v>
      </c>
      <c r="M23">
        <f t="shared" si="6"/>
        <v>1717.1332197378642</v>
      </c>
      <c r="N23">
        <f t="shared" si="7"/>
        <v>1201.3448996020506</v>
      </c>
      <c r="O23">
        <f t="shared" si="8"/>
        <v>279.68027092142449</v>
      </c>
      <c r="P23">
        <f t="shared" si="9"/>
        <v>511.38726446646808</v>
      </c>
      <c r="Q23" s="17">
        <f t="shared" si="10"/>
        <v>0.50235651264098347</v>
      </c>
      <c r="R23" s="17">
        <f t="shared" si="11"/>
        <v>0.76309758872191247</v>
      </c>
    </row>
    <row r="24" spans="1:18" x14ac:dyDescent="0.35">
      <c r="A24" t="s">
        <v>22</v>
      </c>
      <c r="B24" s="5">
        <v>2174.83473</v>
      </c>
      <c r="C24" s="5">
        <v>1280.10169</v>
      </c>
      <c r="D24" s="5">
        <v>1880.0452700000001</v>
      </c>
      <c r="E24" s="5">
        <v>886.32785000000001</v>
      </c>
      <c r="F24" s="5">
        <v>14871.46816</v>
      </c>
      <c r="G24" s="19">
        <f t="shared" si="0"/>
        <v>13463.908195780707</v>
      </c>
      <c r="H24" s="19">
        <f t="shared" si="1"/>
        <v>1407.5599642192938</v>
      </c>
      <c r="I24">
        <f t="shared" si="2"/>
        <v>1635.4665620015751</v>
      </c>
      <c r="J24">
        <f t="shared" si="3"/>
        <v>1123.1078669544993</v>
      </c>
      <c r="K24">
        <f t="shared" si="4"/>
        <v>1688.9727705715543</v>
      </c>
      <c r="L24">
        <f t="shared" si="5"/>
        <v>826.66853922689791</v>
      </c>
      <c r="M24">
        <f t="shared" si="6"/>
        <v>539.36816799842495</v>
      </c>
      <c r="N24">
        <f t="shared" si="7"/>
        <v>156.99382304550062</v>
      </c>
      <c r="O24">
        <f t="shared" si="8"/>
        <v>191.07249942844587</v>
      </c>
      <c r="P24">
        <f t="shared" si="9"/>
        <v>59.659310773102057</v>
      </c>
      <c r="Q24" s="17">
        <f t="shared" si="10"/>
        <v>0.3917299243326206</v>
      </c>
      <c r="R24" s="17">
        <f t="shared" si="11"/>
        <v>0.67286213399141492</v>
      </c>
    </row>
    <row r="25" spans="1:18" x14ac:dyDescent="0.35">
      <c r="A25" t="s">
        <v>23</v>
      </c>
      <c r="B25" s="5">
        <v>2198.64986</v>
      </c>
      <c r="C25" s="5">
        <v>15858.952090000001</v>
      </c>
      <c r="D25" s="5">
        <v>2536.4025499999998</v>
      </c>
      <c r="E25" s="5">
        <v>17536.809300000001</v>
      </c>
      <c r="F25" s="5">
        <v>60215.89374</v>
      </c>
      <c r="G25" s="19">
        <f t="shared" si="0"/>
        <v>54516.558588539927</v>
      </c>
      <c r="H25" s="19">
        <f t="shared" si="1"/>
        <v>5699.3351514600727</v>
      </c>
      <c r="I25">
        <f t="shared" si="2"/>
        <v>1653.3754395118769</v>
      </c>
      <c r="J25">
        <f t="shared" si="3"/>
        <v>13913.983547614487</v>
      </c>
      <c r="K25">
        <f t="shared" si="4"/>
        <v>2278.6232387682103</v>
      </c>
      <c r="L25">
        <f t="shared" si="5"/>
        <v>16356.395127075923</v>
      </c>
      <c r="M25">
        <f t="shared" si="6"/>
        <v>545.27442048812304</v>
      </c>
      <c r="N25">
        <f t="shared" si="7"/>
        <v>1944.9685423855135</v>
      </c>
      <c r="O25">
        <f t="shared" si="8"/>
        <v>257.77931123178939</v>
      </c>
      <c r="P25">
        <f t="shared" si="9"/>
        <v>1180.414172924078</v>
      </c>
      <c r="Q25" s="17">
        <f t="shared" si="10"/>
        <v>0.62737594298845334</v>
      </c>
      <c r="R25" s="17">
        <f t="shared" si="11"/>
        <v>0.68927977433001208</v>
      </c>
    </row>
    <row r="26" spans="1:18" x14ac:dyDescent="0.35">
      <c r="A26" t="s">
        <v>24</v>
      </c>
      <c r="B26" s="5">
        <v>852.03332</v>
      </c>
      <c r="C26" s="5">
        <v>17265.662899999999</v>
      </c>
      <c r="D26" s="5">
        <v>868.36442999999997</v>
      </c>
      <c r="E26" s="5">
        <v>19662.990399999999</v>
      </c>
      <c r="F26" s="5">
        <v>64889.78224</v>
      </c>
      <c r="G26" s="19">
        <f t="shared" si="0"/>
        <v>58748.071241108802</v>
      </c>
      <c r="H26" s="19">
        <f t="shared" si="1"/>
        <v>6141.710998891198</v>
      </c>
      <c r="I26">
        <f t="shared" si="2"/>
        <v>640.72547000901898</v>
      </c>
      <c r="J26">
        <f t="shared" si="3"/>
        <v>15148.172979268886</v>
      </c>
      <c r="K26">
        <f t="shared" si="4"/>
        <v>780.11093701104778</v>
      </c>
      <c r="L26">
        <f t="shared" si="5"/>
        <v>18339.461578241637</v>
      </c>
      <c r="M26">
        <f t="shared" si="6"/>
        <v>211.30784999098105</v>
      </c>
      <c r="N26">
        <f t="shared" si="7"/>
        <v>2117.4899207311141</v>
      </c>
      <c r="O26">
        <f t="shared" si="8"/>
        <v>88.253492988952175</v>
      </c>
      <c r="P26">
        <f t="shared" si="9"/>
        <v>1323.528821758362</v>
      </c>
      <c r="Q26" s="17">
        <f t="shared" si="10"/>
        <v>0.59420624757640517</v>
      </c>
      <c r="R26" s="17">
        <f t="shared" si="11"/>
        <v>0.60904527844841938</v>
      </c>
    </row>
    <row r="27" spans="1:18" x14ac:dyDescent="0.35">
      <c r="A27" t="s">
        <v>25</v>
      </c>
      <c r="B27" s="5">
        <v>5783.6322300000002</v>
      </c>
      <c r="C27" s="5">
        <v>17726.66894</v>
      </c>
      <c r="D27" s="5">
        <v>7198.4935400000004</v>
      </c>
      <c r="E27" s="5">
        <v>24158.947639999999</v>
      </c>
      <c r="F27" s="5">
        <v>102173.71755</v>
      </c>
      <c r="G27" s="19">
        <f t="shared" si="0"/>
        <v>92503.14349022739</v>
      </c>
      <c r="H27" s="19">
        <f t="shared" si="1"/>
        <v>9670.5740597726108</v>
      </c>
      <c r="I27">
        <f t="shared" si="2"/>
        <v>4349.2670907823895</v>
      </c>
      <c r="J27">
        <f t="shared" si="3"/>
        <v>15552.640463596275</v>
      </c>
      <c r="K27">
        <f t="shared" si="4"/>
        <v>6466.8972456153861</v>
      </c>
      <c r="L27">
        <f t="shared" si="5"/>
        <v>22532.792978149013</v>
      </c>
      <c r="M27">
        <f t="shared" si="6"/>
        <v>1434.3651392176109</v>
      </c>
      <c r="N27">
        <f t="shared" si="7"/>
        <v>2174.0284764037237</v>
      </c>
      <c r="O27">
        <f t="shared" si="8"/>
        <v>731.59629438461411</v>
      </c>
      <c r="P27">
        <f t="shared" si="9"/>
        <v>1626.1546618509847</v>
      </c>
      <c r="Q27" s="17">
        <f t="shared" si="10"/>
        <v>0.52864795652387031</v>
      </c>
      <c r="R27" s="17">
        <f t="shared" si="11"/>
        <v>0.6169379950953211</v>
      </c>
    </row>
    <row r="28" spans="1:18" x14ac:dyDescent="0.35">
      <c r="A28" t="s">
        <v>26</v>
      </c>
      <c r="B28" s="5">
        <v>3985.0745200000001</v>
      </c>
      <c r="C28" s="5">
        <v>9024.0022599999993</v>
      </c>
      <c r="D28" s="5">
        <v>7378.3298500000001</v>
      </c>
      <c r="E28" s="5">
        <v>9121.3214700000008</v>
      </c>
      <c r="F28" s="5">
        <v>60730.981090000001</v>
      </c>
      <c r="G28" s="19">
        <f t="shared" si="0"/>
        <v>54982.893769343485</v>
      </c>
      <c r="H28" s="19">
        <f t="shared" si="1"/>
        <v>5748.0873206565157</v>
      </c>
      <c r="I28">
        <f t="shared" si="2"/>
        <v>2996.7592638841465</v>
      </c>
      <c r="J28">
        <f t="shared" si="3"/>
        <v>7917.2834539583964</v>
      </c>
      <c r="K28">
        <f t="shared" si="4"/>
        <v>6628.4564567667567</v>
      </c>
      <c r="L28">
        <f t="shared" si="5"/>
        <v>8507.3593201701169</v>
      </c>
      <c r="M28">
        <f t="shared" si="6"/>
        <v>988.31525611585334</v>
      </c>
      <c r="N28">
        <f t="shared" si="7"/>
        <v>1106.7188060416024</v>
      </c>
      <c r="O28">
        <f t="shared" si="8"/>
        <v>749.87339323324386</v>
      </c>
      <c r="P28">
        <f t="shared" si="9"/>
        <v>613.96214982988306</v>
      </c>
      <c r="Q28" s="17">
        <f t="shared" si="10"/>
        <v>0.47378114735212234</v>
      </c>
      <c r="R28" s="17">
        <f t="shared" si="11"/>
        <v>0.60174270366260363</v>
      </c>
    </row>
    <row r="29" spans="1:18" x14ac:dyDescent="0.35">
      <c r="A29" t="s">
        <v>27</v>
      </c>
      <c r="B29" s="5">
        <v>4829.3233099999998</v>
      </c>
      <c r="C29" s="5">
        <v>4391.1990999999998</v>
      </c>
      <c r="D29" s="5">
        <v>5431.1389099999997</v>
      </c>
      <c r="E29" s="5">
        <v>5729.9596499999998</v>
      </c>
      <c r="F29" s="5">
        <v>41090.910550000001</v>
      </c>
      <c r="G29" s="19">
        <f t="shared" si="0"/>
        <v>37201.723553717835</v>
      </c>
      <c r="H29" s="19">
        <f t="shared" si="1"/>
        <v>3889.1869962821656</v>
      </c>
      <c r="I29">
        <f t="shared" si="2"/>
        <v>3631.6308001021143</v>
      </c>
      <c r="J29">
        <f t="shared" si="3"/>
        <v>3852.6550610002846</v>
      </c>
      <c r="K29">
        <f t="shared" si="4"/>
        <v>4879.1621555908969</v>
      </c>
      <c r="L29">
        <f t="shared" si="5"/>
        <v>5344.2722957363549</v>
      </c>
      <c r="M29">
        <f t="shared" si="6"/>
        <v>1197.6925098978852</v>
      </c>
      <c r="N29">
        <f t="shared" si="7"/>
        <v>538.54403899971533</v>
      </c>
      <c r="O29">
        <f t="shared" si="8"/>
        <v>551.97675440910257</v>
      </c>
      <c r="P29">
        <f t="shared" si="9"/>
        <v>385.68735426364526</v>
      </c>
      <c r="Q29" s="17">
        <f t="shared" si="10"/>
        <v>0.47599193319256822</v>
      </c>
      <c r="R29" s="17">
        <f t="shared" si="11"/>
        <v>0.68752175200792365</v>
      </c>
    </row>
    <row r="30" spans="1:18" x14ac:dyDescent="0.35">
      <c r="A30" t="s">
        <v>28</v>
      </c>
      <c r="B30" s="5">
        <v>7115.1113400000004</v>
      </c>
      <c r="C30" s="5">
        <v>14376.460150000001</v>
      </c>
      <c r="D30" s="5">
        <v>8411.2299399999993</v>
      </c>
      <c r="E30" s="5">
        <v>11248.92668</v>
      </c>
      <c r="F30" s="5">
        <v>79168.249890000006</v>
      </c>
      <c r="G30" s="19">
        <f t="shared" si="0"/>
        <v>71675.105448336981</v>
      </c>
      <c r="H30" s="19">
        <f t="shared" si="1"/>
        <v>7493.1444416630256</v>
      </c>
      <c r="I30">
        <f t="shared" si="2"/>
        <v>5350.5337766462007</v>
      </c>
      <c r="J30">
        <f t="shared" si="3"/>
        <v>12613.306911127398</v>
      </c>
      <c r="K30">
        <f t="shared" si="4"/>
        <v>7556.3809884621587</v>
      </c>
      <c r="L30">
        <f t="shared" si="5"/>
        <v>10491.754023554691</v>
      </c>
      <c r="M30">
        <f t="shared" si="6"/>
        <v>1764.5775633537996</v>
      </c>
      <c r="N30">
        <f t="shared" si="7"/>
        <v>1763.1532388726018</v>
      </c>
      <c r="O30">
        <f t="shared" si="8"/>
        <v>854.84895153784066</v>
      </c>
      <c r="P30">
        <f t="shared" si="9"/>
        <v>757.17265644530869</v>
      </c>
      <c r="Q30" s="17">
        <f t="shared" si="10"/>
        <v>0.50243352241382722</v>
      </c>
      <c r="R30" s="17">
        <f t="shared" si="11"/>
        <v>0.68592730998641149</v>
      </c>
    </row>
    <row r="31" spans="1:18" x14ac:dyDescent="0.35">
      <c r="A31" t="s">
        <v>29</v>
      </c>
      <c r="B31" s="5">
        <v>2642.2810599999998</v>
      </c>
      <c r="C31" s="5">
        <v>633.46645999999998</v>
      </c>
      <c r="D31" s="5">
        <v>2629.55582</v>
      </c>
      <c r="E31" s="5">
        <v>1103.3664000000001</v>
      </c>
      <c r="F31" s="5">
        <v>12891.947529999999</v>
      </c>
      <c r="G31" s="19">
        <f t="shared" si="0"/>
        <v>11671.745932631698</v>
      </c>
      <c r="H31" s="19">
        <f t="shared" si="1"/>
        <v>1220.201597368301</v>
      </c>
      <c r="I31">
        <f t="shared" si="2"/>
        <v>1986.984234448048</v>
      </c>
      <c r="J31">
        <f t="shared" si="3"/>
        <v>555.77706852165602</v>
      </c>
      <c r="K31">
        <f t="shared" si="4"/>
        <v>2362.3091685861132</v>
      </c>
      <c r="L31">
        <f t="shared" si="5"/>
        <v>1029.0980816184906</v>
      </c>
      <c r="M31">
        <f t="shared" si="6"/>
        <v>655.29682555195188</v>
      </c>
      <c r="N31">
        <f t="shared" si="7"/>
        <v>77.68939147834395</v>
      </c>
      <c r="O31">
        <f t="shared" si="8"/>
        <v>267.2466514138867</v>
      </c>
      <c r="P31">
        <f t="shared" si="9"/>
        <v>74.268318381509545</v>
      </c>
      <c r="Q31" s="17">
        <f t="shared" si="10"/>
        <v>0.50842166951078371</v>
      </c>
      <c r="R31" s="17">
        <f t="shared" si="11"/>
        <v>0.88059316521396802</v>
      </c>
    </row>
    <row r="32" spans="1:18" x14ac:dyDescent="0.35">
      <c r="A32" t="s">
        <v>30</v>
      </c>
      <c r="B32" s="5">
        <v>2940.6950099999999</v>
      </c>
      <c r="C32" s="5">
        <v>1677.2362700000001</v>
      </c>
      <c r="D32" s="5">
        <v>3456.7509700000001</v>
      </c>
      <c r="E32" s="5">
        <v>3348.2152799999999</v>
      </c>
      <c r="F32" s="5">
        <v>21241.792149999997</v>
      </c>
      <c r="G32" s="19">
        <f t="shared" si="0"/>
        <v>19231.291513685708</v>
      </c>
      <c r="H32" s="19">
        <f t="shared" si="1"/>
        <v>2010.5006363142893</v>
      </c>
      <c r="I32">
        <f t="shared" si="2"/>
        <v>2211.3902686756742</v>
      </c>
      <c r="J32">
        <f t="shared" si="3"/>
        <v>1471.5371945008687</v>
      </c>
      <c r="K32">
        <f t="shared" si="4"/>
        <v>3105.434936136834</v>
      </c>
      <c r="L32">
        <f t="shared" si="5"/>
        <v>3122.844706430898</v>
      </c>
      <c r="M32">
        <f t="shared" si="6"/>
        <v>729.30474132432585</v>
      </c>
      <c r="N32">
        <f t="shared" si="7"/>
        <v>205.69907549913125</v>
      </c>
      <c r="O32">
        <f t="shared" si="8"/>
        <v>351.31603386316579</v>
      </c>
      <c r="P32">
        <f t="shared" si="9"/>
        <v>225.37057356910188</v>
      </c>
      <c r="Q32" s="17">
        <f t="shared" si="10"/>
        <v>0.51536877274680637</v>
      </c>
      <c r="R32" s="17">
        <f t="shared" si="11"/>
        <v>0.7518975109736854</v>
      </c>
    </row>
    <row r="33" spans="1:18" x14ac:dyDescent="0.35">
      <c r="A33" t="s">
        <v>31</v>
      </c>
      <c r="B33" s="5">
        <v>2327.7955200000001</v>
      </c>
      <c r="C33" s="5">
        <v>4681.1479399999998</v>
      </c>
      <c r="D33" s="5">
        <v>1724.37222</v>
      </c>
      <c r="E33" s="5">
        <v>5319.5901899999999</v>
      </c>
      <c r="F33" s="5">
        <v>28793.737440000001</v>
      </c>
      <c r="G33" s="19">
        <f t="shared" si="0"/>
        <v>26068.457621979251</v>
      </c>
      <c r="H33" s="19">
        <f t="shared" si="1"/>
        <v>2725.2798180207501</v>
      </c>
      <c r="I33">
        <f t="shared" si="2"/>
        <v>1750.4924321937183</v>
      </c>
      <c r="J33">
        <f t="shared" si="3"/>
        <v>4107.0440878738691</v>
      </c>
      <c r="K33">
        <f t="shared" si="4"/>
        <v>1549.1210623401751</v>
      </c>
      <c r="L33">
        <f t="shared" si="5"/>
        <v>4961.5250741055206</v>
      </c>
      <c r="M33">
        <f t="shared" si="6"/>
        <v>577.30308780628172</v>
      </c>
      <c r="N33">
        <f t="shared" si="7"/>
        <v>574.1038521261305</v>
      </c>
      <c r="O33">
        <f t="shared" si="8"/>
        <v>175.2511576598248</v>
      </c>
      <c r="P33">
        <f t="shared" si="9"/>
        <v>358.06511589447967</v>
      </c>
      <c r="Q33" s="17">
        <f t="shared" si="10"/>
        <v>0.47445011269424797</v>
      </c>
      <c r="R33" s="17">
        <f t="shared" si="11"/>
        <v>0.61818357232405463</v>
      </c>
    </row>
    <row r="34" spans="1:18" x14ac:dyDescent="0.35">
      <c r="A34" t="s">
        <v>32</v>
      </c>
      <c r="B34" s="5">
        <v>1100.01585</v>
      </c>
      <c r="C34" s="5">
        <v>2035.17905</v>
      </c>
      <c r="D34" s="5">
        <v>1443.3348900000001</v>
      </c>
      <c r="E34" s="5">
        <v>2858.9019600000001</v>
      </c>
      <c r="F34" s="5">
        <v>13828.121490000001</v>
      </c>
      <c r="G34" s="19">
        <f t="shared" si="0"/>
        <v>12519.312569436475</v>
      </c>
      <c r="H34" s="19">
        <f t="shared" si="1"/>
        <v>1308.808920563526</v>
      </c>
      <c r="I34">
        <f t="shared" si="2"/>
        <v>827.20728868751337</v>
      </c>
      <c r="J34">
        <f t="shared" si="3"/>
        <v>1785.5812702786013</v>
      </c>
      <c r="K34">
        <f t="shared" si="4"/>
        <v>1296.646079179726</v>
      </c>
      <c r="L34">
        <f t="shared" si="5"/>
        <v>2666.4673879604657</v>
      </c>
      <c r="M34">
        <f t="shared" si="6"/>
        <v>272.80856131248657</v>
      </c>
      <c r="N34">
        <f t="shared" si="7"/>
        <v>249.59777972139858</v>
      </c>
      <c r="O34">
        <f t="shared" si="8"/>
        <v>146.688810820274</v>
      </c>
      <c r="P34">
        <f t="shared" si="9"/>
        <v>192.43457203953434</v>
      </c>
      <c r="Q34" s="17">
        <f t="shared" si="10"/>
        <v>0.52526063149506497</v>
      </c>
      <c r="R34" s="17">
        <f t="shared" si="11"/>
        <v>0.65825477681092659</v>
      </c>
    </row>
    <row r="35" spans="1:18" x14ac:dyDescent="0.35">
      <c r="A35" t="s">
        <v>33</v>
      </c>
      <c r="B35" s="5">
        <v>1237.22802</v>
      </c>
      <c r="C35" s="5">
        <v>15848.62868</v>
      </c>
      <c r="D35" s="5">
        <v>1174.3529100000001</v>
      </c>
      <c r="E35" s="5">
        <v>29650.146939999999</v>
      </c>
      <c r="F35" s="5">
        <v>78205.297189999997</v>
      </c>
      <c r="G35" s="19">
        <f t="shared" si="0"/>
        <v>70803.294635161743</v>
      </c>
      <c r="H35" s="19">
        <f t="shared" si="1"/>
        <v>7402.0025548382546</v>
      </c>
      <c r="I35">
        <f t="shared" si="2"/>
        <v>930.39026293341192</v>
      </c>
      <c r="J35">
        <f t="shared" si="3"/>
        <v>13904.926217969998</v>
      </c>
      <c r="K35">
        <f t="shared" si="4"/>
        <v>1055.0012383645778</v>
      </c>
      <c r="L35">
        <f t="shared" si="5"/>
        <v>27654.376040144376</v>
      </c>
      <c r="M35">
        <f t="shared" si="6"/>
        <v>306.8377570665881</v>
      </c>
      <c r="N35">
        <f t="shared" si="7"/>
        <v>1943.7024620300017</v>
      </c>
      <c r="O35">
        <f t="shared" si="8"/>
        <v>119.35167163542224</v>
      </c>
      <c r="P35">
        <f t="shared" si="9"/>
        <v>1995.7708998556243</v>
      </c>
      <c r="Q35" s="17">
        <f t="shared" si="10"/>
        <v>0.61500942835769612</v>
      </c>
      <c r="R35" s="17">
        <f t="shared" si="11"/>
        <v>0.58979482352840573</v>
      </c>
    </row>
    <row r="36" spans="1:18" x14ac:dyDescent="0.35">
      <c r="A36" t="s">
        <v>34</v>
      </c>
      <c r="B36" s="5">
        <v>4698.2916299999997</v>
      </c>
      <c r="C36" s="5">
        <v>2917.1644299999998</v>
      </c>
      <c r="D36" s="5">
        <v>3104.3116199999999</v>
      </c>
      <c r="E36" s="5">
        <v>2424.7650899999999</v>
      </c>
      <c r="F36" s="5">
        <v>27772.075059999996</v>
      </c>
      <c r="G36" s="19">
        <f t="shared" si="0"/>
        <v>25143.493903306105</v>
      </c>
      <c r="H36" s="19">
        <f t="shared" si="1"/>
        <v>2628.5811566938901</v>
      </c>
      <c r="I36">
        <f t="shared" si="2"/>
        <v>3533.0955283194671</v>
      </c>
      <c r="J36">
        <f t="shared" si="3"/>
        <v>2559.3984807041679</v>
      </c>
      <c r="K36">
        <f t="shared" si="4"/>
        <v>2788.8146531433626</v>
      </c>
      <c r="L36">
        <f t="shared" si="5"/>
        <v>2261.5525563353081</v>
      </c>
      <c r="M36">
        <f t="shared" si="6"/>
        <v>1165.1961016805326</v>
      </c>
      <c r="N36">
        <f t="shared" si="7"/>
        <v>357.76594929583183</v>
      </c>
      <c r="O36">
        <f t="shared" si="8"/>
        <v>315.49696685663736</v>
      </c>
      <c r="P36">
        <f t="shared" si="9"/>
        <v>163.21253366469165</v>
      </c>
      <c r="Q36" s="17">
        <f t="shared" si="10"/>
        <v>0.44317075667185363</v>
      </c>
      <c r="R36" s="17">
        <f t="shared" si="11"/>
        <v>0.76150266329052774</v>
      </c>
    </row>
    <row r="37" spans="1:18" x14ac:dyDescent="0.35">
      <c r="A37" t="s">
        <v>35</v>
      </c>
      <c r="B37" s="5">
        <v>6096.3581599999998</v>
      </c>
      <c r="C37" s="5">
        <v>21354.7788</v>
      </c>
      <c r="D37" s="5">
        <v>4748.5991199999999</v>
      </c>
      <c r="E37" s="5">
        <v>37188.577499999999</v>
      </c>
      <c r="F37" s="5">
        <v>123986.15430999998</v>
      </c>
      <c r="G37" s="19">
        <f t="shared" ref="G37:G57" si="12">F37*$G$2</f>
        <v>112251.06904157471</v>
      </c>
      <c r="H37" s="19">
        <f t="shared" ref="H37:H57" si="13">F37-G37</f>
        <v>11735.085268425275</v>
      </c>
      <c r="I37">
        <f t="shared" ref="I37:I57" si="14">B37*$I$2</f>
        <v>4584.4356737237904</v>
      </c>
      <c r="J37">
        <f t="shared" ref="J37:J57" si="15">C37*$J$2</f>
        <v>18735.792831703209</v>
      </c>
      <c r="K37">
        <f t="shared" ref="K37:K57" si="16">D37*$K$2</f>
        <v>4265.9901546094388</v>
      </c>
      <c r="L37">
        <f t="shared" ref="L37:L57" si="17">E37*$L$2</f>
        <v>34685.389878983588</v>
      </c>
      <c r="M37">
        <f t="shared" ref="M37:M57" si="18">B37*(1-$I$2)</f>
        <v>1511.9224862762094</v>
      </c>
      <c r="N37">
        <f t="shared" ref="N37:N57" si="19">C37*(1-$J$2)</f>
        <v>2618.9859682967908</v>
      </c>
      <c r="O37">
        <f t="shared" ref="O37:O57" si="20">D37*(1-$K$2)</f>
        <v>482.60896539056131</v>
      </c>
      <c r="P37">
        <f t="shared" ref="P37:P57" si="21">E37*(1-$L$2)</f>
        <v>2503.1876210164114</v>
      </c>
      <c r="Q37" s="17">
        <f t="shared" si="10"/>
        <v>0.55475292191610515</v>
      </c>
      <c r="R37" s="17">
        <f t="shared" si="11"/>
        <v>0.60644681126675437</v>
      </c>
    </row>
    <row r="38" spans="1:18" x14ac:dyDescent="0.35">
      <c r="A38" t="s">
        <v>256</v>
      </c>
      <c r="B38" s="5">
        <v>6806.2142000000003</v>
      </c>
      <c r="C38" s="5">
        <v>20953.652109999999</v>
      </c>
      <c r="D38" s="5">
        <v>9789.1082499999993</v>
      </c>
      <c r="E38" s="5">
        <v>19691.307219999999</v>
      </c>
      <c r="F38" s="5">
        <v>122474.65402</v>
      </c>
      <c r="G38" s="19">
        <f t="shared" si="12"/>
        <v>110882.62976419434</v>
      </c>
      <c r="H38" s="19">
        <f t="shared" si="13"/>
        <v>11592.024255805663</v>
      </c>
      <c r="I38">
        <f t="shared" si="14"/>
        <v>5118.2444276675224</v>
      </c>
      <c r="J38">
        <f t="shared" si="15"/>
        <v>18383.860993237766</v>
      </c>
      <c r="K38">
        <f t="shared" si="16"/>
        <v>8794.2229616775967</v>
      </c>
      <c r="L38">
        <f t="shared" si="17"/>
        <v>18365.872374455419</v>
      </c>
      <c r="M38">
        <f t="shared" si="18"/>
        <v>1687.9697723324778</v>
      </c>
      <c r="N38">
        <f t="shared" si="19"/>
        <v>2569.7911167622319</v>
      </c>
      <c r="O38">
        <f t="shared" si="20"/>
        <v>994.88528832240274</v>
      </c>
      <c r="P38">
        <f t="shared" si="21"/>
        <v>1325.4348455445784</v>
      </c>
      <c r="Q38" s="17">
        <f t="shared" si="10"/>
        <v>0.45689934361024581</v>
      </c>
      <c r="R38" s="17">
        <f t="shared" si="11"/>
        <v>0.5674661196181654</v>
      </c>
    </row>
    <row r="39" spans="1:18" x14ac:dyDescent="0.35">
      <c r="A39" t="s">
        <v>36</v>
      </c>
      <c r="B39" s="5">
        <v>1624.0069599999999</v>
      </c>
      <c r="C39" s="5">
        <v>535.07709</v>
      </c>
      <c r="D39" s="5">
        <v>2219.50938</v>
      </c>
      <c r="E39" s="5">
        <v>894.86794999999995</v>
      </c>
      <c r="F39" s="5">
        <v>9826.0682699999998</v>
      </c>
      <c r="G39" s="19">
        <f t="shared" si="12"/>
        <v>8896.047094300724</v>
      </c>
      <c r="H39" s="19">
        <f t="shared" si="13"/>
        <v>930.02117569927577</v>
      </c>
      <c r="I39">
        <f t="shared" si="14"/>
        <v>1221.2463976689526</v>
      </c>
      <c r="J39">
        <f t="shared" si="15"/>
        <v>469.45433624583427</v>
      </c>
      <c r="K39">
        <f t="shared" si="16"/>
        <v>1993.9365113522783</v>
      </c>
      <c r="L39">
        <f t="shared" si="17"/>
        <v>834.63379947664816</v>
      </c>
      <c r="M39">
        <f t="shared" si="18"/>
        <v>402.76056233104725</v>
      </c>
      <c r="N39">
        <f t="shared" si="19"/>
        <v>65.622753754165743</v>
      </c>
      <c r="O39">
        <f t="shared" si="20"/>
        <v>225.57286864772155</v>
      </c>
      <c r="P39">
        <f t="shared" si="21"/>
        <v>60.234150523351765</v>
      </c>
      <c r="Q39" s="17">
        <f t="shared" si="10"/>
        <v>0.50800889393211457</v>
      </c>
      <c r="R39" s="17">
        <f t="shared" si="11"/>
        <v>0.81093888500895306</v>
      </c>
    </row>
    <row r="40" spans="1:18" x14ac:dyDescent="0.35">
      <c r="A40" t="s">
        <v>37</v>
      </c>
      <c r="B40" s="5">
        <v>8946.6154000000006</v>
      </c>
      <c r="C40" s="5">
        <v>25420.335480000002</v>
      </c>
      <c r="D40" s="5">
        <v>6708.0206799999996</v>
      </c>
      <c r="E40" s="5">
        <v>16185.71933</v>
      </c>
      <c r="F40" s="5">
        <v>114693.58862000001</v>
      </c>
      <c r="G40" s="19">
        <f t="shared" si="12"/>
        <v>103838.02938689268</v>
      </c>
      <c r="H40" s="19">
        <f t="shared" si="13"/>
        <v>10855.559233107328</v>
      </c>
      <c r="I40">
        <f t="shared" si="14"/>
        <v>6727.8171200569095</v>
      </c>
      <c r="J40">
        <f t="shared" si="15"/>
        <v>22302.74280648015</v>
      </c>
      <c r="K40">
        <f t="shared" si="16"/>
        <v>6026.272055114332</v>
      </c>
      <c r="L40">
        <f t="shared" si="17"/>
        <v>15096.247911952292</v>
      </c>
      <c r="M40">
        <f t="shared" si="18"/>
        <v>2218.7982799430906</v>
      </c>
      <c r="N40">
        <f t="shared" si="19"/>
        <v>3117.5926735198523</v>
      </c>
      <c r="O40">
        <f t="shared" si="20"/>
        <v>681.74862488566725</v>
      </c>
      <c r="P40">
        <f t="shared" si="21"/>
        <v>1089.4714180477067</v>
      </c>
      <c r="Q40" s="17">
        <f t="shared" si="10"/>
        <v>0.48299337140477772</v>
      </c>
      <c r="R40" s="17">
        <f t="shared" si="11"/>
        <v>0.65474388226075875</v>
      </c>
    </row>
    <row r="41" spans="1:18" x14ac:dyDescent="0.35">
      <c r="A41" t="s">
        <v>38</v>
      </c>
      <c r="B41" s="5">
        <v>5417.7011499999999</v>
      </c>
      <c r="C41" s="5">
        <v>5800.6801599999999</v>
      </c>
      <c r="D41" s="5">
        <v>5567.6534300000003</v>
      </c>
      <c r="E41" s="5">
        <v>4946.9432900000002</v>
      </c>
      <c r="F41" s="5">
        <v>44648.236609999993</v>
      </c>
      <c r="G41" s="19">
        <f t="shared" si="12"/>
        <v>40422.354561967812</v>
      </c>
      <c r="H41" s="19">
        <f t="shared" si="13"/>
        <v>4225.882048032181</v>
      </c>
      <c r="I41">
        <f t="shared" si="14"/>
        <v>4074.0884590078617</v>
      </c>
      <c r="J41">
        <f t="shared" si="15"/>
        <v>5089.2749945380383</v>
      </c>
      <c r="K41">
        <f t="shared" si="16"/>
        <v>5001.8024508789176</v>
      </c>
      <c r="L41">
        <f t="shared" si="17"/>
        <v>4613.9612821402425</v>
      </c>
      <c r="M41">
        <f t="shared" si="18"/>
        <v>1343.6126909921381</v>
      </c>
      <c r="N41">
        <f t="shared" si="19"/>
        <v>711.40516546196125</v>
      </c>
      <c r="O41">
        <f t="shared" si="20"/>
        <v>565.85097912108233</v>
      </c>
      <c r="P41">
        <f t="shared" si="21"/>
        <v>332.98200785975746</v>
      </c>
      <c r="Q41" s="17">
        <f t="shared" si="10"/>
        <v>0.46457281843333748</v>
      </c>
      <c r="R41" s="17">
        <f t="shared" si="11"/>
        <v>0.6989903669484635</v>
      </c>
    </row>
    <row r="42" spans="1:18" x14ac:dyDescent="0.35">
      <c r="A42" t="s">
        <v>39</v>
      </c>
      <c r="B42" s="5">
        <v>4086.8506200000002</v>
      </c>
      <c r="C42" s="5">
        <v>5790.2431999999999</v>
      </c>
      <c r="D42" s="5">
        <v>4234.2687500000002</v>
      </c>
      <c r="E42" s="5">
        <v>7019.549</v>
      </c>
      <c r="F42" s="5">
        <v>35808.465319999996</v>
      </c>
      <c r="G42" s="19">
        <f t="shared" si="12"/>
        <v>32419.253063194341</v>
      </c>
      <c r="H42" s="19">
        <f t="shared" si="13"/>
        <v>3389.2122568056548</v>
      </c>
      <c r="I42">
        <f t="shared" si="14"/>
        <v>3073.2944626580456</v>
      </c>
      <c r="J42">
        <f t="shared" si="15"/>
        <v>5080.1180408564214</v>
      </c>
      <c r="K42">
        <f t="shared" si="16"/>
        <v>3803.932137246914</v>
      </c>
      <c r="L42">
        <f t="shared" si="17"/>
        <v>6547.0585380586117</v>
      </c>
      <c r="M42">
        <f t="shared" si="18"/>
        <v>1013.5561573419545</v>
      </c>
      <c r="N42">
        <f t="shared" si="19"/>
        <v>710.12515914357812</v>
      </c>
      <c r="O42">
        <f t="shared" si="20"/>
        <v>430.33661275308611</v>
      </c>
      <c r="P42">
        <f t="shared" si="21"/>
        <v>472.49046194138856</v>
      </c>
      <c r="Q42" s="17">
        <f t="shared" si="10"/>
        <v>0.57078437750399902</v>
      </c>
      <c r="R42" s="17">
        <f t="shared" si="11"/>
        <v>0.77496131613058117</v>
      </c>
    </row>
    <row r="43" spans="1:18" x14ac:dyDescent="0.35">
      <c r="A43" t="s">
        <v>40</v>
      </c>
      <c r="B43" s="5">
        <v>10865.824710000001</v>
      </c>
      <c r="C43" s="5">
        <v>16637.308580000001</v>
      </c>
      <c r="D43" s="5">
        <v>6327.2158799999997</v>
      </c>
      <c r="E43" s="5">
        <v>23942.7124</v>
      </c>
      <c r="F43" s="5">
        <v>102863.50977</v>
      </c>
      <c r="G43" s="19">
        <f t="shared" si="12"/>
        <v>93127.648012869206</v>
      </c>
      <c r="H43" s="19">
        <f t="shared" si="13"/>
        <v>9735.8617571307987</v>
      </c>
      <c r="I43">
        <f t="shared" si="14"/>
        <v>8171.0544422727062</v>
      </c>
      <c r="J43">
        <f t="shared" si="15"/>
        <v>14596.881089304392</v>
      </c>
      <c r="K43">
        <f t="shared" si="16"/>
        <v>5684.1691555905636</v>
      </c>
      <c r="L43">
        <f t="shared" si="17"/>
        <v>22331.112674432759</v>
      </c>
      <c r="M43">
        <f t="shared" si="18"/>
        <v>2694.7702677272941</v>
      </c>
      <c r="N43">
        <f t="shared" si="19"/>
        <v>2040.4274906956098</v>
      </c>
      <c r="O43">
        <f t="shared" si="20"/>
        <v>643.04672440943591</v>
      </c>
      <c r="P43">
        <f t="shared" si="21"/>
        <v>1611.5997255672426</v>
      </c>
      <c r="Q43" s="17">
        <f t="shared" si="10"/>
        <v>0.5453076336104048</v>
      </c>
      <c r="R43" s="17">
        <f t="shared" si="11"/>
        <v>0.71794817785698728</v>
      </c>
    </row>
    <row r="44" spans="1:18" x14ac:dyDescent="0.35">
      <c r="A44" t="s">
        <v>41</v>
      </c>
      <c r="B44" s="5">
        <v>298.49200999999999</v>
      </c>
      <c r="C44" s="5">
        <v>1863.6140399999999</v>
      </c>
      <c r="D44" s="5">
        <v>307.30581999999998</v>
      </c>
      <c r="E44" s="5">
        <v>2775.7897699999999</v>
      </c>
      <c r="F44" s="5">
        <v>7580.8322599999992</v>
      </c>
      <c r="G44" s="19">
        <f t="shared" si="12"/>
        <v>6863.3189741672932</v>
      </c>
      <c r="H44" s="19">
        <f t="shared" si="13"/>
        <v>717.51328583270606</v>
      </c>
      <c r="I44">
        <f t="shared" si="14"/>
        <v>224.46473501903279</v>
      </c>
      <c r="J44">
        <f t="shared" si="15"/>
        <v>1635.0572814967982</v>
      </c>
      <c r="K44">
        <f t="shared" si="16"/>
        <v>276.07375763784842</v>
      </c>
      <c r="L44">
        <f t="shared" si="17"/>
        <v>2588.9495341558622</v>
      </c>
      <c r="M44">
        <f t="shared" si="18"/>
        <v>74.027274980967192</v>
      </c>
      <c r="N44">
        <f t="shared" si="19"/>
        <v>228.55675850320182</v>
      </c>
      <c r="O44">
        <f t="shared" si="20"/>
        <v>31.232062362151567</v>
      </c>
      <c r="P44">
        <f t="shared" si="21"/>
        <v>186.84023584413765</v>
      </c>
      <c r="Q44" s="17">
        <f t="shared" si="10"/>
        <v>0.68837618156640568</v>
      </c>
      <c r="R44" s="17">
        <f t="shared" si="11"/>
        <v>0.72563998739927649</v>
      </c>
    </row>
    <row r="45" spans="1:18" x14ac:dyDescent="0.35">
      <c r="A45" t="s">
        <v>257</v>
      </c>
      <c r="B45" s="5">
        <v>8569.4748199999995</v>
      </c>
      <c r="C45" s="5">
        <v>8016.3858200000004</v>
      </c>
      <c r="D45" s="5">
        <v>4861.4438200000004</v>
      </c>
      <c r="E45" s="5">
        <v>9691.4275300000008</v>
      </c>
      <c r="F45" s="5">
        <v>57939.397369999999</v>
      </c>
      <c r="G45" s="19">
        <f t="shared" si="12"/>
        <v>52455.528849986658</v>
      </c>
      <c r="H45" s="19">
        <f t="shared" si="13"/>
        <v>5483.8685200133405</v>
      </c>
      <c r="I45">
        <f t="shared" si="14"/>
        <v>6444.2089914687285</v>
      </c>
      <c r="J45">
        <f t="shared" si="15"/>
        <v>7033.2427879104634</v>
      </c>
      <c r="K45">
        <f t="shared" si="16"/>
        <v>4367.3662377520095</v>
      </c>
      <c r="L45">
        <f t="shared" si="17"/>
        <v>9039.0911661508144</v>
      </c>
      <c r="M45">
        <f t="shared" si="18"/>
        <v>2125.2658285312705</v>
      </c>
      <c r="N45">
        <f t="shared" si="19"/>
        <v>983.14303208953697</v>
      </c>
      <c r="O45">
        <f t="shared" si="20"/>
        <v>494.07758224799113</v>
      </c>
      <c r="P45">
        <f t="shared" si="21"/>
        <v>652.33636384918611</v>
      </c>
      <c r="Q45" s="17">
        <f t="shared" si="10"/>
        <v>0.51250859104223578</v>
      </c>
      <c r="R45" s="17">
        <f t="shared" si="11"/>
        <v>0.77587979930409323</v>
      </c>
    </row>
    <row r="46" spans="1:18" x14ac:dyDescent="0.35">
      <c r="A46" t="s">
        <v>42</v>
      </c>
      <c r="B46" s="5">
        <v>2167.6408799999999</v>
      </c>
      <c r="C46" s="5">
        <v>810.89440999999999</v>
      </c>
      <c r="D46" s="5">
        <v>1993.3796500000001</v>
      </c>
      <c r="E46" s="5">
        <v>596.64833999999996</v>
      </c>
      <c r="F46" s="5">
        <v>9922.3995400000003</v>
      </c>
      <c r="G46" s="19">
        <f t="shared" si="12"/>
        <v>8983.2607682775488</v>
      </c>
      <c r="H46" s="19">
        <f t="shared" si="13"/>
        <v>939.13877172245157</v>
      </c>
      <c r="I46">
        <f t="shared" si="14"/>
        <v>1630.0568170840588</v>
      </c>
      <c r="J46">
        <f t="shared" si="15"/>
        <v>711.44495648656414</v>
      </c>
      <c r="K46">
        <f t="shared" si="16"/>
        <v>1790.7887666244628</v>
      </c>
      <c r="L46">
        <f t="shared" si="17"/>
        <v>556.48754764949956</v>
      </c>
      <c r="M46">
        <f t="shared" si="18"/>
        <v>537.5840629159411</v>
      </c>
      <c r="N46">
        <f t="shared" si="19"/>
        <v>99.449453513435813</v>
      </c>
      <c r="O46">
        <f t="shared" si="20"/>
        <v>202.59088337553735</v>
      </c>
      <c r="P46">
        <f t="shared" si="21"/>
        <v>40.160792350500387</v>
      </c>
      <c r="Q46" s="17">
        <f t="shared" si="10"/>
        <v>0.52194611831841686</v>
      </c>
      <c r="R46" s="17">
        <f t="shared" si="11"/>
        <v>0.93679999020999005</v>
      </c>
    </row>
    <row r="47" spans="1:18" x14ac:dyDescent="0.35">
      <c r="A47" t="s">
        <v>43</v>
      </c>
      <c r="B47" s="5">
        <v>8726.1427299999996</v>
      </c>
      <c r="C47" s="5">
        <v>15881.852849999999</v>
      </c>
      <c r="D47" s="5">
        <v>4927.9075300000004</v>
      </c>
      <c r="E47" s="5">
        <v>16365.96363</v>
      </c>
      <c r="F47" s="5">
        <v>82891.770850000001</v>
      </c>
      <c r="G47" s="19">
        <f t="shared" si="12"/>
        <v>75046.20128306761</v>
      </c>
      <c r="H47" s="19">
        <f t="shared" si="13"/>
        <v>7845.5695669323904</v>
      </c>
      <c r="I47">
        <f t="shared" si="14"/>
        <v>6562.0226002957652</v>
      </c>
      <c r="J47">
        <f t="shared" si="15"/>
        <v>13934.075719913108</v>
      </c>
      <c r="K47">
        <f t="shared" si="16"/>
        <v>4427.0751172201963</v>
      </c>
      <c r="L47">
        <f t="shared" si="17"/>
        <v>15264.359849521416</v>
      </c>
      <c r="M47">
        <f t="shared" si="18"/>
        <v>2164.1201297042348</v>
      </c>
      <c r="N47">
        <f t="shared" si="19"/>
        <v>1947.7771300868915</v>
      </c>
      <c r="O47">
        <f t="shared" si="20"/>
        <v>500.83241277980454</v>
      </c>
      <c r="P47">
        <f t="shared" si="21"/>
        <v>1101.603780478584</v>
      </c>
      <c r="Q47" s="17">
        <f t="shared" si="10"/>
        <v>0.53550389759725048</v>
      </c>
      <c r="R47" s="17">
        <f t="shared" si="11"/>
        <v>0.72835163901093447</v>
      </c>
    </row>
    <row r="48" spans="1:18" x14ac:dyDescent="0.35">
      <c r="A48" t="s">
        <v>44</v>
      </c>
      <c r="B48" s="5">
        <v>20137.10745</v>
      </c>
      <c r="C48" s="5">
        <v>52954.704819999999</v>
      </c>
      <c r="D48" s="5">
        <v>22639.875479999999</v>
      </c>
      <c r="E48" s="5">
        <v>74658.452709999998</v>
      </c>
      <c r="F48" s="5">
        <v>288227.23553999997</v>
      </c>
      <c r="G48" s="19">
        <f t="shared" si="12"/>
        <v>260947.00248036717</v>
      </c>
      <c r="H48" s="19">
        <f t="shared" si="13"/>
        <v>27280.233059632796</v>
      </c>
      <c r="I48">
        <f t="shared" si="14"/>
        <v>15143.020035323696</v>
      </c>
      <c r="J48">
        <f t="shared" si="15"/>
        <v>46460.250806789692</v>
      </c>
      <c r="K48">
        <f t="shared" si="16"/>
        <v>20338.942803675462</v>
      </c>
      <c r="L48">
        <f t="shared" si="17"/>
        <v>69633.143134017664</v>
      </c>
      <c r="M48">
        <f t="shared" si="18"/>
        <v>4994.0874146763026</v>
      </c>
      <c r="N48">
        <f t="shared" si="19"/>
        <v>6494.4540132103084</v>
      </c>
      <c r="O48">
        <f t="shared" si="20"/>
        <v>2300.9326763245363</v>
      </c>
      <c r="P48">
        <f t="shared" si="21"/>
        <v>5025.3095759823327</v>
      </c>
      <c r="Q48" s="17">
        <f t="shared" si="10"/>
        <v>0.58086644161091883</v>
      </c>
      <c r="R48" s="17">
        <f t="shared" si="11"/>
        <v>0.68968559172737276</v>
      </c>
    </row>
    <row r="49" spans="1:18" x14ac:dyDescent="0.35">
      <c r="A49" t="s">
        <v>45</v>
      </c>
      <c r="B49" s="5">
        <v>3512.7067900000002</v>
      </c>
      <c r="C49" s="5">
        <v>8463.3058500000006</v>
      </c>
      <c r="D49" s="5">
        <v>2071.5649800000001</v>
      </c>
      <c r="E49" s="5">
        <v>6103.9991300000002</v>
      </c>
      <c r="F49" s="5">
        <v>32910.67512</v>
      </c>
      <c r="G49" s="19">
        <f t="shared" si="12"/>
        <v>29795.733932220191</v>
      </c>
      <c r="H49" s="19">
        <f t="shared" si="13"/>
        <v>3114.9411877798084</v>
      </c>
      <c r="I49">
        <f t="shared" si="14"/>
        <v>2641.5407193542883</v>
      </c>
      <c r="J49">
        <f t="shared" si="15"/>
        <v>7425.3517941820992</v>
      </c>
      <c r="K49">
        <f t="shared" si="16"/>
        <v>1861.0279760388994</v>
      </c>
      <c r="L49">
        <f t="shared" si="17"/>
        <v>5693.1349322255373</v>
      </c>
      <c r="M49">
        <f t="shared" si="18"/>
        <v>871.16607064571213</v>
      </c>
      <c r="N49">
        <f t="shared" si="19"/>
        <v>1037.9540558179017</v>
      </c>
      <c r="O49">
        <f t="shared" si="20"/>
        <v>210.53700396110062</v>
      </c>
      <c r="P49">
        <f t="shared" si="21"/>
        <v>410.86419777446298</v>
      </c>
      <c r="Q49" s="17">
        <f t="shared" si="10"/>
        <v>0.59139524677880007</v>
      </c>
      <c r="R49" s="17">
        <f t="shared" si="11"/>
        <v>0.81238173552895243</v>
      </c>
    </row>
    <row r="50" spans="1:18" x14ac:dyDescent="0.35">
      <c r="A50" t="s">
        <v>46</v>
      </c>
      <c r="B50" s="5">
        <v>1262.94784</v>
      </c>
      <c r="C50" s="5">
        <v>550.84455000000003</v>
      </c>
      <c r="D50" s="5">
        <v>704.62282000000005</v>
      </c>
      <c r="E50" s="5">
        <v>409.25671</v>
      </c>
      <c r="F50" s="5">
        <v>7345.6269200000006</v>
      </c>
      <c r="G50" s="19">
        <f t="shared" si="12"/>
        <v>6650.3754321547358</v>
      </c>
      <c r="H50" s="19">
        <f t="shared" si="13"/>
        <v>695.25148784526482</v>
      </c>
      <c r="I50">
        <f t="shared" si="14"/>
        <v>949.73145930592864</v>
      </c>
      <c r="J50">
        <f t="shared" si="15"/>
        <v>483.28804844715978</v>
      </c>
      <c r="K50">
        <f t="shared" si="16"/>
        <v>633.01069154751872</v>
      </c>
      <c r="L50">
        <f t="shared" si="17"/>
        <v>381.70937156550616</v>
      </c>
      <c r="M50">
        <f t="shared" si="18"/>
        <v>313.2163806940714</v>
      </c>
      <c r="N50">
        <f t="shared" si="19"/>
        <v>67.556501552840245</v>
      </c>
      <c r="O50">
        <f t="shared" si="20"/>
        <v>71.612128452481315</v>
      </c>
      <c r="P50">
        <f t="shared" si="21"/>
        <v>27.547338434493852</v>
      </c>
      <c r="Q50" s="17">
        <f t="shared" si="10"/>
        <v>0.3680603592740388</v>
      </c>
      <c r="R50" s="17">
        <f t="shared" si="11"/>
        <v>0.69030035537399748</v>
      </c>
    </row>
    <row r="51" spans="1:18" x14ac:dyDescent="0.35">
      <c r="A51" t="s">
        <v>47</v>
      </c>
      <c r="B51" s="5">
        <v>9495.7274899999993</v>
      </c>
      <c r="C51" s="5">
        <v>16998.348419999998</v>
      </c>
      <c r="D51" s="5">
        <v>7117.4089000000004</v>
      </c>
      <c r="E51" s="5">
        <v>18413.540400000002</v>
      </c>
      <c r="F51" s="5">
        <v>85432.484160000007</v>
      </c>
      <c r="G51" s="19">
        <f t="shared" si="12"/>
        <v>77346.440263483004</v>
      </c>
      <c r="H51" s="19">
        <f t="shared" si="13"/>
        <v>8086.0438965170033</v>
      </c>
      <c r="I51">
        <f t="shared" si="14"/>
        <v>7140.7471002516795</v>
      </c>
      <c r="J51">
        <f t="shared" si="15"/>
        <v>14913.642396437726</v>
      </c>
      <c r="K51">
        <f t="shared" si="16"/>
        <v>6394.0533884716715</v>
      </c>
      <c r="L51">
        <f t="shared" si="17"/>
        <v>17174.112879859829</v>
      </c>
      <c r="M51">
        <f t="shared" si="18"/>
        <v>2354.9803897483198</v>
      </c>
      <c r="N51">
        <f t="shared" si="19"/>
        <v>2084.7060235622725</v>
      </c>
      <c r="O51">
        <f t="shared" si="20"/>
        <v>723.35551152832909</v>
      </c>
      <c r="P51">
        <f t="shared" si="21"/>
        <v>1239.4275201401715</v>
      </c>
      <c r="Q51" s="17">
        <f t="shared" si="10"/>
        <v>0.5898468709045469</v>
      </c>
      <c r="R51" s="17">
        <f t="shared" si="11"/>
        <v>0.79179256592174863</v>
      </c>
    </row>
    <row r="52" spans="1:18" x14ac:dyDescent="0.35">
      <c r="A52" t="s">
        <v>48</v>
      </c>
      <c r="B52" s="5">
        <v>5000.0456299999996</v>
      </c>
      <c r="C52" s="5">
        <v>12435.26972</v>
      </c>
      <c r="D52" s="5">
        <v>4293.8353399999996</v>
      </c>
      <c r="E52" s="5">
        <v>15999.627259999999</v>
      </c>
      <c r="F52" s="5">
        <v>62529.638340000005</v>
      </c>
      <c r="G52" s="19">
        <f t="shared" si="12"/>
        <v>56611.311073481091</v>
      </c>
      <c r="H52" s="19">
        <f t="shared" si="13"/>
        <v>5918.3272665189143</v>
      </c>
      <c r="I52">
        <f t="shared" si="14"/>
        <v>3760.0132660871654</v>
      </c>
      <c r="J52">
        <f t="shared" si="15"/>
        <v>10910.18733850205</v>
      </c>
      <c r="K52">
        <f t="shared" si="16"/>
        <v>3857.4448638557787</v>
      </c>
      <c r="L52">
        <f t="shared" si="17"/>
        <v>14922.681821629609</v>
      </c>
      <c r="M52">
        <f t="shared" si="18"/>
        <v>1240.0323639128342</v>
      </c>
      <c r="N52">
        <f t="shared" si="19"/>
        <v>1525.0823814979512</v>
      </c>
      <c r="O52">
        <f t="shared" si="20"/>
        <v>436.390476144221</v>
      </c>
      <c r="P52">
        <f t="shared" si="21"/>
        <v>1076.9454383703899</v>
      </c>
      <c r="Q52" s="17">
        <f t="shared" si="10"/>
        <v>0.59087709957213863</v>
      </c>
      <c r="R52" s="17">
        <f t="shared" si="11"/>
        <v>0.72291552448094465</v>
      </c>
    </row>
    <row r="53" spans="1:18" x14ac:dyDescent="0.35">
      <c r="A53" t="s">
        <v>49</v>
      </c>
      <c r="B53" s="5">
        <v>2378.8137299999999</v>
      </c>
      <c r="C53" s="5">
        <v>3570.2769899999998</v>
      </c>
      <c r="D53" s="5">
        <v>2176.9414299999999</v>
      </c>
      <c r="E53" s="5">
        <v>2362.8279699999998</v>
      </c>
      <c r="F53" s="5">
        <v>19076.559669999999</v>
      </c>
      <c r="G53" s="19">
        <f t="shared" si="12"/>
        <v>17270.994721224124</v>
      </c>
      <c r="H53" s="19">
        <f t="shared" si="13"/>
        <v>1805.5649487758747</v>
      </c>
      <c r="I53">
        <f t="shared" si="14"/>
        <v>1788.8579113527596</v>
      </c>
      <c r="J53">
        <f t="shared" si="15"/>
        <v>3132.4122184977587</v>
      </c>
      <c r="K53">
        <f t="shared" si="16"/>
        <v>1955.6948213268827</v>
      </c>
      <c r="L53">
        <f t="shared" si="17"/>
        <v>2203.7844646361464</v>
      </c>
      <c r="M53">
        <f t="shared" si="18"/>
        <v>589.95581864724033</v>
      </c>
      <c r="N53">
        <f t="shared" si="19"/>
        <v>437.86477150224101</v>
      </c>
      <c r="O53">
        <f t="shared" si="20"/>
        <v>221.24660867311727</v>
      </c>
      <c r="P53">
        <f t="shared" si="21"/>
        <v>159.04350536385363</v>
      </c>
      <c r="Q53" s="17">
        <f t="shared" si="10"/>
        <v>0.52578033647675892</v>
      </c>
      <c r="R53" s="17">
        <f t="shared" si="11"/>
        <v>0.77987264049466298</v>
      </c>
    </row>
    <row r="54" spans="1:18" x14ac:dyDescent="0.35">
      <c r="A54" t="s">
        <v>50</v>
      </c>
      <c r="B54" s="5">
        <v>6206.6908800000001</v>
      </c>
      <c r="C54" s="5">
        <v>8344.5900199999996</v>
      </c>
      <c r="D54" s="5">
        <v>8087.7592000000004</v>
      </c>
      <c r="E54" s="5">
        <v>11620.75353</v>
      </c>
      <c r="F54" s="5">
        <v>66347.623860000007</v>
      </c>
      <c r="G54" s="19">
        <f t="shared" si="12"/>
        <v>60067.930553215105</v>
      </c>
      <c r="H54" s="19">
        <f t="shared" si="13"/>
        <v>6279.6933067849022</v>
      </c>
      <c r="I54">
        <f t="shared" si="14"/>
        <v>4667.4054147186307</v>
      </c>
      <c r="J54">
        <f t="shared" si="15"/>
        <v>7321.1954731283913</v>
      </c>
      <c r="K54">
        <f t="shared" si="16"/>
        <v>7265.7851817257451</v>
      </c>
      <c r="L54">
        <f t="shared" si="17"/>
        <v>10838.552963625049</v>
      </c>
      <c r="M54">
        <f t="shared" si="18"/>
        <v>1539.2854652813696</v>
      </c>
      <c r="N54">
        <f t="shared" si="19"/>
        <v>1023.3945468716087</v>
      </c>
      <c r="O54">
        <f t="shared" si="20"/>
        <v>821.97401827425563</v>
      </c>
      <c r="P54">
        <f t="shared" si="21"/>
        <v>782.20056637495111</v>
      </c>
      <c r="Q54" s="17">
        <f t="shared" si="10"/>
        <v>0.50098178439055785</v>
      </c>
      <c r="R54" s="17">
        <f t="shared" si="11"/>
        <v>0.66354428365157614</v>
      </c>
    </row>
    <row r="55" spans="1:18" x14ac:dyDescent="0.35">
      <c r="A55" t="s">
        <v>51</v>
      </c>
      <c r="B55" s="5">
        <v>2737.54513</v>
      </c>
      <c r="C55" s="5">
        <v>561.38315</v>
      </c>
      <c r="D55" s="5">
        <v>1698.1630299999999</v>
      </c>
      <c r="E55" s="5">
        <v>611.05386999999996</v>
      </c>
      <c r="F55" s="5">
        <v>10207.60564</v>
      </c>
      <c r="G55" s="19">
        <f t="shared" si="12"/>
        <v>9241.4725807201903</v>
      </c>
      <c r="H55" s="19">
        <f t="shared" si="13"/>
        <v>966.13305927980946</v>
      </c>
      <c r="I55">
        <f t="shared" si="14"/>
        <v>2058.622414074312</v>
      </c>
      <c r="J55">
        <f t="shared" si="15"/>
        <v>492.53417682832509</v>
      </c>
      <c r="K55">
        <f t="shared" si="16"/>
        <v>1525.5755610934225</v>
      </c>
      <c r="L55">
        <f t="shared" si="17"/>
        <v>569.92343194659043</v>
      </c>
      <c r="M55">
        <f t="shared" si="18"/>
        <v>678.92271592568784</v>
      </c>
      <c r="N55">
        <f t="shared" si="19"/>
        <v>68.848973171674928</v>
      </c>
      <c r="O55">
        <f t="shared" si="20"/>
        <v>172.58746890657739</v>
      </c>
      <c r="P55">
        <f t="shared" si="21"/>
        <v>41.130438053409577</v>
      </c>
      <c r="Q55" s="17">
        <f t="shared" si="10"/>
        <v>0.502804671372031</v>
      </c>
      <c r="R55" s="17">
        <f>SUM(M55:P55)/H55</f>
        <v>0.99519376427722994</v>
      </c>
    </row>
    <row r="56" spans="1:18" x14ac:dyDescent="0.35">
      <c r="A56" t="s">
        <v>88</v>
      </c>
      <c r="B56" s="5">
        <v>261644.04905000003</v>
      </c>
      <c r="C56" s="5">
        <v>575753.32377000025</v>
      </c>
      <c r="D56" s="5">
        <v>234268.36196999994</v>
      </c>
      <c r="E56" s="5">
        <v>710470.60497999995</v>
      </c>
      <c r="F56" s="5">
        <v>3261771.66291</v>
      </c>
      <c r="G56" s="19">
        <f t="shared" si="12"/>
        <v>2953050.3479906055</v>
      </c>
      <c r="H56" s="19">
        <f t="shared" si="13"/>
        <v>308721.31491939444</v>
      </c>
      <c r="I56">
        <f t="shared" si="14"/>
        <v>196755.22349598262</v>
      </c>
      <c r="J56">
        <f t="shared" si="15"/>
        <v>505141.968331663</v>
      </c>
      <c r="K56">
        <f t="shared" si="16"/>
        <v>210459.23238525554</v>
      </c>
      <c r="L56">
        <f t="shared" si="17"/>
        <v>662648.36108045909</v>
      </c>
      <c r="M56">
        <f t="shared" si="18"/>
        <v>64888.825554017414</v>
      </c>
      <c r="N56">
        <f t="shared" si="19"/>
        <v>70611.355438337283</v>
      </c>
      <c r="O56">
        <f t="shared" si="20"/>
        <v>23809.129584744394</v>
      </c>
      <c r="P56">
        <f t="shared" si="21"/>
        <v>47822.243899540837</v>
      </c>
      <c r="Q56" s="17">
        <f t="shared" si="10"/>
        <v>0.5333484362584836</v>
      </c>
      <c r="R56" s="17">
        <f t="shared" si="11"/>
        <v>0.67093376604307653</v>
      </c>
    </row>
    <row r="57" spans="1:18" x14ac:dyDescent="0.35">
      <c r="A57" t="s">
        <v>87</v>
      </c>
      <c r="B57" s="5">
        <v>490.15393</v>
      </c>
      <c r="C57" s="5">
        <v>4716.0983699999997</v>
      </c>
      <c r="D57" s="5">
        <v>199.81245999999999</v>
      </c>
      <c r="E57" s="5">
        <v>3877.5684500000002</v>
      </c>
      <c r="F57" s="5">
        <v>14710.0216</v>
      </c>
      <c r="G57" s="19">
        <f t="shared" si="12"/>
        <v>13317.742286740788</v>
      </c>
      <c r="H57" s="19">
        <f t="shared" si="13"/>
        <v>1392.2793132592124</v>
      </c>
      <c r="I57">
        <f t="shared" si="14"/>
        <v>368.59369205891829</v>
      </c>
      <c r="J57">
        <f t="shared" si="15"/>
        <v>4137.7081383888271</v>
      </c>
      <c r="K57">
        <f t="shared" si="16"/>
        <v>179.50514785259284</v>
      </c>
      <c r="L57">
        <f t="shared" si="17"/>
        <v>3616.5667662522474</v>
      </c>
      <c r="M57">
        <f t="shared" si="18"/>
        <v>121.56023794108172</v>
      </c>
      <c r="N57">
        <f t="shared" si="19"/>
        <v>578.39023161117291</v>
      </c>
      <c r="O57">
        <f t="shared" si="20"/>
        <v>20.307312147407153</v>
      </c>
      <c r="P57">
        <f t="shared" si="21"/>
        <v>261.00168374775274</v>
      </c>
      <c r="Q57" s="17">
        <f t="shared" si="10"/>
        <v>0.6234069984083167</v>
      </c>
      <c r="R57" s="17">
        <f t="shared" si="11"/>
        <v>0.70478635723629779</v>
      </c>
    </row>
  </sheetData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6666-C95B-494E-B737-D8F8D988AC42}">
  <dimension ref="A1:B52"/>
  <sheetViews>
    <sheetView workbookViewId="0">
      <selection activeCell="B17" sqref="B17"/>
    </sheetView>
  </sheetViews>
  <sheetFormatPr defaultRowHeight="14.5" x14ac:dyDescent="0.35"/>
  <cols>
    <col min="2" max="2" width="18.453125" customWidth="1"/>
  </cols>
  <sheetData>
    <row r="1" spans="1:2" x14ac:dyDescent="0.35">
      <c r="A1" t="s">
        <v>0</v>
      </c>
      <c r="B1" t="s">
        <v>289</v>
      </c>
    </row>
    <row r="2" spans="1:2" x14ac:dyDescent="0.35">
      <c r="A2" t="s">
        <v>4</v>
      </c>
      <c r="B2">
        <v>925</v>
      </c>
    </row>
    <row r="3" spans="1:2" x14ac:dyDescent="0.35">
      <c r="A3" t="s">
        <v>3</v>
      </c>
      <c r="B3">
        <v>754.5</v>
      </c>
    </row>
    <row r="4" spans="1:2" x14ac:dyDescent="0.35">
      <c r="A4" t="s">
        <v>6</v>
      </c>
      <c r="B4">
        <v>1093.0999999999999</v>
      </c>
    </row>
    <row r="5" spans="1:2" x14ac:dyDescent="0.35">
      <c r="A5" t="s">
        <v>5</v>
      </c>
      <c r="B5">
        <v>727.6</v>
      </c>
    </row>
    <row r="6" spans="1:2" x14ac:dyDescent="0.35">
      <c r="A6" t="s">
        <v>7</v>
      </c>
      <c r="B6">
        <v>480.5</v>
      </c>
    </row>
    <row r="7" spans="1:2" x14ac:dyDescent="0.35">
      <c r="A7" t="s">
        <v>8</v>
      </c>
      <c r="B7">
        <v>1224.5999999999999</v>
      </c>
    </row>
    <row r="8" spans="1:2" x14ac:dyDescent="0.35">
      <c r="A8" t="s">
        <v>9</v>
      </c>
      <c r="B8">
        <v>518.1</v>
      </c>
    </row>
    <row r="9" spans="1:2" x14ac:dyDescent="0.35">
      <c r="A9" t="s">
        <v>11</v>
      </c>
      <c r="B9">
        <v>652.6</v>
      </c>
    </row>
    <row r="10" spans="1:2" x14ac:dyDescent="0.35">
      <c r="A10" t="s">
        <v>10</v>
      </c>
      <c r="B10">
        <v>870.1</v>
      </c>
    </row>
    <row r="11" spans="1:2" x14ac:dyDescent="0.35">
      <c r="A11" t="s">
        <v>12</v>
      </c>
      <c r="B11">
        <v>837.5</v>
      </c>
    </row>
    <row r="12" spans="1:2" x14ac:dyDescent="0.35">
      <c r="A12" t="s">
        <v>13</v>
      </c>
      <c r="B12">
        <v>762.4</v>
      </c>
    </row>
    <row r="13" spans="1:2" x14ac:dyDescent="0.35">
      <c r="A13" t="s">
        <v>14</v>
      </c>
      <c r="B13">
        <v>1502.6</v>
      </c>
    </row>
    <row r="14" spans="1:2" x14ac:dyDescent="0.35">
      <c r="A14" t="s">
        <v>18</v>
      </c>
      <c r="B14">
        <v>774.4</v>
      </c>
    </row>
    <row r="15" spans="1:2" x14ac:dyDescent="0.35">
      <c r="A15" t="s">
        <v>15</v>
      </c>
      <c r="B15">
        <v>272</v>
      </c>
    </row>
    <row r="16" spans="1:2" x14ac:dyDescent="0.35">
      <c r="A16" t="s">
        <v>16</v>
      </c>
      <c r="B16">
        <v>657.3</v>
      </c>
    </row>
    <row r="17" spans="1:2" x14ac:dyDescent="0.35">
      <c r="A17" t="s">
        <v>17</v>
      </c>
      <c r="B17">
        <v>1642.9</v>
      </c>
    </row>
    <row r="18" spans="1:2" x14ac:dyDescent="0.35">
      <c r="A18" t="s">
        <v>19</v>
      </c>
      <c r="B18">
        <v>844.6</v>
      </c>
    </row>
    <row r="19" spans="1:2" x14ac:dyDescent="0.35">
      <c r="A19" t="s">
        <v>20</v>
      </c>
      <c r="B19">
        <v>1739.8</v>
      </c>
    </row>
    <row r="20" spans="1:2" x14ac:dyDescent="0.35">
      <c r="A20" t="s">
        <v>21</v>
      </c>
      <c r="B20">
        <v>828.7</v>
      </c>
    </row>
    <row r="21" spans="1:2" x14ac:dyDescent="0.35">
      <c r="A21" t="s">
        <v>24</v>
      </c>
      <c r="B21">
        <v>859.6</v>
      </c>
    </row>
    <row r="22" spans="1:2" x14ac:dyDescent="0.35">
      <c r="A22" t="s">
        <v>23</v>
      </c>
      <c r="B22">
        <v>702</v>
      </c>
    </row>
    <row r="23" spans="1:2" x14ac:dyDescent="0.35">
      <c r="A23" t="s">
        <v>22</v>
      </c>
      <c r="B23">
        <v>309.39999999999998</v>
      </c>
    </row>
    <row r="24" spans="1:2" x14ac:dyDescent="0.35">
      <c r="A24" t="s">
        <v>25</v>
      </c>
      <c r="B24">
        <v>1010.3</v>
      </c>
    </row>
    <row r="25" spans="1:2" x14ac:dyDescent="0.35">
      <c r="A25" t="s">
        <v>26</v>
      </c>
      <c r="B25">
        <v>831.6</v>
      </c>
    </row>
    <row r="26" spans="1:2" x14ac:dyDescent="0.35">
      <c r="A26" t="s">
        <v>28</v>
      </c>
      <c r="B26">
        <v>1649</v>
      </c>
    </row>
    <row r="27" spans="1:2" x14ac:dyDescent="0.35">
      <c r="A27" t="s">
        <v>27</v>
      </c>
      <c r="B27">
        <v>836.4</v>
      </c>
    </row>
    <row r="28" spans="1:2" x14ac:dyDescent="0.35">
      <c r="A28" t="s">
        <v>29</v>
      </c>
      <c r="B28">
        <v>1053</v>
      </c>
    </row>
    <row r="29" spans="1:2" x14ac:dyDescent="0.35">
      <c r="A29" t="s">
        <v>256</v>
      </c>
      <c r="B29">
        <v>672.7</v>
      </c>
    </row>
    <row r="30" spans="1:2" x14ac:dyDescent="0.35">
      <c r="A30" t="s">
        <v>36</v>
      </c>
      <c r="B30">
        <v>1351</v>
      </c>
    </row>
    <row r="31" spans="1:2" x14ac:dyDescent="0.35">
      <c r="A31" t="s">
        <v>30</v>
      </c>
      <c r="B31">
        <v>1133.7</v>
      </c>
    </row>
    <row r="32" spans="1:2" x14ac:dyDescent="0.35">
      <c r="A32" t="s">
        <v>32</v>
      </c>
      <c r="B32">
        <v>308</v>
      </c>
    </row>
    <row r="33" spans="1:2" x14ac:dyDescent="0.35">
      <c r="A33" t="s">
        <v>33</v>
      </c>
      <c r="B33">
        <v>483.1</v>
      </c>
    </row>
    <row r="34" spans="1:2" x14ac:dyDescent="0.35">
      <c r="A34" t="s">
        <v>34</v>
      </c>
      <c r="B34">
        <v>1140.8</v>
      </c>
    </row>
    <row r="35" spans="1:2" x14ac:dyDescent="0.35">
      <c r="A35" t="s">
        <v>31</v>
      </c>
      <c r="B35">
        <v>716.9</v>
      </c>
    </row>
    <row r="36" spans="1:2" x14ac:dyDescent="0.35">
      <c r="A36" t="s">
        <v>35</v>
      </c>
      <c r="B36">
        <v>457</v>
      </c>
    </row>
    <row r="37" spans="1:2" x14ac:dyDescent="0.35">
      <c r="A37" t="s">
        <v>37</v>
      </c>
      <c r="B37">
        <v>1214.9000000000001</v>
      </c>
    </row>
    <row r="38" spans="1:2" x14ac:dyDescent="0.35">
      <c r="A38" t="s">
        <v>38</v>
      </c>
      <c r="B38">
        <v>756.6</v>
      </c>
    </row>
    <row r="39" spans="1:2" x14ac:dyDescent="0.35">
      <c r="A39" t="s">
        <v>39</v>
      </c>
      <c r="B39">
        <v>326.7</v>
      </c>
    </row>
    <row r="40" spans="1:2" x14ac:dyDescent="0.35">
      <c r="A40" t="s">
        <v>40</v>
      </c>
      <c r="B40">
        <v>729.6</v>
      </c>
    </row>
    <row r="41" spans="1:2" x14ac:dyDescent="0.35">
      <c r="A41" t="s">
        <v>41</v>
      </c>
      <c r="B41">
        <v>833.6</v>
      </c>
    </row>
    <row r="42" spans="1:2" x14ac:dyDescent="0.35">
      <c r="A42" t="s">
        <v>257</v>
      </c>
      <c r="B42">
        <v>570.4</v>
      </c>
    </row>
    <row r="43" spans="1:2" x14ac:dyDescent="0.35">
      <c r="A43" t="s">
        <v>42</v>
      </c>
      <c r="B43">
        <v>304.60000000000002</v>
      </c>
    </row>
    <row r="44" spans="1:2" x14ac:dyDescent="0.35">
      <c r="A44" t="s">
        <v>43</v>
      </c>
      <c r="B44">
        <v>702.6</v>
      </c>
    </row>
    <row r="45" spans="1:2" x14ac:dyDescent="0.35">
      <c r="A45" t="s">
        <v>44</v>
      </c>
      <c r="B45">
        <v>860.2</v>
      </c>
    </row>
    <row r="46" spans="1:2" x14ac:dyDescent="0.35">
      <c r="A46" t="s">
        <v>45</v>
      </c>
      <c r="B46">
        <v>1571.2</v>
      </c>
    </row>
    <row r="47" spans="1:2" x14ac:dyDescent="0.35">
      <c r="A47" t="s">
        <v>47</v>
      </c>
      <c r="B47">
        <v>601.5</v>
      </c>
    </row>
    <row r="48" spans="1:2" x14ac:dyDescent="0.35">
      <c r="A48" t="s">
        <v>46</v>
      </c>
      <c r="B48">
        <v>44.8</v>
      </c>
    </row>
    <row r="49" spans="1:2" x14ac:dyDescent="0.35">
      <c r="A49" t="s">
        <v>48</v>
      </c>
      <c r="B49">
        <v>203</v>
      </c>
    </row>
    <row r="50" spans="1:2" x14ac:dyDescent="0.35">
      <c r="A50" t="s">
        <v>50</v>
      </c>
      <c r="B50">
        <v>1274.9000000000001</v>
      </c>
    </row>
    <row r="51" spans="1:2" x14ac:dyDescent="0.35">
      <c r="A51" t="s">
        <v>49</v>
      </c>
      <c r="B51">
        <v>1959.4</v>
      </c>
    </row>
    <row r="52" spans="1:2" x14ac:dyDescent="0.35">
      <c r="A52" t="s">
        <v>51</v>
      </c>
      <c r="B52">
        <v>1847.4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7AAA-443F-4721-B58B-59C0701739EE}">
  <dimension ref="A1:C1531"/>
  <sheetViews>
    <sheetView workbookViewId="0">
      <selection activeCell="C11" sqref="C11"/>
    </sheetView>
  </sheetViews>
  <sheetFormatPr defaultRowHeight="14.5" x14ac:dyDescent="0.35"/>
  <cols>
    <col min="3" max="3" width="12" bestFit="1" customWidth="1"/>
  </cols>
  <sheetData>
    <row r="1" spans="1:3" x14ac:dyDescent="0.35">
      <c r="A1" s="4" t="s">
        <v>0</v>
      </c>
      <c r="B1" s="4" t="s">
        <v>1</v>
      </c>
      <c r="C1" s="4" t="s">
        <v>92</v>
      </c>
    </row>
    <row r="2" spans="1:3" x14ac:dyDescent="0.35">
      <c r="A2" t="s">
        <v>3</v>
      </c>
      <c r="B2">
        <v>2021</v>
      </c>
      <c r="C2">
        <v>79569</v>
      </c>
    </row>
    <row r="3" spans="1:3" x14ac:dyDescent="0.35">
      <c r="A3" t="s">
        <v>3</v>
      </c>
      <c r="B3">
        <v>2022</v>
      </c>
      <c r="C3">
        <v>79761.074030701391</v>
      </c>
    </row>
    <row r="4" spans="1:3" x14ac:dyDescent="0.35">
      <c r="A4" t="s">
        <v>3</v>
      </c>
      <c r="B4">
        <v>2023</v>
      </c>
      <c r="C4">
        <v>79953.148061402797</v>
      </c>
    </row>
    <row r="5" spans="1:3" x14ac:dyDescent="0.35">
      <c r="A5" t="s">
        <v>3</v>
      </c>
      <c r="B5">
        <v>2024</v>
      </c>
      <c r="C5">
        <v>80145.222092104188</v>
      </c>
    </row>
    <row r="6" spans="1:3" x14ac:dyDescent="0.35">
      <c r="A6" t="s">
        <v>3</v>
      </c>
      <c r="B6">
        <v>2025</v>
      </c>
      <c r="C6">
        <v>80337.296122805579</v>
      </c>
    </row>
    <row r="7" spans="1:3" x14ac:dyDescent="0.35">
      <c r="A7" t="s">
        <v>3</v>
      </c>
      <c r="B7">
        <v>2026</v>
      </c>
      <c r="C7">
        <v>80529.370153506985</v>
      </c>
    </row>
    <row r="8" spans="1:3" x14ac:dyDescent="0.35">
      <c r="A8" t="s">
        <v>3</v>
      </c>
      <c r="B8">
        <v>2027</v>
      </c>
      <c r="C8">
        <v>80721.444184208376</v>
      </c>
    </row>
    <row r="9" spans="1:3" x14ac:dyDescent="0.35">
      <c r="A9" t="s">
        <v>3</v>
      </c>
      <c r="B9">
        <v>2028</v>
      </c>
      <c r="C9">
        <v>80913.518214909782</v>
      </c>
    </row>
    <row r="10" spans="1:3" x14ac:dyDescent="0.35">
      <c r="A10" t="s">
        <v>3</v>
      </c>
      <c r="B10">
        <v>2029</v>
      </c>
      <c r="C10">
        <v>81105.592245611173</v>
      </c>
    </row>
    <row r="11" spans="1:3" x14ac:dyDescent="0.35">
      <c r="A11" t="s">
        <v>3</v>
      </c>
      <c r="B11">
        <v>2030</v>
      </c>
      <c r="C11">
        <v>81297.666276312564</v>
      </c>
    </row>
    <row r="12" spans="1:3" x14ac:dyDescent="0.35">
      <c r="A12" t="s">
        <v>3</v>
      </c>
      <c r="B12">
        <v>2031</v>
      </c>
      <c r="C12">
        <v>81489.740307013897</v>
      </c>
    </row>
    <row r="13" spans="1:3" x14ac:dyDescent="0.35">
      <c r="A13" t="s">
        <v>3</v>
      </c>
      <c r="B13">
        <v>2032</v>
      </c>
      <c r="C13">
        <v>81533.425351619589</v>
      </c>
    </row>
    <row r="14" spans="1:3" x14ac:dyDescent="0.35">
      <c r="A14" t="s">
        <v>3</v>
      </c>
      <c r="B14">
        <v>2033</v>
      </c>
      <c r="C14">
        <v>81577.110396225282</v>
      </c>
    </row>
    <row r="15" spans="1:3" x14ac:dyDescent="0.35">
      <c r="A15" t="s">
        <v>3</v>
      </c>
      <c r="B15">
        <v>2034</v>
      </c>
      <c r="C15">
        <v>81620.795440830989</v>
      </c>
    </row>
    <row r="16" spans="1:3" x14ac:dyDescent="0.35">
      <c r="A16" t="s">
        <v>3</v>
      </c>
      <c r="B16">
        <v>2035</v>
      </c>
      <c r="C16">
        <v>81664.480485436696</v>
      </c>
    </row>
    <row r="17" spans="1:3" x14ac:dyDescent="0.35">
      <c r="A17" t="s">
        <v>3</v>
      </c>
      <c r="B17">
        <v>2036</v>
      </c>
      <c r="C17">
        <v>81708.165530042388</v>
      </c>
    </row>
    <row r="18" spans="1:3" x14ac:dyDescent="0.35">
      <c r="A18" t="s">
        <v>3</v>
      </c>
      <c r="B18">
        <v>2037</v>
      </c>
      <c r="C18">
        <v>81751.850574648095</v>
      </c>
    </row>
    <row r="19" spans="1:3" x14ac:dyDescent="0.35">
      <c r="A19" t="s">
        <v>3</v>
      </c>
      <c r="B19">
        <v>2038</v>
      </c>
      <c r="C19">
        <v>81795.535619253787</v>
      </c>
    </row>
    <row r="20" spans="1:3" x14ac:dyDescent="0.35">
      <c r="A20" t="s">
        <v>3</v>
      </c>
      <c r="B20">
        <v>2039</v>
      </c>
      <c r="C20">
        <v>81839.22066385948</v>
      </c>
    </row>
    <row r="21" spans="1:3" x14ac:dyDescent="0.35">
      <c r="A21" t="s">
        <v>3</v>
      </c>
      <c r="B21">
        <v>2040</v>
      </c>
      <c r="C21">
        <v>81882.905708465201</v>
      </c>
    </row>
    <row r="22" spans="1:3" x14ac:dyDescent="0.35">
      <c r="A22" t="s">
        <v>3</v>
      </c>
      <c r="B22">
        <v>2041</v>
      </c>
      <c r="C22">
        <v>81926.59075307085</v>
      </c>
    </row>
    <row r="23" spans="1:3" x14ac:dyDescent="0.35">
      <c r="A23" t="s">
        <v>3</v>
      </c>
      <c r="B23">
        <v>2042</v>
      </c>
      <c r="C23">
        <v>81970.509984595657</v>
      </c>
    </row>
    <row r="24" spans="1:3" x14ac:dyDescent="0.35">
      <c r="A24" t="s">
        <v>3</v>
      </c>
      <c r="B24">
        <v>2043</v>
      </c>
      <c r="C24">
        <v>82014.429216120494</v>
      </c>
    </row>
    <row r="25" spans="1:3" x14ac:dyDescent="0.35">
      <c r="A25" t="s">
        <v>3</v>
      </c>
      <c r="B25">
        <v>2044</v>
      </c>
      <c r="C25">
        <v>82058.348447645301</v>
      </c>
    </row>
    <row r="26" spans="1:3" x14ac:dyDescent="0.35">
      <c r="A26" t="s">
        <v>3</v>
      </c>
      <c r="B26">
        <v>2045</v>
      </c>
      <c r="C26">
        <v>82102.267679170109</v>
      </c>
    </row>
    <row r="27" spans="1:3" x14ac:dyDescent="0.35">
      <c r="A27" t="s">
        <v>3</v>
      </c>
      <c r="B27">
        <v>2046</v>
      </c>
      <c r="C27">
        <v>82146.186910694916</v>
      </c>
    </row>
    <row r="28" spans="1:3" x14ac:dyDescent="0.35">
      <c r="A28" t="s">
        <v>3</v>
      </c>
      <c r="B28">
        <v>2047</v>
      </c>
      <c r="C28">
        <v>82190.106142219738</v>
      </c>
    </row>
    <row r="29" spans="1:3" x14ac:dyDescent="0.35">
      <c r="A29" t="s">
        <v>3</v>
      </c>
      <c r="B29">
        <v>2048</v>
      </c>
      <c r="C29">
        <v>82234.025373744546</v>
      </c>
    </row>
    <row r="30" spans="1:3" x14ac:dyDescent="0.35">
      <c r="A30" t="s">
        <v>3</v>
      </c>
      <c r="B30">
        <v>2049</v>
      </c>
      <c r="C30">
        <v>82277.944605269353</v>
      </c>
    </row>
    <row r="31" spans="1:3" x14ac:dyDescent="0.35">
      <c r="A31" t="s">
        <v>3</v>
      </c>
      <c r="B31">
        <v>2050</v>
      </c>
      <c r="C31">
        <v>82321.86383679416</v>
      </c>
    </row>
    <row r="32" spans="1:3" x14ac:dyDescent="0.35">
      <c r="A32" t="s">
        <v>4</v>
      </c>
      <c r="B32">
        <v>2021</v>
      </c>
      <c r="C32">
        <v>5752</v>
      </c>
    </row>
    <row r="33" spans="1:3" x14ac:dyDescent="0.35">
      <c r="A33" t="s">
        <v>4</v>
      </c>
      <c r="B33">
        <v>2022</v>
      </c>
      <c r="C33">
        <v>5783.281216326558</v>
      </c>
    </row>
    <row r="34" spans="1:3" x14ac:dyDescent="0.35">
      <c r="A34" t="s">
        <v>4</v>
      </c>
      <c r="B34">
        <v>2023</v>
      </c>
      <c r="C34">
        <v>5814.5624326531142</v>
      </c>
    </row>
    <row r="35" spans="1:3" x14ac:dyDescent="0.35">
      <c r="A35" t="s">
        <v>4</v>
      </c>
      <c r="B35">
        <v>2024</v>
      </c>
      <c r="C35">
        <v>5845.8436489796723</v>
      </c>
    </row>
    <row r="36" spans="1:3" x14ac:dyDescent="0.35">
      <c r="A36" t="s">
        <v>4</v>
      </c>
      <c r="B36">
        <v>2025</v>
      </c>
      <c r="C36">
        <v>5877.1248653062285</v>
      </c>
    </row>
    <row r="37" spans="1:3" x14ac:dyDescent="0.35">
      <c r="A37" t="s">
        <v>4</v>
      </c>
      <c r="B37">
        <v>2026</v>
      </c>
      <c r="C37">
        <v>5908.4060816327865</v>
      </c>
    </row>
    <row r="38" spans="1:3" x14ac:dyDescent="0.35">
      <c r="A38" t="s">
        <v>4</v>
      </c>
      <c r="B38">
        <v>2027</v>
      </c>
      <c r="C38">
        <v>5939.6872979593427</v>
      </c>
    </row>
    <row r="39" spans="1:3" x14ac:dyDescent="0.35">
      <c r="A39" t="s">
        <v>4</v>
      </c>
      <c r="B39">
        <v>2028</v>
      </c>
      <c r="C39">
        <v>5970.9685142858998</v>
      </c>
    </row>
    <row r="40" spans="1:3" x14ac:dyDescent="0.35">
      <c r="A40" t="s">
        <v>4</v>
      </c>
      <c r="B40">
        <v>2029</v>
      </c>
      <c r="C40">
        <v>6002.2497306124569</v>
      </c>
    </row>
    <row r="41" spans="1:3" x14ac:dyDescent="0.35">
      <c r="A41" t="s">
        <v>4</v>
      </c>
      <c r="B41">
        <v>2030</v>
      </c>
      <c r="C41">
        <v>6033.530946939014</v>
      </c>
    </row>
    <row r="42" spans="1:3" x14ac:dyDescent="0.35">
      <c r="A42" t="s">
        <v>4</v>
      </c>
      <c r="B42">
        <v>2031</v>
      </c>
      <c r="C42">
        <v>6064.8121632655721</v>
      </c>
    </row>
    <row r="43" spans="1:3" x14ac:dyDescent="0.35">
      <c r="A43" t="s">
        <v>4</v>
      </c>
      <c r="B43">
        <v>2032</v>
      </c>
      <c r="C43">
        <v>6086.0694205849759</v>
      </c>
    </row>
    <row r="44" spans="1:3" x14ac:dyDescent="0.35">
      <c r="A44" t="s">
        <v>4</v>
      </c>
      <c r="B44">
        <v>2033</v>
      </c>
      <c r="C44">
        <v>6107.3266779043788</v>
      </c>
    </row>
    <row r="45" spans="1:3" x14ac:dyDescent="0.35">
      <c r="A45" t="s">
        <v>4</v>
      </c>
      <c r="B45">
        <v>2034</v>
      </c>
      <c r="C45">
        <v>6128.5839352237836</v>
      </c>
    </row>
    <row r="46" spans="1:3" x14ac:dyDescent="0.35">
      <c r="A46" t="s">
        <v>4</v>
      </c>
      <c r="B46">
        <v>2035</v>
      </c>
      <c r="C46">
        <v>6149.8411925431874</v>
      </c>
    </row>
    <row r="47" spans="1:3" x14ac:dyDescent="0.35">
      <c r="A47" t="s">
        <v>4</v>
      </c>
      <c r="B47">
        <v>2036</v>
      </c>
      <c r="C47">
        <v>6171.0984498625903</v>
      </c>
    </row>
    <row r="48" spans="1:3" x14ac:dyDescent="0.35">
      <c r="A48" t="s">
        <v>4</v>
      </c>
      <c r="B48">
        <v>2037</v>
      </c>
      <c r="C48">
        <v>6192.3557071819951</v>
      </c>
    </row>
    <row r="49" spans="1:3" x14ac:dyDescent="0.35">
      <c r="A49" t="s">
        <v>4</v>
      </c>
      <c r="B49">
        <v>2038</v>
      </c>
      <c r="C49">
        <v>6213.6129645013989</v>
      </c>
    </row>
    <row r="50" spans="1:3" x14ac:dyDescent="0.35">
      <c r="A50" t="s">
        <v>4</v>
      </c>
      <c r="B50">
        <v>2039</v>
      </c>
      <c r="C50">
        <v>6234.8702218208018</v>
      </c>
    </row>
    <row r="51" spans="1:3" x14ac:dyDescent="0.35">
      <c r="A51" t="s">
        <v>4</v>
      </c>
      <c r="B51">
        <v>2040</v>
      </c>
      <c r="C51">
        <v>6256.1274791402066</v>
      </c>
    </row>
    <row r="52" spans="1:3" x14ac:dyDescent="0.35">
      <c r="A52" t="s">
        <v>4</v>
      </c>
      <c r="B52">
        <v>2041</v>
      </c>
      <c r="C52">
        <v>6277.3847364596113</v>
      </c>
    </row>
    <row r="53" spans="1:3" x14ac:dyDescent="0.35">
      <c r="A53" t="s">
        <v>4</v>
      </c>
      <c r="B53">
        <v>2042</v>
      </c>
      <c r="C53">
        <v>6299.3870638266599</v>
      </c>
    </row>
    <row r="54" spans="1:3" x14ac:dyDescent="0.35">
      <c r="A54" t="s">
        <v>4</v>
      </c>
      <c r="B54">
        <v>2043</v>
      </c>
      <c r="C54">
        <v>6321.3893911937075</v>
      </c>
    </row>
    <row r="55" spans="1:3" x14ac:dyDescent="0.35">
      <c r="A55" t="s">
        <v>4</v>
      </c>
      <c r="B55">
        <v>2044</v>
      </c>
      <c r="C55">
        <v>6343.3917185607552</v>
      </c>
    </row>
    <row r="56" spans="1:3" x14ac:dyDescent="0.35">
      <c r="A56" t="s">
        <v>4</v>
      </c>
      <c r="B56">
        <v>2045</v>
      </c>
      <c r="C56">
        <v>6365.3940459278019</v>
      </c>
    </row>
    <row r="57" spans="1:3" x14ac:dyDescent="0.35">
      <c r="A57" t="s">
        <v>4</v>
      </c>
      <c r="B57">
        <v>2046</v>
      </c>
      <c r="C57">
        <v>6387.3963732948505</v>
      </c>
    </row>
    <row r="58" spans="1:3" x14ac:dyDescent="0.35">
      <c r="A58" t="s">
        <v>4</v>
      </c>
      <c r="B58">
        <v>2047</v>
      </c>
      <c r="C58">
        <v>6409.3987006618981</v>
      </c>
    </row>
    <row r="59" spans="1:3" x14ac:dyDescent="0.35">
      <c r="A59" t="s">
        <v>4</v>
      </c>
      <c r="B59">
        <v>2048</v>
      </c>
      <c r="C59">
        <v>6431.4010280289458</v>
      </c>
    </row>
    <row r="60" spans="1:3" x14ac:dyDescent="0.35">
      <c r="A60" t="s">
        <v>4</v>
      </c>
      <c r="B60">
        <v>2049</v>
      </c>
      <c r="C60">
        <v>6453.4033553959925</v>
      </c>
    </row>
    <row r="61" spans="1:3" x14ac:dyDescent="0.35">
      <c r="A61" t="s">
        <v>4</v>
      </c>
      <c r="B61">
        <v>2050</v>
      </c>
      <c r="C61">
        <v>6475.4056827630411</v>
      </c>
    </row>
    <row r="62" spans="1:3" x14ac:dyDescent="0.35">
      <c r="A62" t="s">
        <v>5</v>
      </c>
      <c r="B62">
        <v>2021</v>
      </c>
      <c r="C62">
        <v>73760</v>
      </c>
    </row>
    <row r="63" spans="1:3" x14ac:dyDescent="0.35">
      <c r="A63" t="s">
        <v>5</v>
      </c>
      <c r="B63">
        <v>2022</v>
      </c>
      <c r="C63">
        <v>74744.029409793424</v>
      </c>
    </row>
    <row r="64" spans="1:3" x14ac:dyDescent="0.35">
      <c r="A64" t="s">
        <v>5</v>
      </c>
      <c r="B64">
        <v>2023</v>
      </c>
      <c r="C64">
        <v>75728.058819586833</v>
      </c>
    </row>
    <row r="65" spans="1:3" x14ac:dyDescent="0.35">
      <c r="A65" t="s">
        <v>5</v>
      </c>
      <c r="B65">
        <v>2024</v>
      </c>
      <c r="C65">
        <v>76712.088229380257</v>
      </c>
    </row>
    <row r="66" spans="1:3" x14ac:dyDescent="0.35">
      <c r="A66" t="s">
        <v>5</v>
      </c>
      <c r="B66">
        <v>2025</v>
      </c>
      <c r="C66">
        <v>77696.117639173666</v>
      </c>
    </row>
    <row r="67" spans="1:3" x14ac:dyDescent="0.35">
      <c r="A67" t="s">
        <v>5</v>
      </c>
      <c r="B67">
        <v>2026</v>
      </c>
      <c r="C67">
        <v>78680.14704896709</v>
      </c>
    </row>
    <row r="68" spans="1:3" x14ac:dyDescent="0.35">
      <c r="A68" t="s">
        <v>5</v>
      </c>
      <c r="B68">
        <v>2027</v>
      </c>
      <c r="C68">
        <v>79664.176458760499</v>
      </c>
    </row>
    <row r="69" spans="1:3" x14ac:dyDescent="0.35">
      <c r="A69" t="s">
        <v>5</v>
      </c>
      <c r="B69">
        <v>2028</v>
      </c>
      <c r="C69">
        <v>80648.205868553923</v>
      </c>
    </row>
    <row r="70" spans="1:3" x14ac:dyDescent="0.35">
      <c r="A70" t="s">
        <v>5</v>
      </c>
      <c r="B70">
        <v>2029</v>
      </c>
      <c r="C70">
        <v>81632.235278347332</v>
      </c>
    </row>
    <row r="71" spans="1:3" x14ac:dyDescent="0.35">
      <c r="A71" t="s">
        <v>5</v>
      </c>
      <c r="B71">
        <v>2030</v>
      </c>
      <c r="C71">
        <v>82616.264688140756</v>
      </c>
    </row>
    <row r="72" spans="1:3" x14ac:dyDescent="0.35">
      <c r="A72" t="s">
        <v>5</v>
      </c>
      <c r="B72">
        <v>2031</v>
      </c>
      <c r="C72">
        <v>83600.294097934151</v>
      </c>
    </row>
    <row r="73" spans="1:3" x14ac:dyDescent="0.35">
      <c r="A73" t="s">
        <v>5</v>
      </c>
      <c r="B73">
        <v>2032</v>
      </c>
      <c r="C73">
        <v>84541.863792355391</v>
      </c>
    </row>
    <row r="74" spans="1:3" x14ac:dyDescent="0.35">
      <c r="A74" t="s">
        <v>5</v>
      </c>
      <c r="B74">
        <v>2033</v>
      </c>
      <c r="C74">
        <v>85483.433486776616</v>
      </c>
    </row>
    <row r="75" spans="1:3" x14ac:dyDescent="0.35">
      <c r="A75" t="s">
        <v>5</v>
      </c>
      <c r="B75">
        <v>2034</v>
      </c>
      <c r="C75">
        <v>86425.00318119787</v>
      </c>
    </row>
    <row r="76" spans="1:3" x14ac:dyDescent="0.35">
      <c r="A76" t="s">
        <v>5</v>
      </c>
      <c r="B76">
        <v>2035</v>
      </c>
      <c r="C76">
        <v>87366.572875619109</v>
      </c>
    </row>
    <row r="77" spans="1:3" x14ac:dyDescent="0.35">
      <c r="A77" t="s">
        <v>5</v>
      </c>
      <c r="B77">
        <v>2036</v>
      </c>
      <c r="C77">
        <v>88308.142570040363</v>
      </c>
    </row>
    <row r="78" spans="1:3" x14ac:dyDescent="0.35">
      <c r="A78" t="s">
        <v>5</v>
      </c>
      <c r="B78">
        <v>2037</v>
      </c>
      <c r="C78">
        <v>89249.712264461588</v>
      </c>
    </row>
    <row r="79" spans="1:3" x14ac:dyDescent="0.35">
      <c r="A79" t="s">
        <v>5</v>
      </c>
      <c r="B79">
        <v>2038</v>
      </c>
      <c r="C79">
        <v>90191.281958882828</v>
      </c>
    </row>
    <row r="80" spans="1:3" x14ac:dyDescent="0.35">
      <c r="A80" t="s">
        <v>5</v>
      </c>
      <c r="B80">
        <v>2039</v>
      </c>
      <c r="C80">
        <v>91132.851653304082</v>
      </c>
    </row>
    <row r="81" spans="1:3" x14ac:dyDescent="0.35">
      <c r="A81" t="s">
        <v>5</v>
      </c>
      <c r="B81">
        <v>2040</v>
      </c>
      <c r="C81">
        <v>92074.421347725322</v>
      </c>
    </row>
    <row r="82" spans="1:3" x14ac:dyDescent="0.35">
      <c r="A82" t="s">
        <v>5</v>
      </c>
      <c r="B82">
        <v>2041</v>
      </c>
      <c r="C82">
        <v>93015.991042146488</v>
      </c>
    </row>
    <row r="83" spans="1:3" x14ac:dyDescent="0.35">
      <c r="A83" t="s">
        <v>5</v>
      </c>
      <c r="B83">
        <v>2042</v>
      </c>
      <c r="C83">
        <v>94063.60743162049</v>
      </c>
    </row>
    <row r="84" spans="1:3" x14ac:dyDescent="0.35">
      <c r="A84" t="s">
        <v>5</v>
      </c>
      <c r="B84">
        <v>2043</v>
      </c>
      <c r="C84">
        <v>95111.223821094478</v>
      </c>
    </row>
    <row r="85" spans="1:3" x14ac:dyDescent="0.35">
      <c r="A85" t="s">
        <v>5</v>
      </c>
      <c r="B85">
        <v>2044</v>
      </c>
      <c r="C85">
        <v>96158.840210568465</v>
      </c>
    </row>
    <row r="86" spans="1:3" x14ac:dyDescent="0.35">
      <c r="A86" t="s">
        <v>5</v>
      </c>
      <c r="B86">
        <v>2045</v>
      </c>
      <c r="C86">
        <v>97206.456600042453</v>
      </c>
    </row>
    <row r="87" spans="1:3" x14ac:dyDescent="0.35">
      <c r="A87" t="s">
        <v>5</v>
      </c>
      <c r="B87">
        <v>2046</v>
      </c>
      <c r="C87">
        <v>98254.07298951644</v>
      </c>
    </row>
    <row r="88" spans="1:3" x14ac:dyDescent="0.35">
      <c r="A88" t="s">
        <v>5</v>
      </c>
      <c r="B88">
        <v>2047</v>
      </c>
      <c r="C88">
        <v>99301.689378990428</v>
      </c>
    </row>
    <row r="89" spans="1:3" x14ac:dyDescent="0.35">
      <c r="A89" t="s">
        <v>5</v>
      </c>
      <c r="B89">
        <v>2048</v>
      </c>
      <c r="C89">
        <v>100349.30576846443</v>
      </c>
    </row>
    <row r="90" spans="1:3" x14ac:dyDescent="0.35">
      <c r="A90" t="s">
        <v>5</v>
      </c>
      <c r="B90">
        <v>2049</v>
      </c>
      <c r="C90">
        <v>101396.92215793843</v>
      </c>
    </row>
    <row r="91" spans="1:3" x14ac:dyDescent="0.35">
      <c r="A91" t="s">
        <v>5</v>
      </c>
      <c r="B91">
        <v>2050</v>
      </c>
      <c r="C91">
        <v>102444.53854741241</v>
      </c>
    </row>
    <row r="92" spans="1:3" x14ac:dyDescent="0.35">
      <c r="A92" t="s">
        <v>6</v>
      </c>
      <c r="B92">
        <v>2021</v>
      </c>
      <c r="C92">
        <v>38427</v>
      </c>
    </row>
    <row r="93" spans="1:3" x14ac:dyDescent="0.35">
      <c r="A93" t="s">
        <v>6</v>
      </c>
      <c r="B93">
        <v>2022</v>
      </c>
      <c r="C93">
        <v>38575.354244572423</v>
      </c>
    </row>
    <row r="94" spans="1:3" x14ac:dyDescent="0.35">
      <c r="A94" t="s">
        <v>6</v>
      </c>
      <c r="B94">
        <v>2023</v>
      </c>
      <c r="C94">
        <v>38723.708489144839</v>
      </c>
    </row>
    <row r="95" spans="1:3" x14ac:dyDescent="0.35">
      <c r="A95" t="s">
        <v>6</v>
      </c>
      <c r="B95">
        <v>2024</v>
      </c>
      <c r="C95">
        <v>38872.062733717263</v>
      </c>
    </row>
    <row r="96" spans="1:3" x14ac:dyDescent="0.35">
      <c r="A96" t="s">
        <v>6</v>
      </c>
      <c r="B96">
        <v>2025</v>
      </c>
      <c r="C96">
        <v>39020.416978289679</v>
      </c>
    </row>
    <row r="97" spans="1:3" x14ac:dyDescent="0.35">
      <c r="A97" t="s">
        <v>6</v>
      </c>
      <c r="B97">
        <v>2026</v>
      </c>
      <c r="C97">
        <v>39168.771222862102</v>
      </c>
    </row>
    <row r="98" spans="1:3" x14ac:dyDescent="0.35">
      <c r="A98" t="s">
        <v>6</v>
      </c>
      <c r="B98">
        <v>2027</v>
      </c>
      <c r="C98">
        <v>39317.125467434525</v>
      </c>
    </row>
    <row r="99" spans="1:3" x14ac:dyDescent="0.35">
      <c r="A99" t="s">
        <v>6</v>
      </c>
      <c r="B99">
        <v>2028</v>
      </c>
      <c r="C99">
        <v>39465.479712006934</v>
      </c>
    </row>
    <row r="100" spans="1:3" x14ac:dyDescent="0.35">
      <c r="A100" t="s">
        <v>6</v>
      </c>
      <c r="B100">
        <v>2029</v>
      </c>
      <c r="C100">
        <v>39613.833956579358</v>
      </c>
    </row>
    <row r="101" spans="1:3" x14ac:dyDescent="0.35">
      <c r="A101" t="s">
        <v>6</v>
      </c>
      <c r="B101">
        <v>2030</v>
      </c>
      <c r="C101">
        <v>39762.188201151774</v>
      </c>
    </row>
    <row r="102" spans="1:3" x14ac:dyDescent="0.35">
      <c r="A102" t="s">
        <v>6</v>
      </c>
      <c r="B102">
        <v>2031</v>
      </c>
      <c r="C102">
        <v>39910.542445724219</v>
      </c>
    </row>
    <row r="103" spans="1:3" x14ac:dyDescent="0.35">
      <c r="A103" t="s">
        <v>6</v>
      </c>
      <c r="B103">
        <v>2032</v>
      </c>
      <c r="C103">
        <v>39988.619429170263</v>
      </c>
    </row>
    <row r="104" spans="1:3" x14ac:dyDescent="0.35">
      <c r="A104" t="s">
        <v>6</v>
      </c>
      <c r="B104">
        <v>2033</v>
      </c>
      <c r="C104">
        <v>40066.6964126163</v>
      </c>
    </row>
    <row r="105" spans="1:3" x14ac:dyDescent="0.35">
      <c r="A105" t="s">
        <v>6</v>
      </c>
      <c r="B105">
        <v>2034</v>
      </c>
      <c r="C105">
        <v>40144.773396062345</v>
      </c>
    </row>
    <row r="106" spans="1:3" x14ac:dyDescent="0.35">
      <c r="A106" t="s">
        <v>6</v>
      </c>
      <c r="B106">
        <v>2035</v>
      </c>
      <c r="C106">
        <v>40222.850379508389</v>
      </c>
    </row>
    <row r="107" spans="1:3" x14ac:dyDescent="0.35">
      <c r="A107" t="s">
        <v>6</v>
      </c>
      <c r="B107">
        <v>2036</v>
      </c>
      <c r="C107">
        <v>40300.927362954419</v>
      </c>
    </row>
    <row r="108" spans="1:3" x14ac:dyDescent="0.35">
      <c r="A108" t="s">
        <v>6</v>
      </c>
      <c r="B108">
        <v>2037</v>
      </c>
      <c r="C108">
        <v>40379.004346400463</v>
      </c>
    </row>
    <row r="109" spans="1:3" x14ac:dyDescent="0.35">
      <c r="A109" t="s">
        <v>6</v>
      </c>
      <c r="B109">
        <v>2038</v>
      </c>
      <c r="C109">
        <v>40457.0813298465</v>
      </c>
    </row>
    <row r="110" spans="1:3" x14ac:dyDescent="0.35">
      <c r="A110" t="s">
        <v>6</v>
      </c>
      <c r="B110">
        <v>2039</v>
      </c>
      <c r="C110">
        <v>40535.158313292544</v>
      </c>
    </row>
    <row r="111" spans="1:3" x14ac:dyDescent="0.35">
      <c r="A111" t="s">
        <v>6</v>
      </c>
      <c r="B111">
        <v>2040</v>
      </c>
      <c r="C111">
        <v>40613.235296738589</v>
      </c>
    </row>
    <row r="112" spans="1:3" x14ac:dyDescent="0.35">
      <c r="A112" t="s">
        <v>6</v>
      </c>
      <c r="B112">
        <v>2041</v>
      </c>
      <c r="C112">
        <v>40691.312280184655</v>
      </c>
    </row>
    <row r="113" spans="1:3" x14ac:dyDescent="0.35">
      <c r="A113" t="s">
        <v>6</v>
      </c>
      <c r="B113">
        <v>2042</v>
      </c>
      <c r="C113">
        <v>40770.916683447744</v>
      </c>
    </row>
    <row r="114" spans="1:3" x14ac:dyDescent="0.35">
      <c r="A114" t="s">
        <v>6</v>
      </c>
      <c r="B114">
        <v>2043</v>
      </c>
      <c r="C114">
        <v>40850.521086710825</v>
      </c>
    </row>
    <row r="115" spans="1:3" x14ac:dyDescent="0.35">
      <c r="A115" t="s">
        <v>6</v>
      </c>
      <c r="B115">
        <v>2044</v>
      </c>
      <c r="C115">
        <v>40930.125489973907</v>
      </c>
    </row>
    <row r="116" spans="1:3" x14ac:dyDescent="0.35">
      <c r="A116" t="s">
        <v>6</v>
      </c>
      <c r="B116">
        <v>2045</v>
      </c>
      <c r="C116">
        <v>41009.729893236989</v>
      </c>
    </row>
    <row r="117" spans="1:3" x14ac:dyDescent="0.35">
      <c r="A117" t="s">
        <v>6</v>
      </c>
      <c r="B117">
        <v>2046</v>
      </c>
      <c r="C117">
        <v>41089.334296500077</v>
      </c>
    </row>
    <row r="118" spans="1:3" x14ac:dyDescent="0.35">
      <c r="A118" t="s">
        <v>6</v>
      </c>
      <c r="B118">
        <v>2047</v>
      </c>
      <c r="C118">
        <v>41168.938699763159</v>
      </c>
    </row>
    <row r="119" spans="1:3" x14ac:dyDescent="0.35">
      <c r="A119" t="s">
        <v>6</v>
      </c>
      <c r="B119">
        <v>2048</v>
      </c>
      <c r="C119">
        <v>41248.543103026241</v>
      </c>
    </row>
    <row r="120" spans="1:3" x14ac:dyDescent="0.35">
      <c r="A120" t="s">
        <v>6</v>
      </c>
      <c r="B120">
        <v>2049</v>
      </c>
      <c r="C120">
        <v>41328.14750628933</v>
      </c>
    </row>
    <row r="121" spans="1:3" x14ac:dyDescent="0.35">
      <c r="A121" t="s">
        <v>6</v>
      </c>
      <c r="B121">
        <v>2050</v>
      </c>
      <c r="C121">
        <v>41407.751909552411</v>
      </c>
    </row>
    <row r="122" spans="1:3" x14ac:dyDescent="0.35">
      <c r="A122" t="s">
        <v>7</v>
      </c>
      <c r="B122">
        <v>2021</v>
      </c>
      <c r="C122">
        <v>310823</v>
      </c>
    </row>
    <row r="123" spans="1:3" x14ac:dyDescent="0.35">
      <c r="A123" t="s">
        <v>7</v>
      </c>
      <c r="B123">
        <v>2022</v>
      </c>
      <c r="C123">
        <v>313369.0643557611</v>
      </c>
    </row>
    <row r="124" spans="1:3" x14ac:dyDescent="0.35">
      <c r="A124" t="s">
        <v>7</v>
      </c>
      <c r="B124">
        <v>2023</v>
      </c>
      <c r="C124">
        <v>315915.12871152215</v>
      </c>
    </row>
    <row r="125" spans="1:3" x14ac:dyDescent="0.35">
      <c r="A125" t="s">
        <v>7</v>
      </c>
      <c r="B125">
        <v>2024</v>
      </c>
      <c r="C125">
        <v>318461.19306728325</v>
      </c>
    </row>
    <row r="126" spans="1:3" x14ac:dyDescent="0.35">
      <c r="A126" t="s">
        <v>7</v>
      </c>
      <c r="B126">
        <v>2025</v>
      </c>
      <c r="C126">
        <v>321007.2574230443</v>
      </c>
    </row>
    <row r="127" spans="1:3" x14ac:dyDescent="0.35">
      <c r="A127" t="s">
        <v>7</v>
      </c>
      <c r="B127">
        <v>2026</v>
      </c>
      <c r="C127">
        <v>323553.3217788054</v>
      </c>
    </row>
    <row r="128" spans="1:3" x14ac:dyDescent="0.35">
      <c r="A128" t="s">
        <v>7</v>
      </c>
      <c r="B128">
        <v>2027</v>
      </c>
      <c r="C128">
        <v>326099.38613456645</v>
      </c>
    </row>
    <row r="129" spans="1:3" x14ac:dyDescent="0.35">
      <c r="A129" t="s">
        <v>7</v>
      </c>
      <c r="B129">
        <v>2028</v>
      </c>
      <c r="C129">
        <v>328645.45049032755</v>
      </c>
    </row>
    <row r="130" spans="1:3" x14ac:dyDescent="0.35">
      <c r="A130" t="s">
        <v>7</v>
      </c>
      <c r="B130">
        <v>2029</v>
      </c>
      <c r="C130">
        <v>331191.5148460886</v>
      </c>
    </row>
    <row r="131" spans="1:3" x14ac:dyDescent="0.35">
      <c r="A131" t="s">
        <v>7</v>
      </c>
      <c r="B131">
        <v>2030</v>
      </c>
      <c r="C131">
        <v>333737.5792018497</v>
      </c>
    </row>
    <row r="132" spans="1:3" x14ac:dyDescent="0.35">
      <c r="A132" t="s">
        <v>7</v>
      </c>
      <c r="B132">
        <v>2031</v>
      </c>
      <c r="C132">
        <v>336283.64355761098</v>
      </c>
    </row>
    <row r="133" spans="1:3" x14ac:dyDescent="0.35">
      <c r="A133" t="s">
        <v>7</v>
      </c>
      <c r="B133">
        <v>2032</v>
      </c>
      <c r="C133">
        <v>338371.15103623655</v>
      </c>
    </row>
    <row r="134" spans="1:3" x14ac:dyDescent="0.35">
      <c r="A134" t="s">
        <v>7</v>
      </c>
      <c r="B134">
        <v>2033</v>
      </c>
      <c r="C134">
        <v>340458.65851486207</v>
      </c>
    </row>
    <row r="135" spans="1:3" x14ac:dyDescent="0.35">
      <c r="A135" t="s">
        <v>7</v>
      </c>
      <c r="B135">
        <v>2034</v>
      </c>
      <c r="C135">
        <v>342546.16599348758</v>
      </c>
    </row>
    <row r="136" spans="1:3" x14ac:dyDescent="0.35">
      <c r="A136" t="s">
        <v>7</v>
      </c>
      <c r="B136">
        <v>2035</v>
      </c>
      <c r="C136">
        <v>344633.67347211315</v>
      </c>
    </row>
    <row r="137" spans="1:3" x14ac:dyDescent="0.35">
      <c r="A137" t="s">
        <v>7</v>
      </c>
      <c r="B137">
        <v>2036</v>
      </c>
      <c r="C137">
        <v>346721.18095073878</v>
      </c>
    </row>
    <row r="138" spans="1:3" x14ac:dyDescent="0.35">
      <c r="A138" t="s">
        <v>7</v>
      </c>
      <c r="B138">
        <v>2037</v>
      </c>
      <c r="C138">
        <v>348808.68842936429</v>
      </c>
    </row>
    <row r="139" spans="1:3" x14ac:dyDescent="0.35">
      <c r="A139" t="s">
        <v>7</v>
      </c>
      <c r="B139">
        <v>2038</v>
      </c>
      <c r="C139">
        <v>350896.19590798981</v>
      </c>
    </row>
    <row r="140" spans="1:3" x14ac:dyDescent="0.35">
      <c r="A140" t="s">
        <v>7</v>
      </c>
      <c r="B140">
        <v>2039</v>
      </c>
      <c r="C140">
        <v>352983.70338661538</v>
      </c>
    </row>
    <row r="141" spans="1:3" x14ac:dyDescent="0.35">
      <c r="A141" t="s">
        <v>7</v>
      </c>
      <c r="B141">
        <v>2040</v>
      </c>
      <c r="C141">
        <v>355071.21086524089</v>
      </c>
    </row>
    <row r="142" spans="1:3" x14ac:dyDescent="0.35">
      <c r="A142" t="s">
        <v>7</v>
      </c>
      <c r="B142">
        <v>2041</v>
      </c>
      <c r="C142">
        <v>357158.71834386641</v>
      </c>
    </row>
    <row r="143" spans="1:3" x14ac:dyDescent="0.35">
      <c r="A143" t="s">
        <v>7</v>
      </c>
      <c r="B143">
        <v>2042</v>
      </c>
      <c r="C143">
        <v>359375.80951045296</v>
      </c>
    </row>
    <row r="144" spans="1:3" x14ac:dyDescent="0.35">
      <c r="A144" t="s">
        <v>7</v>
      </c>
      <c r="B144">
        <v>2043</v>
      </c>
      <c r="C144">
        <v>361592.90067703964</v>
      </c>
    </row>
    <row r="145" spans="1:3" x14ac:dyDescent="0.35">
      <c r="A145" t="s">
        <v>7</v>
      </c>
      <c r="B145">
        <v>2044</v>
      </c>
      <c r="C145">
        <v>363809.99184362625</v>
      </c>
    </row>
    <row r="146" spans="1:3" x14ac:dyDescent="0.35">
      <c r="A146" t="s">
        <v>7</v>
      </c>
      <c r="B146">
        <v>2045</v>
      </c>
      <c r="C146">
        <v>366027.08301021281</v>
      </c>
    </row>
    <row r="147" spans="1:3" x14ac:dyDescent="0.35">
      <c r="A147" t="s">
        <v>7</v>
      </c>
      <c r="B147">
        <v>2046</v>
      </c>
      <c r="C147">
        <v>368244.17417679937</v>
      </c>
    </row>
    <row r="148" spans="1:3" x14ac:dyDescent="0.35">
      <c r="A148" t="s">
        <v>7</v>
      </c>
      <c r="B148">
        <v>2047</v>
      </c>
      <c r="C148">
        <v>370461.26534338604</v>
      </c>
    </row>
    <row r="149" spans="1:3" x14ac:dyDescent="0.35">
      <c r="A149" t="s">
        <v>7</v>
      </c>
      <c r="B149">
        <v>2048</v>
      </c>
      <c r="C149">
        <v>372678.35650997265</v>
      </c>
    </row>
    <row r="150" spans="1:3" x14ac:dyDescent="0.35">
      <c r="A150" t="s">
        <v>7</v>
      </c>
      <c r="B150">
        <v>2049</v>
      </c>
      <c r="C150">
        <v>374895.44767655921</v>
      </c>
    </row>
    <row r="151" spans="1:3" x14ac:dyDescent="0.35">
      <c r="A151" t="s">
        <v>7</v>
      </c>
      <c r="B151">
        <v>2050</v>
      </c>
      <c r="C151">
        <v>377112.53884314583</v>
      </c>
    </row>
    <row r="152" spans="1:3" x14ac:dyDescent="0.35">
      <c r="A152" t="s">
        <v>8</v>
      </c>
      <c r="B152">
        <v>2021</v>
      </c>
      <c r="C152">
        <v>53840</v>
      </c>
    </row>
    <row r="153" spans="1:3" x14ac:dyDescent="0.35">
      <c r="A153" t="s">
        <v>8</v>
      </c>
      <c r="B153">
        <v>2022</v>
      </c>
      <c r="C153">
        <v>54691.01547541107</v>
      </c>
    </row>
    <row r="154" spans="1:3" x14ac:dyDescent="0.35">
      <c r="A154" t="s">
        <v>8</v>
      </c>
      <c r="B154">
        <v>2023</v>
      </c>
      <c r="C154">
        <v>55542.03095082214</v>
      </c>
    </row>
    <row r="155" spans="1:3" x14ac:dyDescent="0.35">
      <c r="A155" t="s">
        <v>8</v>
      </c>
      <c r="B155">
        <v>2024</v>
      </c>
      <c r="C155">
        <v>56393.046426233217</v>
      </c>
    </row>
    <row r="156" spans="1:3" x14ac:dyDescent="0.35">
      <c r="A156" t="s">
        <v>8</v>
      </c>
      <c r="B156">
        <v>2025</v>
      </c>
      <c r="C156">
        <v>57244.061901644287</v>
      </c>
    </row>
    <row r="157" spans="1:3" x14ac:dyDescent="0.35">
      <c r="A157" t="s">
        <v>8</v>
      </c>
      <c r="B157">
        <v>2026</v>
      </c>
      <c r="C157">
        <v>58095.077377055357</v>
      </c>
    </row>
    <row r="158" spans="1:3" x14ac:dyDescent="0.35">
      <c r="A158" t="s">
        <v>8</v>
      </c>
      <c r="B158">
        <v>2027</v>
      </c>
      <c r="C158">
        <v>58946.092852466427</v>
      </c>
    </row>
    <row r="159" spans="1:3" x14ac:dyDescent="0.35">
      <c r="A159" t="s">
        <v>8</v>
      </c>
      <c r="B159">
        <v>2028</v>
      </c>
      <c r="C159">
        <v>59797.108327877497</v>
      </c>
    </row>
    <row r="160" spans="1:3" x14ac:dyDescent="0.35">
      <c r="A160" t="s">
        <v>8</v>
      </c>
      <c r="B160">
        <v>2029</v>
      </c>
      <c r="C160">
        <v>60648.123803288574</v>
      </c>
    </row>
    <row r="161" spans="1:3" x14ac:dyDescent="0.35">
      <c r="A161" t="s">
        <v>8</v>
      </c>
      <c r="B161">
        <v>2030</v>
      </c>
      <c r="C161">
        <v>61499.139278699644</v>
      </c>
    </row>
    <row r="162" spans="1:3" x14ac:dyDescent="0.35">
      <c r="A162" t="s">
        <v>8</v>
      </c>
      <c r="B162">
        <v>2031</v>
      </c>
      <c r="C162">
        <v>62350.154754110728</v>
      </c>
    </row>
    <row r="163" spans="1:3" x14ac:dyDescent="0.35">
      <c r="A163" t="s">
        <v>8</v>
      </c>
      <c r="B163">
        <v>2032</v>
      </c>
      <c r="C163">
        <v>63203.289864599865</v>
      </c>
    </row>
    <row r="164" spans="1:3" x14ac:dyDescent="0.35">
      <c r="A164" t="s">
        <v>8</v>
      </c>
      <c r="B164">
        <v>2033</v>
      </c>
      <c r="C164">
        <v>64056.424975089009</v>
      </c>
    </row>
    <row r="165" spans="1:3" x14ac:dyDescent="0.35">
      <c r="A165" t="s">
        <v>8</v>
      </c>
      <c r="B165">
        <v>2034</v>
      </c>
      <c r="C165">
        <v>64909.560085578152</v>
      </c>
    </row>
    <row r="166" spans="1:3" x14ac:dyDescent="0.35">
      <c r="A166" t="s">
        <v>8</v>
      </c>
      <c r="B166">
        <v>2035</v>
      </c>
      <c r="C166">
        <v>65762.695196067289</v>
      </c>
    </row>
    <row r="167" spans="1:3" x14ac:dyDescent="0.35">
      <c r="A167" t="s">
        <v>8</v>
      </c>
      <c r="B167">
        <v>2036</v>
      </c>
      <c r="C167">
        <v>66615.83030655644</v>
      </c>
    </row>
    <row r="168" spans="1:3" x14ac:dyDescent="0.35">
      <c r="A168" t="s">
        <v>8</v>
      </c>
      <c r="B168">
        <v>2037</v>
      </c>
      <c r="C168">
        <v>67468.965417045576</v>
      </c>
    </row>
    <row r="169" spans="1:3" x14ac:dyDescent="0.35">
      <c r="A169" t="s">
        <v>8</v>
      </c>
      <c r="B169">
        <v>2038</v>
      </c>
      <c r="C169">
        <v>68322.100527534712</v>
      </c>
    </row>
    <row r="170" spans="1:3" x14ac:dyDescent="0.35">
      <c r="A170" t="s">
        <v>8</v>
      </c>
      <c r="B170">
        <v>2039</v>
      </c>
      <c r="C170">
        <v>69175.235638023878</v>
      </c>
    </row>
    <row r="171" spans="1:3" x14ac:dyDescent="0.35">
      <c r="A171" t="s">
        <v>8</v>
      </c>
      <c r="B171">
        <v>2040</v>
      </c>
      <c r="C171">
        <v>70028.370748513</v>
      </c>
    </row>
    <row r="172" spans="1:3" x14ac:dyDescent="0.35">
      <c r="A172" t="s">
        <v>8</v>
      </c>
      <c r="B172">
        <v>2041</v>
      </c>
      <c r="C172">
        <v>70881.505859002165</v>
      </c>
    </row>
    <row r="173" spans="1:3" x14ac:dyDescent="0.35">
      <c r="A173" t="s">
        <v>8</v>
      </c>
      <c r="B173">
        <v>2042</v>
      </c>
      <c r="C173">
        <v>71851.375165199366</v>
      </c>
    </row>
    <row r="174" spans="1:3" x14ac:dyDescent="0.35">
      <c r="A174" t="s">
        <v>8</v>
      </c>
      <c r="B174">
        <v>2043</v>
      </c>
      <c r="C174">
        <v>72821.244471396552</v>
      </c>
    </row>
    <row r="175" spans="1:3" x14ac:dyDescent="0.35">
      <c r="A175" t="s">
        <v>8</v>
      </c>
      <c r="B175">
        <v>2044</v>
      </c>
      <c r="C175">
        <v>73791.113777593753</v>
      </c>
    </row>
    <row r="176" spans="1:3" x14ac:dyDescent="0.35">
      <c r="A176" t="s">
        <v>8</v>
      </c>
      <c r="B176">
        <v>2045</v>
      </c>
      <c r="C176">
        <v>74760.983083790939</v>
      </c>
    </row>
    <row r="177" spans="1:3" x14ac:dyDescent="0.35">
      <c r="A177" t="s">
        <v>8</v>
      </c>
      <c r="B177">
        <v>2046</v>
      </c>
      <c r="C177">
        <v>75730.85238998814</v>
      </c>
    </row>
    <row r="178" spans="1:3" x14ac:dyDescent="0.35">
      <c r="A178" t="s">
        <v>8</v>
      </c>
      <c r="B178">
        <v>2047</v>
      </c>
      <c r="C178">
        <v>76700.721696185326</v>
      </c>
    </row>
    <row r="179" spans="1:3" x14ac:dyDescent="0.35">
      <c r="A179" t="s">
        <v>8</v>
      </c>
      <c r="B179">
        <v>2048</v>
      </c>
      <c r="C179">
        <v>77670.591002382513</v>
      </c>
    </row>
    <row r="180" spans="1:3" x14ac:dyDescent="0.35">
      <c r="A180" t="s">
        <v>8</v>
      </c>
      <c r="B180">
        <v>2049</v>
      </c>
      <c r="C180">
        <v>78640.460308579713</v>
      </c>
    </row>
    <row r="181" spans="1:3" x14ac:dyDescent="0.35">
      <c r="A181" t="s">
        <v>8</v>
      </c>
      <c r="B181">
        <v>2050</v>
      </c>
      <c r="C181">
        <v>79610.329614776914</v>
      </c>
    </row>
    <row r="182" spans="1:3" x14ac:dyDescent="0.35">
      <c r="A182" t="s">
        <v>9</v>
      </c>
      <c r="B182">
        <v>2021</v>
      </c>
      <c r="C182">
        <v>28989</v>
      </c>
    </row>
    <row r="183" spans="1:3" x14ac:dyDescent="0.35">
      <c r="A183" t="s">
        <v>9</v>
      </c>
      <c r="B183">
        <v>2022</v>
      </c>
      <c r="C183">
        <v>28995.179758858641</v>
      </c>
    </row>
    <row r="184" spans="1:3" x14ac:dyDescent="0.35">
      <c r="A184" t="s">
        <v>9</v>
      </c>
      <c r="B184">
        <v>2023</v>
      </c>
      <c r="C184">
        <v>29001.359517717279</v>
      </c>
    </row>
    <row r="185" spans="1:3" x14ac:dyDescent="0.35">
      <c r="A185" t="s">
        <v>9</v>
      </c>
      <c r="B185">
        <v>2024</v>
      </c>
      <c r="C185">
        <v>29007.539276575924</v>
      </c>
    </row>
    <row r="186" spans="1:3" x14ac:dyDescent="0.35">
      <c r="A186" t="s">
        <v>9</v>
      </c>
      <c r="B186">
        <v>2025</v>
      </c>
      <c r="C186">
        <v>29013.719035434566</v>
      </c>
    </row>
    <row r="187" spans="1:3" x14ac:dyDescent="0.35">
      <c r="A187" t="s">
        <v>9</v>
      </c>
      <c r="B187">
        <v>2026</v>
      </c>
      <c r="C187">
        <v>29019.898794293204</v>
      </c>
    </row>
    <row r="188" spans="1:3" x14ac:dyDescent="0.35">
      <c r="A188" t="s">
        <v>9</v>
      </c>
      <c r="B188">
        <v>2027</v>
      </c>
      <c r="C188">
        <v>29026.078553151845</v>
      </c>
    </row>
    <row r="189" spans="1:3" x14ac:dyDescent="0.35">
      <c r="A189" t="s">
        <v>9</v>
      </c>
      <c r="B189">
        <v>2028</v>
      </c>
      <c r="C189">
        <v>29032.258312010483</v>
      </c>
    </row>
    <row r="190" spans="1:3" x14ac:dyDescent="0.35">
      <c r="A190" t="s">
        <v>9</v>
      </c>
      <c r="B190">
        <v>2029</v>
      </c>
      <c r="C190">
        <v>29038.438070869124</v>
      </c>
    </row>
    <row r="191" spans="1:3" x14ac:dyDescent="0.35">
      <c r="A191" t="s">
        <v>9</v>
      </c>
      <c r="B191">
        <v>2030</v>
      </c>
      <c r="C191">
        <v>29044.617829727769</v>
      </c>
    </row>
    <row r="192" spans="1:3" x14ac:dyDescent="0.35">
      <c r="A192" t="s">
        <v>9</v>
      </c>
      <c r="B192">
        <v>2031</v>
      </c>
      <c r="C192">
        <v>29050.797588586425</v>
      </c>
    </row>
    <row r="193" spans="1:3" x14ac:dyDescent="0.35">
      <c r="A193" t="s">
        <v>9</v>
      </c>
      <c r="B193">
        <v>2032</v>
      </c>
      <c r="C193">
        <v>29003.609757630282</v>
      </c>
    </row>
    <row r="194" spans="1:3" x14ac:dyDescent="0.35">
      <c r="A194" t="s">
        <v>9</v>
      </c>
      <c r="B194">
        <v>2033</v>
      </c>
      <c r="C194">
        <v>28956.421926674138</v>
      </c>
    </row>
    <row r="195" spans="1:3" x14ac:dyDescent="0.35">
      <c r="A195" t="s">
        <v>9</v>
      </c>
      <c r="B195">
        <v>2034</v>
      </c>
      <c r="C195">
        <v>28909.234095717999</v>
      </c>
    </row>
    <row r="196" spans="1:3" x14ac:dyDescent="0.35">
      <c r="A196" t="s">
        <v>9</v>
      </c>
      <c r="B196">
        <v>2035</v>
      </c>
      <c r="C196">
        <v>28862.046264761859</v>
      </c>
    </row>
    <row r="197" spans="1:3" x14ac:dyDescent="0.35">
      <c r="A197" t="s">
        <v>9</v>
      </c>
      <c r="B197">
        <v>2036</v>
      </c>
      <c r="C197">
        <v>28814.858433805715</v>
      </c>
    </row>
    <row r="198" spans="1:3" x14ac:dyDescent="0.35">
      <c r="A198" t="s">
        <v>9</v>
      </c>
      <c r="B198">
        <v>2037</v>
      </c>
      <c r="C198">
        <v>28767.670602849576</v>
      </c>
    </row>
    <row r="199" spans="1:3" x14ac:dyDescent="0.35">
      <c r="A199" t="s">
        <v>9</v>
      </c>
      <c r="B199">
        <v>2038</v>
      </c>
      <c r="C199">
        <v>28720.482771893436</v>
      </c>
    </row>
    <row r="200" spans="1:3" x14ac:dyDescent="0.35">
      <c r="A200" t="s">
        <v>9</v>
      </c>
      <c r="B200">
        <v>2039</v>
      </c>
      <c r="C200">
        <v>28673.294940937296</v>
      </c>
    </row>
    <row r="201" spans="1:3" x14ac:dyDescent="0.35">
      <c r="A201" t="s">
        <v>9</v>
      </c>
      <c r="B201">
        <v>2040</v>
      </c>
      <c r="C201">
        <v>28626.107109981156</v>
      </c>
    </row>
    <row r="202" spans="1:3" x14ac:dyDescent="0.35">
      <c r="A202" t="s">
        <v>9</v>
      </c>
      <c r="B202">
        <v>2041</v>
      </c>
      <c r="C202">
        <v>28578.919279025002</v>
      </c>
    </row>
    <row r="203" spans="1:3" x14ac:dyDescent="0.35">
      <c r="A203" t="s">
        <v>9</v>
      </c>
      <c r="B203">
        <v>2042</v>
      </c>
      <c r="C203">
        <v>28532.497930084905</v>
      </c>
    </row>
    <row r="204" spans="1:3" x14ac:dyDescent="0.35">
      <c r="A204" t="s">
        <v>9</v>
      </c>
      <c r="B204">
        <v>2043</v>
      </c>
      <c r="C204">
        <v>28486.076581144811</v>
      </c>
    </row>
    <row r="205" spans="1:3" x14ac:dyDescent="0.35">
      <c r="A205" t="s">
        <v>9</v>
      </c>
      <c r="B205">
        <v>2044</v>
      </c>
      <c r="C205">
        <v>28439.655232204714</v>
      </c>
    </row>
    <row r="206" spans="1:3" x14ac:dyDescent="0.35">
      <c r="A206" t="s">
        <v>9</v>
      </c>
      <c r="B206">
        <v>2045</v>
      </c>
      <c r="C206">
        <v>28393.233883264616</v>
      </c>
    </row>
    <row r="207" spans="1:3" x14ac:dyDescent="0.35">
      <c r="A207" t="s">
        <v>9</v>
      </c>
      <c r="B207">
        <v>2046</v>
      </c>
      <c r="C207">
        <v>28346.812534324523</v>
      </c>
    </row>
    <row r="208" spans="1:3" x14ac:dyDescent="0.35">
      <c r="A208" t="s">
        <v>9</v>
      </c>
      <c r="B208">
        <v>2047</v>
      </c>
      <c r="C208">
        <v>28300.391185384426</v>
      </c>
    </row>
    <row r="209" spans="1:3" x14ac:dyDescent="0.35">
      <c r="A209" t="s">
        <v>9</v>
      </c>
      <c r="B209">
        <v>2048</v>
      </c>
      <c r="C209">
        <v>28253.969836444328</v>
      </c>
    </row>
    <row r="210" spans="1:3" x14ac:dyDescent="0.35">
      <c r="A210" t="s">
        <v>9</v>
      </c>
      <c r="B210">
        <v>2049</v>
      </c>
      <c r="C210">
        <v>28207.548487504235</v>
      </c>
    </row>
    <row r="211" spans="1:3" x14ac:dyDescent="0.35">
      <c r="A211" t="s">
        <v>9</v>
      </c>
      <c r="B211">
        <v>2050</v>
      </c>
      <c r="C211">
        <v>28161.127138564138</v>
      </c>
    </row>
    <row r="212" spans="1:3" x14ac:dyDescent="0.35">
      <c r="A212" t="s">
        <v>10</v>
      </c>
      <c r="B212">
        <v>2021</v>
      </c>
      <c r="C212">
        <v>10152</v>
      </c>
    </row>
    <row r="213" spans="1:3" x14ac:dyDescent="0.35">
      <c r="A213" t="s">
        <v>10</v>
      </c>
      <c r="B213">
        <v>2022</v>
      </c>
      <c r="C213">
        <v>10249.468364212664</v>
      </c>
    </row>
    <row r="214" spans="1:3" x14ac:dyDescent="0.35">
      <c r="A214" t="s">
        <v>10</v>
      </c>
      <c r="B214">
        <v>2023</v>
      </c>
      <c r="C214">
        <v>10346.936728425329</v>
      </c>
    </row>
    <row r="215" spans="1:3" x14ac:dyDescent="0.35">
      <c r="A215" t="s">
        <v>10</v>
      </c>
      <c r="B215">
        <v>2024</v>
      </c>
      <c r="C215">
        <v>10444.405092637993</v>
      </c>
    </row>
    <row r="216" spans="1:3" x14ac:dyDescent="0.35">
      <c r="A216" t="s">
        <v>10</v>
      </c>
      <c r="B216">
        <v>2025</v>
      </c>
      <c r="C216">
        <v>10541.873456850659</v>
      </c>
    </row>
    <row r="217" spans="1:3" x14ac:dyDescent="0.35">
      <c r="A217" t="s">
        <v>10</v>
      </c>
      <c r="B217">
        <v>2026</v>
      </c>
      <c r="C217">
        <v>10639.341821063324</v>
      </c>
    </row>
    <row r="218" spans="1:3" x14ac:dyDescent="0.35">
      <c r="A218" t="s">
        <v>10</v>
      </c>
      <c r="B218">
        <v>2027</v>
      </c>
      <c r="C218">
        <v>10736.81018527599</v>
      </c>
    </row>
    <row r="219" spans="1:3" x14ac:dyDescent="0.35">
      <c r="A219" t="s">
        <v>10</v>
      </c>
      <c r="B219">
        <v>2028</v>
      </c>
      <c r="C219">
        <v>10834.278549488654</v>
      </c>
    </row>
    <row r="220" spans="1:3" x14ac:dyDescent="0.35">
      <c r="A220" t="s">
        <v>10</v>
      </c>
      <c r="B220">
        <v>2029</v>
      </c>
      <c r="C220">
        <v>10931.746913701321</v>
      </c>
    </row>
    <row r="221" spans="1:3" x14ac:dyDescent="0.35">
      <c r="A221" t="s">
        <v>10</v>
      </c>
      <c r="B221">
        <v>2030</v>
      </c>
      <c r="C221">
        <v>11029.215277913989</v>
      </c>
    </row>
    <row r="222" spans="1:3" x14ac:dyDescent="0.35">
      <c r="A222" t="s">
        <v>10</v>
      </c>
      <c r="B222">
        <v>2031</v>
      </c>
      <c r="C222">
        <v>11126.683642126653</v>
      </c>
    </row>
    <row r="223" spans="1:3" x14ac:dyDescent="0.35">
      <c r="A223" t="s">
        <v>10</v>
      </c>
      <c r="B223">
        <v>2032</v>
      </c>
      <c r="C223">
        <v>11211.149335970073</v>
      </c>
    </row>
    <row r="224" spans="1:3" x14ac:dyDescent="0.35">
      <c r="A224" t="s">
        <v>10</v>
      </c>
      <c r="B224">
        <v>2033</v>
      </c>
      <c r="C224">
        <v>11295.615029813493</v>
      </c>
    </row>
    <row r="225" spans="1:3" x14ac:dyDescent="0.35">
      <c r="A225" t="s">
        <v>10</v>
      </c>
      <c r="B225">
        <v>2034</v>
      </c>
      <c r="C225">
        <v>11380.080723656913</v>
      </c>
    </row>
    <row r="226" spans="1:3" x14ac:dyDescent="0.35">
      <c r="A226" t="s">
        <v>10</v>
      </c>
      <c r="B226">
        <v>2035</v>
      </c>
      <c r="C226">
        <v>11464.546417500331</v>
      </c>
    </row>
    <row r="227" spans="1:3" x14ac:dyDescent="0.35">
      <c r="A227" t="s">
        <v>10</v>
      </c>
      <c r="B227">
        <v>2036</v>
      </c>
      <c r="C227">
        <v>11549.012111343751</v>
      </c>
    </row>
    <row r="228" spans="1:3" x14ac:dyDescent="0.35">
      <c r="A228" t="s">
        <v>10</v>
      </c>
      <c r="B228">
        <v>2037</v>
      </c>
      <c r="C228">
        <v>11633.477805187169</v>
      </c>
    </row>
    <row r="229" spans="1:3" x14ac:dyDescent="0.35">
      <c r="A229" t="s">
        <v>10</v>
      </c>
      <c r="B229">
        <v>2038</v>
      </c>
      <c r="C229">
        <v>11717.943499030589</v>
      </c>
    </row>
    <row r="230" spans="1:3" x14ac:dyDescent="0.35">
      <c r="A230" t="s">
        <v>10</v>
      </c>
      <c r="B230">
        <v>2039</v>
      </c>
      <c r="C230">
        <v>11802.409192874009</v>
      </c>
    </row>
    <row r="231" spans="1:3" x14ac:dyDescent="0.35">
      <c r="A231" t="s">
        <v>10</v>
      </c>
      <c r="B231">
        <v>2040</v>
      </c>
      <c r="C231">
        <v>11886.874886717427</v>
      </c>
    </row>
    <row r="232" spans="1:3" x14ac:dyDescent="0.35">
      <c r="A232" t="s">
        <v>10</v>
      </c>
      <c r="B232">
        <v>2041</v>
      </c>
      <c r="C232">
        <v>11971.340580560844</v>
      </c>
    </row>
    <row r="233" spans="1:3" x14ac:dyDescent="0.35">
      <c r="A233" t="s">
        <v>10</v>
      </c>
      <c r="B233">
        <v>2042</v>
      </c>
      <c r="C233">
        <v>12062.218295870782</v>
      </c>
    </row>
    <row r="234" spans="1:3" x14ac:dyDescent="0.35">
      <c r="A234" t="s">
        <v>10</v>
      </c>
      <c r="B234">
        <v>2043</v>
      </c>
      <c r="C234">
        <v>12153.09601118072</v>
      </c>
    </row>
    <row r="235" spans="1:3" x14ac:dyDescent="0.35">
      <c r="A235" t="s">
        <v>10</v>
      </c>
      <c r="B235">
        <v>2044</v>
      </c>
      <c r="C235">
        <v>12243.973726490658</v>
      </c>
    </row>
    <row r="236" spans="1:3" x14ac:dyDescent="0.35">
      <c r="A236" t="s">
        <v>10</v>
      </c>
      <c r="B236">
        <v>2045</v>
      </c>
      <c r="C236">
        <v>12334.851441800596</v>
      </c>
    </row>
    <row r="237" spans="1:3" x14ac:dyDescent="0.35">
      <c r="A237" t="s">
        <v>10</v>
      </c>
      <c r="B237">
        <v>2046</v>
      </c>
      <c r="C237">
        <v>12425.729157110536</v>
      </c>
    </row>
    <row r="238" spans="1:3" x14ac:dyDescent="0.35">
      <c r="A238" t="s">
        <v>10</v>
      </c>
      <c r="B238">
        <v>2047</v>
      </c>
      <c r="C238">
        <v>12516.606872420474</v>
      </c>
    </row>
    <row r="239" spans="1:3" x14ac:dyDescent="0.35">
      <c r="A239" t="s">
        <v>10</v>
      </c>
      <c r="B239">
        <v>2048</v>
      </c>
      <c r="C239">
        <v>12607.484587730412</v>
      </c>
    </row>
    <row r="240" spans="1:3" x14ac:dyDescent="0.35">
      <c r="A240" t="s">
        <v>10</v>
      </c>
      <c r="B240">
        <v>2049</v>
      </c>
      <c r="C240">
        <v>12698.362303040351</v>
      </c>
    </row>
    <row r="241" spans="1:3" x14ac:dyDescent="0.35">
      <c r="A241" t="s">
        <v>10</v>
      </c>
      <c r="B241">
        <v>2050</v>
      </c>
      <c r="C241">
        <v>12789.24001835029</v>
      </c>
    </row>
    <row r="242" spans="1:3" x14ac:dyDescent="0.35">
      <c r="A242" t="s">
        <v>11</v>
      </c>
      <c r="B242">
        <v>2021</v>
      </c>
      <c r="C242">
        <v>3248</v>
      </c>
    </row>
    <row r="243" spans="1:3" x14ac:dyDescent="0.35">
      <c r="A243" t="s">
        <v>11</v>
      </c>
      <c r="B243">
        <v>2022</v>
      </c>
      <c r="C243">
        <v>3317.3180421181519</v>
      </c>
    </row>
    <row r="244" spans="1:3" x14ac:dyDescent="0.35">
      <c r="A244" t="s">
        <v>11</v>
      </c>
      <c r="B244">
        <v>2023</v>
      </c>
      <c r="C244">
        <v>3386.6360842363038</v>
      </c>
    </row>
    <row r="245" spans="1:3" x14ac:dyDescent="0.35">
      <c r="A245" t="s">
        <v>11</v>
      </c>
      <c r="B245">
        <v>2024</v>
      </c>
      <c r="C245">
        <v>3455.9541263544556</v>
      </c>
    </row>
    <row r="246" spans="1:3" x14ac:dyDescent="0.35">
      <c r="A246" t="s">
        <v>11</v>
      </c>
      <c r="B246">
        <v>2025</v>
      </c>
      <c r="C246">
        <v>3525.2721684726075</v>
      </c>
    </row>
    <row r="247" spans="1:3" x14ac:dyDescent="0.35">
      <c r="A247" t="s">
        <v>11</v>
      </c>
      <c r="B247">
        <v>2026</v>
      </c>
      <c r="C247">
        <v>3594.5902105907594</v>
      </c>
    </row>
    <row r="248" spans="1:3" x14ac:dyDescent="0.35">
      <c r="A248" t="s">
        <v>11</v>
      </c>
      <c r="B248">
        <v>2027</v>
      </c>
      <c r="C248">
        <v>3663.9082527089113</v>
      </c>
    </row>
    <row r="249" spans="1:3" x14ac:dyDescent="0.35">
      <c r="A249" t="s">
        <v>11</v>
      </c>
      <c r="B249">
        <v>2028</v>
      </c>
      <c r="C249">
        <v>3733.2262948270632</v>
      </c>
    </row>
    <row r="250" spans="1:3" x14ac:dyDescent="0.35">
      <c r="A250" t="s">
        <v>11</v>
      </c>
      <c r="B250">
        <v>2029</v>
      </c>
      <c r="C250">
        <v>3802.544336945215</v>
      </c>
    </row>
    <row r="251" spans="1:3" x14ac:dyDescent="0.35">
      <c r="A251" t="s">
        <v>11</v>
      </c>
      <c r="B251">
        <v>2030</v>
      </c>
      <c r="C251">
        <v>3871.8623790633669</v>
      </c>
    </row>
    <row r="252" spans="1:3" x14ac:dyDescent="0.35">
      <c r="A252" t="s">
        <v>11</v>
      </c>
      <c r="B252">
        <v>2031</v>
      </c>
      <c r="C252">
        <v>3941.1804211815197</v>
      </c>
    </row>
    <row r="253" spans="1:3" x14ac:dyDescent="0.35">
      <c r="A253" t="s">
        <v>11</v>
      </c>
      <c r="B253">
        <v>2032</v>
      </c>
      <c r="C253">
        <v>4016.5233881408444</v>
      </c>
    </row>
    <row r="254" spans="1:3" x14ac:dyDescent="0.35">
      <c r="A254" t="s">
        <v>11</v>
      </c>
      <c r="B254">
        <v>2033</v>
      </c>
      <c r="C254">
        <v>4091.8663551001696</v>
      </c>
    </row>
    <row r="255" spans="1:3" x14ac:dyDescent="0.35">
      <c r="A255" t="s">
        <v>11</v>
      </c>
      <c r="B255">
        <v>2034</v>
      </c>
      <c r="C255">
        <v>4167.2093220594943</v>
      </c>
    </row>
    <row r="256" spans="1:3" x14ac:dyDescent="0.35">
      <c r="A256" t="s">
        <v>11</v>
      </c>
      <c r="B256">
        <v>2035</v>
      </c>
      <c r="C256">
        <v>4242.5522890188195</v>
      </c>
    </row>
    <row r="257" spans="1:3" x14ac:dyDescent="0.35">
      <c r="A257" t="s">
        <v>11</v>
      </c>
      <c r="B257">
        <v>2036</v>
      </c>
      <c r="C257">
        <v>4317.8952559781446</v>
      </c>
    </row>
    <row r="258" spans="1:3" x14ac:dyDescent="0.35">
      <c r="A258" t="s">
        <v>11</v>
      </c>
      <c r="B258">
        <v>2037</v>
      </c>
      <c r="C258">
        <v>4393.2382229374689</v>
      </c>
    </row>
    <row r="259" spans="1:3" x14ac:dyDescent="0.35">
      <c r="A259" t="s">
        <v>11</v>
      </c>
      <c r="B259">
        <v>2038</v>
      </c>
      <c r="C259">
        <v>4468.5811898967941</v>
      </c>
    </row>
    <row r="260" spans="1:3" x14ac:dyDescent="0.35">
      <c r="A260" t="s">
        <v>11</v>
      </c>
      <c r="B260">
        <v>2039</v>
      </c>
      <c r="C260">
        <v>4543.9241568561192</v>
      </c>
    </row>
    <row r="261" spans="1:3" x14ac:dyDescent="0.35">
      <c r="A261" t="s">
        <v>11</v>
      </c>
      <c r="B261">
        <v>2040</v>
      </c>
      <c r="C261">
        <v>4619.2671238154444</v>
      </c>
    </row>
    <row r="262" spans="1:3" x14ac:dyDescent="0.35">
      <c r="A262" t="s">
        <v>11</v>
      </c>
      <c r="B262">
        <v>2041</v>
      </c>
      <c r="C262">
        <v>4694.6100907747687</v>
      </c>
    </row>
    <row r="263" spans="1:3" x14ac:dyDescent="0.35">
      <c r="A263" t="s">
        <v>11</v>
      </c>
      <c r="B263">
        <v>2042</v>
      </c>
      <c r="C263">
        <v>4784.3562620119947</v>
      </c>
    </row>
    <row r="264" spans="1:3" x14ac:dyDescent="0.35">
      <c r="A264" t="s">
        <v>11</v>
      </c>
      <c r="B264">
        <v>2043</v>
      </c>
      <c r="C264">
        <v>4874.1024332492207</v>
      </c>
    </row>
    <row r="265" spans="1:3" x14ac:dyDescent="0.35">
      <c r="A265" t="s">
        <v>11</v>
      </c>
      <c r="B265">
        <v>2044</v>
      </c>
      <c r="C265">
        <v>4963.8486044864467</v>
      </c>
    </row>
    <row r="266" spans="1:3" x14ac:dyDescent="0.35">
      <c r="A266" t="s">
        <v>11</v>
      </c>
      <c r="B266">
        <v>2045</v>
      </c>
      <c r="C266">
        <v>5053.5947757236727</v>
      </c>
    </row>
    <row r="267" spans="1:3" x14ac:dyDescent="0.35">
      <c r="A267" t="s">
        <v>11</v>
      </c>
      <c r="B267">
        <v>2046</v>
      </c>
      <c r="C267">
        <v>5143.3409469608978</v>
      </c>
    </row>
    <row r="268" spans="1:3" x14ac:dyDescent="0.35">
      <c r="A268" t="s">
        <v>11</v>
      </c>
      <c r="B268">
        <v>2047</v>
      </c>
      <c r="C268">
        <v>5233.0871181981229</v>
      </c>
    </row>
    <row r="269" spans="1:3" x14ac:dyDescent="0.35">
      <c r="A269" t="s">
        <v>11</v>
      </c>
      <c r="B269">
        <v>2048</v>
      </c>
      <c r="C269">
        <v>5322.8332894353489</v>
      </c>
    </row>
    <row r="270" spans="1:3" x14ac:dyDescent="0.35">
      <c r="A270" t="s">
        <v>11</v>
      </c>
      <c r="B270">
        <v>2049</v>
      </c>
      <c r="C270">
        <v>5412.5794606725749</v>
      </c>
    </row>
    <row r="271" spans="1:3" x14ac:dyDescent="0.35">
      <c r="A271" t="s">
        <v>11</v>
      </c>
      <c r="B271">
        <v>2050</v>
      </c>
      <c r="C271">
        <v>5502.3256319098009</v>
      </c>
    </row>
    <row r="272" spans="1:3" x14ac:dyDescent="0.35">
      <c r="A272" t="s">
        <v>12</v>
      </c>
      <c r="B272">
        <v>2021</v>
      </c>
      <c r="C272">
        <v>217566</v>
      </c>
    </row>
    <row r="273" spans="1:3" x14ac:dyDescent="0.35">
      <c r="A273" t="s">
        <v>12</v>
      </c>
      <c r="B273">
        <v>2022</v>
      </c>
      <c r="C273">
        <v>221042.12958188992</v>
      </c>
    </row>
    <row r="274" spans="1:3" x14ac:dyDescent="0.35">
      <c r="A274" t="s">
        <v>12</v>
      </c>
      <c r="B274">
        <v>2023</v>
      </c>
      <c r="C274">
        <v>224518.25916377988</v>
      </c>
    </row>
    <row r="275" spans="1:3" x14ac:dyDescent="0.35">
      <c r="A275" t="s">
        <v>12</v>
      </c>
      <c r="B275">
        <v>2024</v>
      </c>
      <c r="C275">
        <v>227994.38874566986</v>
      </c>
    </row>
    <row r="276" spans="1:3" x14ac:dyDescent="0.35">
      <c r="A276" t="s">
        <v>12</v>
      </c>
      <c r="B276">
        <v>2025</v>
      </c>
      <c r="C276">
        <v>231470.51832755978</v>
      </c>
    </row>
    <row r="277" spans="1:3" x14ac:dyDescent="0.35">
      <c r="A277" t="s">
        <v>12</v>
      </c>
      <c r="B277">
        <v>2026</v>
      </c>
      <c r="C277">
        <v>234946.6479094497</v>
      </c>
    </row>
    <row r="278" spans="1:3" x14ac:dyDescent="0.35">
      <c r="A278" t="s">
        <v>12</v>
      </c>
      <c r="B278">
        <v>2027</v>
      </c>
      <c r="C278">
        <v>238422.77749133969</v>
      </c>
    </row>
    <row r="279" spans="1:3" x14ac:dyDescent="0.35">
      <c r="A279" t="s">
        <v>12</v>
      </c>
      <c r="B279">
        <v>2028</v>
      </c>
      <c r="C279">
        <v>241898.90707322961</v>
      </c>
    </row>
    <row r="280" spans="1:3" x14ac:dyDescent="0.35">
      <c r="A280" t="s">
        <v>12</v>
      </c>
      <c r="B280">
        <v>2029</v>
      </c>
      <c r="C280">
        <v>245375.03665511956</v>
      </c>
    </row>
    <row r="281" spans="1:3" x14ac:dyDescent="0.35">
      <c r="A281" t="s">
        <v>12</v>
      </c>
      <c r="B281">
        <v>2030</v>
      </c>
      <c r="C281">
        <v>248851.16623700949</v>
      </c>
    </row>
    <row r="282" spans="1:3" x14ac:dyDescent="0.35">
      <c r="A282" t="s">
        <v>12</v>
      </c>
      <c r="B282">
        <v>2031</v>
      </c>
      <c r="C282">
        <v>252327.29581889926</v>
      </c>
    </row>
    <row r="283" spans="1:3" x14ac:dyDescent="0.35">
      <c r="A283" t="s">
        <v>12</v>
      </c>
      <c r="B283">
        <v>2032</v>
      </c>
      <c r="C283">
        <v>255822.23302566863</v>
      </c>
    </row>
    <row r="284" spans="1:3" x14ac:dyDescent="0.35">
      <c r="A284" t="s">
        <v>12</v>
      </c>
      <c r="B284">
        <v>2033</v>
      </c>
      <c r="C284">
        <v>259317.17023243799</v>
      </c>
    </row>
    <row r="285" spans="1:3" x14ac:dyDescent="0.35">
      <c r="A285" t="s">
        <v>12</v>
      </c>
      <c r="B285">
        <v>2034</v>
      </c>
      <c r="C285">
        <v>262812.10743920732</v>
      </c>
    </row>
    <row r="286" spans="1:3" x14ac:dyDescent="0.35">
      <c r="A286" t="s">
        <v>12</v>
      </c>
      <c r="B286">
        <v>2035</v>
      </c>
      <c r="C286">
        <v>266307.04464597668</v>
      </c>
    </row>
    <row r="287" spans="1:3" x14ac:dyDescent="0.35">
      <c r="A287" t="s">
        <v>12</v>
      </c>
      <c r="B287">
        <v>2036</v>
      </c>
      <c r="C287">
        <v>269801.98185274604</v>
      </c>
    </row>
    <row r="288" spans="1:3" x14ac:dyDescent="0.35">
      <c r="A288" t="s">
        <v>12</v>
      </c>
      <c r="B288">
        <v>2037</v>
      </c>
      <c r="C288">
        <v>273296.91905951541</v>
      </c>
    </row>
    <row r="289" spans="1:3" x14ac:dyDescent="0.35">
      <c r="A289" t="s">
        <v>12</v>
      </c>
      <c r="B289">
        <v>2038</v>
      </c>
      <c r="C289">
        <v>276791.85626628477</v>
      </c>
    </row>
    <row r="290" spans="1:3" x14ac:dyDescent="0.35">
      <c r="A290" t="s">
        <v>12</v>
      </c>
      <c r="B290">
        <v>2039</v>
      </c>
      <c r="C290">
        <v>280286.79347305407</v>
      </c>
    </row>
    <row r="291" spans="1:3" x14ac:dyDescent="0.35">
      <c r="A291" t="s">
        <v>12</v>
      </c>
      <c r="B291">
        <v>2040</v>
      </c>
      <c r="C291">
        <v>283781.73067982343</v>
      </c>
    </row>
    <row r="292" spans="1:3" x14ac:dyDescent="0.35">
      <c r="A292" t="s">
        <v>12</v>
      </c>
      <c r="B292">
        <v>2041</v>
      </c>
      <c r="C292">
        <v>287276.66788659291</v>
      </c>
    </row>
    <row r="293" spans="1:3" x14ac:dyDescent="0.35">
      <c r="A293" t="s">
        <v>12</v>
      </c>
      <c r="B293">
        <v>2042</v>
      </c>
      <c r="C293">
        <v>291255.68217426701</v>
      </c>
    </row>
    <row r="294" spans="1:3" x14ac:dyDescent="0.35">
      <c r="A294" t="s">
        <v>12</v>
      </c>
      <c r="B294">
        <v>2043</v>
      </c>
      <c r="C294">
        <v>295234.69646194123</v>
      </c>
    </row>
    <row r="295" spans="1:3" x14ac:dyDescent="0.35">
      <c r="A295" t="s">
        <v>12</v>
      </c>
      <c r="B295">
        <v>2044</v>
      </c>
      <c r="C295">
        <v>299213.71074961533</v>
      </c>
    </row>
    <row r="296" spans="1:3" x14ac:dyDescent="0.35">
      <c r="A296" t="s">
        <v>12</v>
      </c>
      <c r="B296">
        <v>2045</v>
      </c>
      <c r="C296">
        <v>303192.72503728949</v>
      </c>
    </row>
    <row r="297" spans="1:3" x14ac:dyDescent="0.35">
      <c r="A297" t="s">
        <v>12</v>
      </c>
      <c r="B297">
        <v>2046</v>
      </c>
      <c r="C297">
        <v>307171.73932496359</v>
      </c>
    </row>
    <row r="298" spans="1:3" x14ac:dyDescent="0.35">
      <c r="A298" t="s">
        <v>12</v>
      </c>
      <c r="B298">
        <v>2047</v>
      </c>
      <c r="C298">
        <v>311150.75361263775</v>
      </c>
    </row>
    <row r="299" spans="1:3" x14ac:dyDescent="0.35">
      <c r="A299" t="s">
        <v>12</v>
      </c>
      <c r="B299">
        <v>2048</v>
      </c>
      <c r="C299">
        <v>315129.76790031191</v>
      </c>
    </row>
    <row r="300" spans="1:3" x14ac:dyDescent="0.35">
      <c r="A300" t="s">
        <v>12</v>
      </c>
      <c r="B300">
        <v>2049</v>
      </c>
      <c r="C300">
        <v>319108.78218798607</v>
      </c>
    </row>
    <row r="301" spans="1:3" x14ac:dyDescent="0.35">
      <c r="A301" t="s">
        <v>12</v>
      </c>
      <c r="B301">
        <v>2050</v>
      </c>
      <c r="C301">
        <v>323087.79647566023</v>
      </c>
    </row>
    <row r="302" spans="1:3" x14ac:dyDescent="0.35">
      <c r="A302" t="s">
        <v>13</v>
      </c>
      <c r="B302">
        <v>2021</v>
      </c>
      <c r="C302">
        <v>120685</v>
      </c>
    </row>
    <row r="303" spans="1:3" x14ac:dyDescent="0.35">
      <c r="A303" t="s">
        <v>13</v>
      </c>
      <c r="B303">
        <v>2022</v>
      </c>
      <c r="C303">
        <v>121933.75389041836</v>
      </c>
    </row>
    <row r="304" spans="1:3" x14ac:dyDescent="0.35">
      <c r="A304" t="s">
        <v>13</v>
      </c>
      <c r="B304">
        <v>2023</v>
      </c>
      <c r="C304">
        <v>123182.50778083672</v>
      </c>
    </row>
    <row r="305" spans="1:3" x14ac:dyDescent="0.35">
      <c r="A305" t="s">
        <v>13</v>
      </c>
      <c r="B305">
        <v>2024</v>
      </c>
      <c r="C305">
        <v>124431.26167125508</v>
      </c>
    </row>
    <row r="306" spans="1:3" x14ac:dyDescent="0.35">
      <c r="A306" t="s">
        <v>13</v>
      </c>
      <c r="B306">
        <v>2025</v>
      </c>
      <c r="C306">
        <v>125680.01556167344</v>
      </c>
    </row>
    <row r="307" spans="1:3" x14ac:dyDescent="0.35">
      <c r="A307" t="s">
        <v>13</v>
      </c>
      <c r="B307">
        <v>2026</v>
      </c>
      <c r="C307">
        <v>126928.7694520918</v>
      </c>
    </row>
    <row r="308" spans="1:3" x14ac:dyDescent="0.35">
      <c r="A308" t="s">
        <v>13</v>
      </c>
      <c r="B308">
        <v>2027</v>
      </c>
      <c r="C308">
        <v>128177.52334251016</v>
      </c>
    </row>
    <row r="309" spans="1:3" x14ac:dyDescent="0.35">
      <c r="A309" t="s">
        <v>13</v>
      </c>
      <c r="B309">
        <v>2028</v>
      </c>
      <c r="C309">
        <v>129426.27723292849</v>
      </c>
    </row>
    <row r="310" spans="1:3" x14ac:dyDescent="0.35">
      <c r="A310" t="s">
        <v>13</v>
      </c>
      <c r="B310">
        <v>2029</v>
      </c>
      <c r="C310">
        <v>130675.03112334685</v>
      </c>
    </row>
    <row r="311" spans="1:3" x14ac:dyDescent="0.35">
      <c r="A311" t="s">
        <v>13</v>
      </c>
      <c r="B311">
        <v>2030</v>
      </c>
      <c r="C311">
        <v>131923.78501376521</v>
      </c>
    </row>
    <row r="312" spans="1:3" x14ac:dyDescent="0.35">
      <c r="A312" t="s">
        <v>13</v>
      </c>
      <c r="B312">
        <v>2031</v>
      </c>
      <c r="C312">
        <v>133172.5389041836</v>
      </c>
    </row>
    <row r="313" spans="1:3" x14ac:dyDescent="0.35">
      <c r="A313" t="s">
        <v>13</v>
      </c>
      <c r="B313">
        <v>2032</v>
      </c>
      <c r="C313">
        <v>134281.05421185063</v>
      </c>
    </row>
    <row r="314" spans="1:3" x14ac:dyDescent="0.35">
      <c r="A314" t="s">
        <v>13</v>
      </c>
      <c r="B314">
        <v>2033</v>
      </c>
      <c r="C314">
        <v>135389.56951951762</v>
      </c>
    </row>
    <row r="315" spans="1:3" x14ac:dyDescent="0.35">
      <c r="A315" t="s">
        <v>13</v>
      </c>
      <c r="B315">
        <v>2034</v>
      </c>
      <c r="C315">
        <v>136498.08482718468</v>
      </c>
    </row>
    <row r="316" spans="1:3" x14ac:dyDescent="0.35">
      <c r="A316" t="s">
        <v>13</v>
      </c>
      <c r="B316">
        <v>2035</v>
      </c>
      <c r="C316">
        <v>137606.60013485167</v>
      </c>
    </row>
    <row r="317" spans="1:3" x14ac:dyDescent="0.35">
      <c r="A317" t="s">
        <v>13</v>
      </c>
      <c r="B317">
        <v>2036</v>
      </c>
      <c r="C317">
        <v>138715.1154425187</v>
      </c>
    </row>
    <row r="318" spans="1:3" x14ac:dyDescent="0.35">
      <c r="A318" t="s">
        <v>13</v>
      </c>
      <c r="B318">
        <v>2037</v>
      </c>
      <c r="C318">
        <v>139823.63075018572</v>
      </c>
    </row>
    <row r="319" spans="1:3" x14ac:dyDescent="0.35">
      <c r="A319" t="s">
        <v>13</v>
      </c>
      <c r="B319">
        <v>2038</v>
      </c>
      <c r="C319">
        <v>140932.14605785272</v>
      </c>
    </row>
    <row r="320" spans="1:3" x14ac:dyDescent="0.35">
      <c r="A320" t="s">
        <v>13</v>
      </c>
      <c r="B320">
        <v>2039</v>
      </c>
      <c r="C320">
        <v>142040.66136551974</v>
      </c>
    </row>
    <row r="321" spans="1:3" x14ac:dyDescent="0.35">
      <c r="A321" t="s">
        <v>13</v>
      </c>
      <c r="B321">
        <v>2040</v>
      </c>
      <c r="C321">
        <v>143149.17667318674</v>
      </c>
    </row>
    <row r="322" spans="1:3" x14ac:dyDescent="0.35">
      <c r="A322" t="s">
        <v>13</v>
      </c>
      <c r="B322">
        <v>2041</v>
      </c>
      <c r="C322">
        <v>144257.69198085382</v>
      </c>
    </row>
    <row r="323" spans="1:3" x14ac:dyDescent="0.35">
      <c r="A323" t="s">
        <v>13</v>
      </c>
      <c r="B323">
        <v>2042</v>
      </c>
      <c r="C323">
        <v>145458.47902843388</v>
      </c>
    </row>
    <row r="324" spans="1:3" x14ac:dyDescent="0.35">
      <c r="A324" t="s">
        <v>13</v>
      </c>
      <c r="B324">
        <v>2043</v>
      </c>
      <c r="C324">
        <v>146659.26607601391</v>
      </c>
    </row>
    <row r="325" spans="1:3" x14ac:dyDescent="0.35">
      <c r="A325" t="s">
        <v>13</v>
      </c>
      <c r="B325">
        <v>2044</v>
      </c>
      <c r="C325">
        <v>147860.05312359394</v>
      </c>
    </row>
    <row r="326" spans="1:3" x14ac:dyDescent="0.35">
      <c r="A326" t="s">
        <v>13</v>
      </c>
      <c r="B326">
        <v>2045</v>
      </c>
      <c r="C326">
        <v>149060.84017117397</v>
      </c>
    </row>
    <row r="327" spans="1:3" x14ac:dyDescent="0.35">
      <c r="A327" t="s">
        <v>13</v>
      </c>
      <c r="B327">
        <v>2046</v>
      </c>
      <c r="C327">
        <v>150261.627218754</v>
      </c>
    </row>
    <row r="328" spans="1:3" x14ac:dyDescent="0.35">
      <c r="A328" t="s">
        <v>13</v>
      </c>
      <c r="B328">
        <v>2047</v>
      </c>
      <c r="C328">
        <v>151462.41426633406</v>
      </c>
    </row>
    <row r="329" spans="1:3" x14ac:dyDescent="0.35">
      <c r="A329" t="s">
        <v>13</v>
      </c>
      <c r="B329">
        <v>2048</v>
      </c>
      <c r="C329">
        <v>152663.20131391409</v>
      </c>
    </row>
    <row r="330" spans="1:3" x14ac:dyDescent="0.35">
      <c r="A330" t="s">
        <v>13</v>
      </c>
      <c r="B330">
        <v>2049</v>
      </c>
      <c r="C330">
        <v>153863.98836149412</v>
      </c>
    </row>
    <row r="331" spans="1:3" x14ac:dyDescent="0.35">
      <c r="A331" t="s">
        <v>13</v>
      </c>
      <c r="B331">
        <v>2050</v>
      </c>
      <c r="C331">
        <v>155064.77540907415</v>
      </c>
    </row>
    <row r="332" spans="1:3" x14ac:dyDescent="0.35">
      <c r="A332" t="s">
        <v>14</v>
      </c>
      <c r="B332">
        <v>2021</v>
      </c>
      <c r="C332">
        <v>9972</v>
      </c>
    </row>
    <row r="333" spans="1:3" x14ac:dyDescent="0.35">
      <c r="A333" t="s">
        <v>14</v>
      </c>
      <c r="B333">
        <v>2022</v>
      </c>
      <c r="C333">
        <v>10037.109203963173</v>
      </c>
    </row>
    <row r="334" spans="1:3" x14ac:dyDescent="0.35">
      <c r="A334" t="s">
        <v>14</v>
      </c>
      <c r="B334">
        <v>2023</v>
      </c>
      <c r="C334">
        <v>10102.218407926346</v>
      </c>
    </row>
    <row r="335" spans="1:3" x14ac:dyDescent="0.35">
      <c r="A335" t="s">
        <v>14</v>
      </c>
      <c r="B335">
        <v>2024</v>
      </c>
      <c r="C335">
        <v>10167.327611889521</v>
      </c>
    </row>
    <row r="336" spans="1:3" x14ac:dyDescent="0.35">
      <c r="A336" t="s">
        <v>14</v>
      </c>
      <c r="B336">
        <v>2025</v>
      </c>
      <c r="C336">
        <v>10232.436815852696</v>
      </c>
    </row>
    <row r="337" spans="1:3" x14ac:dyDescent="0.35">
      <c r="A337" t="s">
        <v>14</v>
      </c>
      <c r="B337">
        <v>2026</v>
      </c>
      <c r="C337">
        <v>10297.546019815869</v>
      </c>
    </row>
    <row r="338" spans="1:3" x14ac:dyDescent="0.35">
      <c r="A338" t="s">
        <v>14</v>
      </c>
      <c r="B338">
        <v>2027</v>
      </c>
      <c r="C338">
        <v>10362.655223779042</v>
      </c>
    </row>
    <row r="339" spans="1:3" x14ac:dyDescent="0.35">
      <c r="A339" t="s">
        <v>14</v>
      </c>
      <c r="B339">
        <v>2028</v>
      </c>
      <c r="C339">
        <v>10427.764427742217</v>
      </c>
    </row>
    <row r="340" spans="1:3" x14ac:dyDescent="0.35">
      <c r="A340" t="s">
        <v>14</v>
      </c>
      <c r="B340">
        <v>2029</v>
      </c>
      <c r="C340">
        <v>10492.87363170539</v>
      </c>
    </row>
    <row r="341" spans="1:3" x14ac:dyDescent="0.35">
      <c r="A341" t="s">
        <v>14</v>
      </c>
      <c r="B341">
        <v>2030</v>
      </c>
      <c r="C341">
        <v>10557.982835668563</v>
      </c>
    </row>
    <row r="342" spans="1:3" x14ac:dyDescent="0.35">
      <c r="A342" t="s">
        <v>14</v>
      </c>
      <c r="B342">
        <v>2031</v>
      </c>
      <c r="C342">
        <v>10623.092039631732</v>
      </c>
    </row>
    <row r="343" spans="1:3" x14ac:dyDescent="0.35">
      <c r="A343" t="s">
        <v>14</v>
      </c>
      <c r="B343">
        <v>2032</v>
      </c>
      <c r="C343">
        <v>10671.70219208577</v>
      </c>
    </row>
    <row r="344" spans="1:3" x14ac:dyDescent="0.35">
      <c r="A344" t="s">
        <v>14</v>
      </c>
      <c r="B344">
        <v>2033</v>
      </c>
      <c r="C344">
        <v>10720.312344539811</v>
      </c>
    </row>
    <row r="345" spans="1:3" x14ac:dyDescent="0.35">
      <c r="A345" t="s">
        <v>14</v>
      </c>
      <c r="B345">
        <v>2034</v>
      </c>
      <c r="C345">
        <v>10768.922496993851</v>
      </c>
    </row>
    <row r="346" spans="1:3" x14ac:dyDescent="0.35">
      <c r="A346" t="s">
        <v>14</v>
      </c>
      <c r="B346">
        <v>2035</v>
      </c>
      <c r="C346">
        <v>10817.532649447894</v>
      </c>
    </row>
    <row r="347" spans="1:3" x14ac:dyDescent="0.35">
      <c r="A347" t="s">
        <v>14</v>
      </c>
      <c r="B347">
        <v>2036</v>
      </c>
      <c r="C347">
        <v>10866.142801901935</v>
      </c>
    </row>
    <row r="348" spans="1:3" x14ac:dyDescent="0.35">
      <c r="A348" t="s">
        <v>14</v>
      </c>
      <c r="B348">
        <v>2037</v>
      </c>
      <c r="C348">
        <v>10914.752954355976</v>
      </c>
    </row>
    <row r="349" spans="1:3" x14ac:dyDescent="0.35">
      <c r="A349" t="s">
        <v>14</v>
      </c>
      <c r="B349">
        <v>2038</v>
      </c>
      <c r="C349">
        <v>10963.363106810017</v>
      </c>
    </row>
    <row r="350" spans="1:3" x14ac:dyDescent="0.35">
      <c r="A350" t="s">
        <v>14</v>
      </c>
      <c r="B350">
        <v>2039</v>
      </c>
      <c r="C350">
        <v>11011.973259264058</v>
      </c>
    </row>
    <row r="351" spans="1:3" x14ac:dyDescent="0.35">
      <c r="A351" t="s">
        <v>14</v>
      </c>
      <c r="B351">
        <v>2040</v>
      </c>
      <c r="C351">
        <v>11060.5834117181</v>
      </c>
    </row>
    <row r="352" spans="1:3" x14ac:dyDescent="0.35">
      <c r="A352" t="s">
        <v>14</v>
      </c>
      <c r="B352">
        <v>2041</v>
      </c>
      <c r="C352">
        <v>11109.193564172134</v>
      </c>
    </row>
    <row r="353" spans="1:3" x14ac:dyDescent="0.35">
      <c r="A353" t="s">
        <v>14</v>
      </c>
      <c r="B353">
        <v>2042</v>
      </c>
      <c r="C353">
        <v>11160.028066102572</v>
      </c>
    </row>
    <row r="354" spans="1:3" x14ac:dyDescent="0.35">
      <c r="A354" t="s">
        <v>14</v>
      </c>
      <c r="B354">
        <v>2043</v>
      </c>
      <c r="C354">
        <v>11210.862568033006</v>
      </c>
    </row>
    <row r="355" spans="1:3" x14ac:dyDescent="0.35">
      <c r="A355" t="s">
        <v>14</v>
      </c>
      <c r="B355">
        <v>2044</v>
      </c>
      <c r="C355">
        <v>11261.697069963442</v>
      </c>
    </row>
    <row r="356" spans="1:3" x14ac:dyDescent="0.35">
      <c r="A356" t="s">
        <v>14</v>
      </c>
      <c r="B356">
        <v>2045</v>
      </c>
      <c r="C356">
        <v>11312.531571893876</v>
      </c>
    </row>
    <row r="357" spans="1:3" x14ac:dyDescent="0.35">
      <c r="A357" t="s">
        <v>14</v>
      </c>
      <c r="B357">
        <v>2046</v>
      </c>
      <c r="C357">
        <v>11363.366073824314</v>
      </c>
    </row>
    <row r="358" spans="1:3" x14ac:dyDescent="0.35">
      <c r="A358" t="s">
        <v>14</v>
      </c>
      <c r="B358">
        <v>2047</v>
      </c>
      <c r="C358">
        <v>11414.20057575475</v>
      </c>
    </row>
    <row r="359" spans="1:3" x14ac:dyDescent="0.35">
      <c r="A359" t="s">
        <v>14</v>
      </c>
      <c r="B359">
        <v>2048</v>
      </c>
      <c r="C359">
        <v>11465.035077685185</v>
      </c>
    </row>
    <row r="360" spans="1:3" x14ac:dyDescent="0.35">
      <c r="A360" t="s">
        <v>14</v>
      </c>
      <c r="B360">
        <v>2049</v>
      </c>
      <c r="C360">
        <v>11515.869579615621</v>
      </c>
    </row>
    <row r="361" spans="1:3" x14ac:dyDescent="0.35">
      <c r="A361" t="s">
        <v>14</v>
      </c>
      <c r="B361">
        <v>2050</v>
      </c>
      <c r="C361">
        <v>11566.704081546055</v>
      </c>
    </row>
    <row r="362" spans="1:3" x14ac:dyDescent="0.35">
      <c r="A362" t="s">
        <v>15</v>
      </c>
      <c r="B362">
        <v>2021</v>
      </c>
      <c r="C362">
        <v>19308</v>
      </c>
    </row>
    <row r="363" spans="1:3" x14ac:dyDescent="0.35">
      <c r="A363" t="s">
        <v>15</v>
      </c>
      <c r="B363">
        <v>2022</v>
      </c>
      <c r="C363">
        <v>19559.044651995318</v>
      </c>
    </row>
    <row r="364" spans="1:3" x14ac:dyDescent="0.35">
      <c r="A364" t="s">
        <v>15</v>
      </c>
      <c r="B364">
        <v>2023</v>
      </c>
      <c r="C364">
        <v>19810.08930399064</v>
      </c>
    </row>
    <row r="365" spans="1:3" x14ac:dyDescent="0.35">
      <c r="A365" t="s">
        <v>15</v>
      </c>
      <c r="B365">
        <v>2024</v>
      </c>
      <c r="C365">
        <v>20061.133955985959</v>
      </c>
    </row>
    <row r="366" spans="1:3" x14ac:dyDescent="0.35">
      <c r="A366" t="s">
        <v>15</v>
      </c>
      <c r="B366">
        <v>2025</v>
      </c>
      <c r="C366">
        <v>20312.178607981285</v>
      </c>
    </row>
    <row r="367" spans="1:3" x14ac:dyDescent="0.35">
      <c r="A367" t="s">
        <v>15</v>
      </c>
      <c r="B367">
        <v>2026</v>
      </c>
      <c r="C367">
        <v>20563.223259976603</v>
      </c>
    </row>
    <row r="368" spans="1:3" x14ac:dyDescent="0.35">
      <c r="A368" t="s">
        <v>15</v>
      </c>
      <c r="B368">
        <v>2027</v>
      </c>
      <c r="C368">
        <v>20814.267911971925</v>
      </c>
    </row>
    <row r="369" spans="1:3" x14ac:dyDescent="0.35">
      <c r="A369" t="s">
        <v>15</v>
      </c>
      <c r="B369">
        <v>2028</v>
      </c>
      <c r="C369">
        <v>21065.312563967243</v>
      </c>
    </row>
    <row r="370" spans="1:3" x14ac:dyDescent="0.35">
      <c r="A370" t="s">
        <v>15</v>
      </c>
      <c r="B370">
        <v>2029</v>
      </c>
      <c r="C370">
        <v>21316.357215962562</v>
      </c>
    </row>
    <row r="371" spans="1:3" x14ac:dyDescent="0.35">
      <c r="A371" t="s">
        <v>15</v>
      </c>
      <c r="B371">
        <v>2030</v>
      </c>
      <c r="C371">
        <v>21567.401867957884</v>
      </c>
    </row>
    <row r="372" spans="1:3" x14ac:dyDescent="0.35">
      <c r="A372" t="s">
        <v>15</v>
      </c>
      <c r="B372">
        <v>2031</v>
      </c>
      <c r="C372">
        <v>21818.446519953202</v>
      </c>
    </row>
    <row r="373" spans="1:3" x14ac:dyDescent="0.35">
      <c r="A373" t="s">
        <v>15</v>
      </c>
      <c r="B373">
        <v>2032</v>
      </c>
      <c r="C373">
        <v>22056.924578598177</v>
      </c>
    </row>
    <row r="374" spans="1:3" x14ac:dyDescent="0.35">
      <c r="A374" t="s">
        <v>15</v>
      </c>
      <c r="B374">
        <v>2033</v>
      </c>
      <c r="C374">
        <v>22295.402637243151</v>
      </c>
    </row>
    <row r="375" spans="1:3" x14ac:dyDescent="0.35">
      <c r="A375" t="s">
        <v>15</v>
      </c>
      <c r="B375">
        <v>2034</v>
      </c>
      <c r="C375">
        <v>22533.880695888125</v>
      </c>
    </row>
    <row r="376" spans="1:3" x14ac:dyDescent="0.35">
      <c r="A376" t="s">
        <v>15</v>
      </c>
      <c r="B376">
        <v>2035</v>
      </c>
      <c r="C376">
        <v>22772.358754533099</v>
      </c>
    </row>
    <row r="377" spans="1:3" x14ac:dyDescent="0.35">
      <c r="A377" t="s">
        <v>15</v>
      </c>
      <c r="B377">
        <v>2036</v>
      </c>
      <c r="C377">
        <v>23010.836813178066</v>
      </c>
    </row>
    <row r="378" spans="1:3" x14ac:dyDescent="0.35">
      <c r="A378" t="s">
        <v>15</v>
      </c>
      <c r="B378">
        <v>2037</v>
      </c>
      <c r="C378">
        <v>23249.314871823044</v>
      </c>
    </row>
    <row r="379" spans="1:3" x14ac:dyDescent="0.35">
      <c r="A379" t="s">
        <v>15</v>
      </c>
      <c r="B379">
        <v>2038</v>
      </c>
      <c r="C379">
        <v>23487.792930468018</v>
      </c>
    </row>
    <row r="380" spans="1:3" x14ac:dyDescent="0.35">
      <c r="A380" t="s">
        <v>15</v>
      </c>
      <c r="B380">
        <v>2039</v>
      </c>
      <c r="C380">
        <v>23726.270989112989</v>
      </c>
    </row>
    <row r="381" spans="1:3" x14ac:dyDescent="0.35">
      <c r="A381" t="s">
        <v>15</v>
      </c>
      <c r="B381">
        <v>2040</v>
      </c>
      <c r="C381">
        <v>23964.749047757963</v>
      </c>
    </row>
    <row r="382" spans="1:3" x14ac:dyDescent="0.35">
      <c r="A382" t="s">
        <v>15</v>
      </c>
      <c r="B382">
        <v>2041</v>
      </c>
      <c r="C382">
        <v>24203.227106402941</v>
      </c>
    </row>
    <row r="383" spans="1:3" x14ac:dyDescent="0.35">
      <c r="A383" t="s">
        <v>15</v>
      </c>
      <c r="B383">
        <v>2042</v>
      </c>
      <c r="C383">
        <v>24467.771083353811</v>
      </c>
    </row>
    <row r="384" spans="1:3" x14ac:dyDescent="0.35">
      <c r="A384" t="s">
        <v>15</v>
      </c>
      <c r="B384">
        <v>2043</v>
      </c>
      <c r="C384">
        <v>24732.315060304689</v>
      </c>
    </row>
    <row r="385" spans="1:3" x14ac:dyDescent="0.35">
      <c r="A385" t="s">
        <v>15</v>
      </c>
      <c r="B385">
        <v>2044</v>
      </c>
      <c r="C385">
        <v>24996.859037255559</v>
      </c>
    </row>
    <row r="386" spans="1:3" x14ac:dyDescent="0.35">
      <c r="A386" t="s">
        <v>15</v>
      </c>
      <c r="B386">
        <v>2045</v>
      </c>
      <c r="C386">
        <v>25261.403014206437</v>
      </c>
    </row>
    <row r="387" spans="1:3" x14ac:dyDescent="0.35">
      <c r="A387" t="s">
        <v>15</v>
      </c>
      <c r="B387">
        <v>2046</v>
      </c>
      <c r="C387">
        <v>25525.946991157314</v>
      </c>
    </row>
    <row r="388" spans="1:3" x14ac:dyDescent="0.35">
      <c r="A388" t="s">
        <v>15</v>
      </c>
      <c r="B388">
        <v>2047</v>
      </c>
      <c r="C388">
        <v>25790.490968108188</v>
      </c>
    </row>
    <row r="389" spans="1:3" x14ac:dyDescent="0.35">
      <c r="A389" t="s">
        <v>15</v>
      </c>
      <c r="B389">
        <v>2048</v>
      </c>
      <c r="C389">
        <v>26055.034945059062</v>
      </c>
    </row>
    <row r="390" spans="1:3" x14ac:dyDescent="0.35">
      <c r="A390" t="s">
        <v>15</v>
      </c>
      <c r="B390">
        <v>2049</v>
      </c>
      <c r="C390">
        <v>26319.578922009936</v>
      </c>
    </row>
    <row r="391" spans="1:3" x14ac:dyDescent="0.35">
      <c r="A391" t="s">
        <v>15</v>
      </c>
      <c r="B391">
        <v>2050</v>
      </c>
      <c r="C391">
        <v>26584.12289896081</v>
      </c>
    </row>
    <row r="392" spans="1:3" x14ac:dyDescent="0.35">
      <c r="A392" t="s">
        <v>16</v>
      </c>
      <c r="B392">
        <v>2021</v>
      </c>
      <c r="C392">
        <v>97530</v>
      </c>
    </row>
    <row r="393" spans="1:3" x14ac:dyDescent="0.35">
      <c r="A393" t="s">
        <v>16</v>
      </c>
      <c r="B393">
        <v>2022</v>
      </c>
      <c r="C393">
        <v>97468.020466185946</v>
      </c>
    </row>
    <row r="394" spans="1:3" x14ac:dyDescent="0.35">
      <c r="A394" t="s">
        <v>16</v>
      </c>
      <c r="B394">
        <v>2023</v>
      </c>
      <c r="C394">
        <v>97406.040932371878</v>
      </c>
    </row>
    <row r="395" spans="1:3" x14ac:dyDescent="0.35">
      <c r="A395" t="s">
        <v>16</v>
      </c>
      <c r="B395">
        <v>2024</v>
      </c>
      <c r="C395">
        <v>97344.061398557824</v>
      </c>
    </row>
    <row r="396" spans="1:3" x14ac:dyDescent="0.35">
      <c r="A396" t="s">
        <v>16</v>
      </c>
      <c r="B396">
        <v>2025</v>
      </c>
      <c r="C396">
        <v>97282.081864743755</v>
      </c>
    </row>
    <row r="397" spans="1:3" x14ac:dyDescent="0.35">
      <c r="A397" t="s">
        <v>16</v>
      </c>
      <c r="B397">
        <v>2026</v>
      </c>
      <c r="C397">
        <v>97220.102330929702</v>
      </c>
    </row>
    <row r="398" spans="1:3" x14ac:dyDescent="0.35">
      <c r="A398" t="s">
        <v>16</v>
      </c>
      <c r="B398">
        <v>2027</v>
      </c>
      <c r="C398">
        <v>97158.122797115633</v>
      </c>
    </row>
    <row r="399" spans="1:3" x14ac:dyDescent="0.35">
      <c r="A399" t="s">
        <v>16</v>
      </c>
      <c r="B399">
        <v>2028</v>
      </c>
      <c r="C399">
        <v>97096.143263301579</v>
      </c>
    </row>
    <row r="400" spans="1:3" x14ac:dyDescent="0.35">
      <c r="A400" t="s">
        <v>16</v>
      </c>
      <c r="B400">
        <v>2029</v>
      </c>
      <c r="C400">
        <v>97034.163729487525</v>
      </c>
    </row>
    <row r="401" spans="1:3" x14ac:dyDescent="0.35">
      <c r="A401" t="s">
        <v>16</v>
      </c>
      <c r="B401">
        <v>2030</v>
      </c>
      <c r="C401">
        <v>96972.184195673457</v>
      </c>
    </row>
    <row r="402" spans="1:3" x14ac:dyDescent="0.35">
      <c r="A402" t="s">
        <v>16</v>
      </c>
      <c r="B402">
        <v>2031</v>
      </c>
      <c r="C402">
        <v>96910.204661859418</v>
      </c>
    </row>
    <row r="403" spans="1:3" x14ac:dyDescent="0.35">
      <c r="A403" t="s">
        <v>16</v>
      </c>
      <c r="B403">
        <v>2032</v>
      </c>
      <c r="C403">
        <v>96672.054786160123</v>
      </c>
    </row>
    <row r="404" spans="1:3" x14ac:dyDescent="0.35">
      <c r="A404" t="s">
        <v>16</v>
      </c>
      <c r="B404">
        <v>2033</v>
      </c>
      <c r="C404">
        <v>96433.904910460842</v>
      </c>
    </row>
    <row r="405" spans="1:3" x14ac:dyDescent="0.35">
      <c r="A405" t="s">
        <v>16</v>
      </c>
      <c r="B405">
        <v>2034</v>
      </c>
      <c r="C405">
        <v>96195.755034761547</v>
      </c>
    </row>
    <row r="406" spans="1:3" x14ac:dyDescent="0.35">
      <c r="A406" t="s">
        <v>16</v>
      </c>
      <c r="B406">
        <v>2035</v>
      </c>
      <c r="C406">
        <v>95957.605159062252</v>
      </c>
    </row>
    <row r="407" spans="1:3" x14ac:dyDescent="0.35">
      <c r="A407" t="s">
        <v>16</v>
      </c>
      <c r="B407">
        <v>2036</v>
      </c>
      <c r="C407">
        <v>95719.455283362957</v>
      </c>
    </row>
    <row r="408" spans="1:3" x14ac:dyDescent="0.35">
      <c r="A408" t="s">
        <v>16</v>
      </c>
      <c r="B408">
        <v>2037</v>
      </c>
      <c r="C408">
        <v>95481.305407663662</v>
      </c>
    </row>
    <row r="409" spans="1:3" x14ac:dyDescent="0.35">
      <c r="A409" t="s">
        <v>16</v>
      </c>
      <c r="B409">
        <v>2038</v>
      </c>
      <c r="C409">
        <v>95243.155531964367</v>
      </c>
    </row>
    <row r="410" spans="1:3" x14ac:dyDescent="0.35">
      <c r="A410" t="s">
        <v>16</v>
      </c>
      <c r="B410">
        <v>2039</v>
      </c>
      <c r="C410">
        <v>95005.005656265072</v>
      </c>
    </row>
    <row r="411" spans="1:3" x14ac:dyDescent="0.35">
      <c r="A411" t="s">
        <v>16</v>
      </c>
      <c r="B411">
        <v>2040</v>
      </c>
      <c r="C411">
        <v>94766.855780565777</v>
      </c>
    </row>
    <row r="412" spans="1:3" x14ac:dyDescent="0.35">
      <c r="A412" t="s">
        <v>16</v>
      </c>
      <c r="B412">
        <v>2041</v>
      </c>
      <c r="C412">
        <v>94528.705904866554</v>
      </c>
    </row>
    <row r="413" spans="1:3" x14ac:dyDescent="0.35">
      <c r="A413" t="s">
        <v>16</v>
      </c>
      <c r="B413">
        <v>2042</v>
      </c>
      <c r="C413">
        <v>94296.408391515826</v>
      </c>
    </row>
    <row r="414" spans="1:3" x14ac:dyDescent="0.35">
      <c r="A414" t="s">
        <v>16</v>
      </c>
      <c r="B414">
        <v>2043</v>
      </c>
      <c r="C414">
        <v>94064.110878165113</v>
      </c>
    </row>
    <row r="415" spans="1:3" x14ac:dyDescent="0.35">
      <c r="A415" t="s">
        <v>16</v>
      </c>
      <c r="B415">
        <v>2044</v>
      </c>
      <c r="C415">
        <v>93831.813364814399</v>
      </c>
    </row>
    <row r="416" spans="1:3" x14ac:dyDescent="0.35">
      <c r="A416" t="s">
        <v>16</v>
      </c>
      <c r="B416">
        <v>2045</v>
      </c>
      <c r="C416">
        <v>93599.515851463671</v>
      </c>
    </row>
    <row r="417" spans="1:3" x14ac:dyDescent="0.35">
      <c r="A417" t="s">
        <v>16</v>
      </c>
      <c r="B417">
        <v>2046</v>
      </c>
      <c r="C417">
        <v>93367.218338112958</v>
      </c>
    </row>
    <row r="418" spans="1:3" x14ac:dyDescent="0.35">
      <c r="A418" t="s">
        <v>16</v>
      </c>
      <c r="B418">
        <v>2047</v>
      </c>
      <c r="C418">
        <v>93134.920824762245</v>
      </c>
    </row>
    <row r="419" spans="1:3" x14ac:dyDescent="0.35">
      <c r="A419" t="s">
        <v>16</v>
      </c>
      <c r="B419">
        <v>2048</v>
      </c>
      <c r="C419">
        <v>92902.623311411531</v>
      </c>
    </row>
    <row r="420" spans="1:3" x14ac:dyDescent="0.35">
      <c r="A420" t="s">
        <v>16</v>
      </c>
      <c r="B420">
        <v>2049</v>
      </c>
      <c r="C420">
        <v>92670.325798060818</v>
      </c>
    </row>
    <row r="421" spans="1:3" x14ac:dyDescent="0.35">
      <c r="A421" t="s">
        <v>16</v>
      </c>
      <c r="B421">
        <v>2050</v>
      </c>
      <c r="C421">
        <v>92438.02828471009</v>
      </c>
    </row>
    <row r="422" spans="1:3" x14ac:dyDescent="0.35">
      <c r="A422" t="s">
        <v>17</v>
      </c>
      <c r="B422">
        <v>2021</v>
      </c>
      <c r="C422">
        <v>78640</v>
      </c>
    </row>
    <row r="423" spans="1:3" x14ac:dyDescent="0.35">
      <c r="A423" t="s">
        <v>17</v>
      </c>
      <c r="B423">
        <v>2022</v>
      </c>
      <c r="C423">
        <v>78920.909089229928</v>
      </c>
    </row>
    <row r="424" spans="1:3" x14ac:dyDescent="0.35">
      <c r="A424" t="s">
        <v>17</v>
      </c>
      <c r="B424">
        <v>2023</v>
      </c>
      <c r="C424">
        <v>79201.818178459827</v>
      </c>
    </row>
    <row r="425" spans="1:3" x14ac:dyDescent="0.35">
      <c r="A425" t="s">
        <v>17</v>
      </c>
      <c r="B425">
        <v>2024</v>
      </c>
      <c r="C425">
        <v>79482.727267689756</v>
      </c>
    </row>
    <row r="426" spans="1:3" x14ac:dyDescent="0.35">
      <c r="A426" t="s">
        <v>17</v>
      </c>
      <c r="B426">
        <v>2025</v>
      </c>
      <c r="C426">
        <v>79763.636356919684</v>
      </c>
    </row>
    <row r="427" spans="1:3" x14ac:dyDescent="0.35">
      <c r="A427" t="s">
        <v>17</v>
      </c>
      <c r="B427">
        <v>2026</v>
      </c>
      <c r="C427">
        <v>80044.545446149583</v>
      </c>
    </row>
    <row r="428" spans="1:3" x14ac:dyDescent="0.35">
      <c r="A428" t="s">
        <v>17</v>
      </c>
      <c r="B428">
        <v>2027</v>
      </c>
      <c r="C428">
        <v>80325.454535379511</v>
      </c>
    </row>
    <row r="429" spans="1:3" x14ac:dyDescent="0.35">
      <c r="A429" t="s">
        <v>17</v>
      </c>
      <c r="B429">
        <v>2028</v>
      </c>
      <c r="C429">
        <v>80606.363624609425</v>
      </c>
    </row>
    <row r="430" spans="1:3" x14ac:dyDescent="0.35">
      <c r="A430" t="s">
        <v>17</v>
      </c>
      <c r="B430">
        <v>2029</v>
      </c>
      <c r="C430">
        <v>80887.272713839353</v>
      </c>
    </row>
    <row r="431" spans="1:3" x14ac:dyDescent="0.35">
      <c r="A431" t="s">
        <v>17</v>
      </c>
      <c r="B431">
        <v>2030</v>
      </c>
      <c r="C431">
        <v>81168.181803069267</v>
      </c>
    </row>
    <row r="432" spans="1:3" x14ac:dyDescent="0.35">
      <c r="A432" t="s">
        <v>17</v>
      </c>
      <c r="B432">
        <v>2031</v>
      </c>
      <c r="C432">
        <v>81449.09089229918</v>
      </c>
    </row>
    <row r="433" spans="1:3" x14ac:dyDescent="0.35">
      <c r="A433" t="s">
        <v>17</v>
      </c>
      <c r="B433">
        <v>2032</v>
      </c>
      <c r="C433">
        <v>81585.355476556011</v>
      </c>
    </row>
    <row r="434" spans="1:3" x14ac:dyDescent="0.35">
      <c r="A434" t="s">
        <v>17</v>
      </c>
      <c r="B434">
        <v>2033</v>
      </c>
      <c r="C434">
        <v>81721.620060812871</v>
      </c>
    </row>
    <row r="435" spans="1:3" x14ac:dyDescent="0.35">
      <c r="A435" t="s">
        <v>17</v>
      </c>
      <c r="B435">
        <v>2034</v>
      </c>
      <c r="C435">
        <v>81857.884645069702</v>
      </c>
    </row>
    <row r="436" spans="1:3" x14ac:dyDescent="0.35">
      <c r="A436" t="s">
        <v>17</v>
      </c>
      <c r="B436">
        <v>2035</v>
      </c>
      <c r="C436">
        <v>81994.149229326547</v>
      </c>
    </row>
    <row r="437" spans="1:3" x14ac:dyDescent="0.35">
      <c r="A437" t="s">
        <v>17</v>
      </c>
      <c r="B437">
        <v>2036</v>
      </c>
      <c r="C437">
        <v>82130.413813583378</v>
      </c>
    </row>
    <row r="438" spans="1:3" x14ac:dyDescent="0.35">
      <c r="A438" t="s">
        <v>17</v>
      </c>
      <c r="B438">
        <v>2037</v>
      </c>
      <c r="C438">
        <v>82266.678397840224</v>
      </c>
    </row>
    <row r="439" spans="1:3" x14ac:dyDescent="0.35">
      <c r="A439" t="s">
        <v>17</v>
      </c>
      <c r="B439">
        <v>2038</v>
      </c>
      <c r="C439">
        <v>82402.942982097054</v>
      </c>
    </row>
    <row r="440" spans="1:3" x14ac:dyDescent="0.35">
      <c r="A440" t="s">
        <v>17</v>
      </c>
      <c r="B440">
        <v>2039</v>
      </c>
      <c r="C440">
        <v>82539.2075663539</v>
      </c>
    </row>
    <row r="441" spans="1:3" x14ac:dyDescent="0.35">
      <c r="A441" t="s">
        <v>17</v>
      </c>
      <c r="B441">
        <v>2040</v>
      </c>
      <c r="C441">
        <v>82675.472150610731</v>
      </c>
    </row>
    <row r="442" spans="1:3" x14ac:dyDescent="0.35">
      <c r="A442" t="s">
        <v>17</v>
      </c>
      <c r="B442">
        <v>2041</v>
      </c>
      <c r="C442">
        <v>82811.73673486762</v>
      </c>
    </row>
    <row r="443" spans="1:3" x14ac:dyDescent="0.35">
      <c r="A443" t="s">
        <v>17</v>
      </c>
      <c r="B443">
        <v>2042</v>
      </c>
      <c r="C443">
        <v>82950.281029888487</v>
      </c>
    </row>
    <row r="444" spans="1:3" x14ac:dyDescent="0.35">
      <c r="A444" t="s">
        <v>17</v>
      </c>
      <c r="B444">
        <v>2043</v>
      </c>
      <c r="C444">
        <v>83088.82532490934</v>
      </c>
    </row>
    <row r="445" spans="1:3" x14ac:dyDescent="0.35">
      <c r="A445" t="s">
        <v>17</v>
      </c>
      <c r="B445">
        <v>2044</v>
      </c>
      <c r="C445">
        <v>83227.369619930221</v>
      </c>
    </row>
    <row r="446" spans="1:3" x14ac:dyDescent="0.35">
      <c r="A446" t="s">
        <v>17</v>
      </c>
      <c r="B446">
        <v>2045</v>
      </c>
      <c r="C446">
        <v>83365.913914951088</v>
      </c>
    </row>
    <row r="447" spans="1:3" x14ac:dyDescent="0.35">
      <c r="A447" t="s">
        <v>17</v>
      </c>
      <c r="B447">
        <v>2046</v>
      </c>
      <c r="C447">
        <v>83504.458209971956</v>
      </c>
    </row>
    <row r="448" spans="1:3" x14ac:dyDescent="0.35">
      <c r="A448" t="s">
        <v>17</v>
      </c>
      <c r="B448">
        <v>2047</v>
      </c>
      <c r="C448">
        <v>83643.002504992808</v>
      </c>
    </row>
    <row r="449" spans="1:3" x14ac:dyDescent="0.35">
      <c r="A449" t="s">
        <v>17</v>
      </c>
      <c r="B449">
        <v>2048</v>
      </c>
      <c r="C449">
        <v>83781.54680001369</v>
      </c>
    </row>
    <row r="450" spans="1:3" x14ac:dyDescent="0.35">
      <c r="A450" t="s">
        <v>17</v>
      </c>
      <c r="B450">
        <v>2049</v>
      </c>
      <c r="C450">
        <v>83920.091095034557</v>
      </c>
    </row>
    <row r="451" spans="1:3" x14ac:dyDescent="0.35">
      <c r="A451" t="s">
        <v>17</v>
      </c>
      <c r="B451">
        <v>2050</v>
      </c>
      <c r="C451">
        <v>84058.635390055424</v>
      </c>
    </row>
    <row r="452" spans="1:3" x14ac:dyDescent="0.35">
      <c r="A452" t="s">
        <v>18</v>
      </c>
      <c r="B452">
        <v>2021</v>
      </c>
      <c r="C452">
        <v>33039</v>
      </c>
    </row>
    <row r="453" spans="1:3" x14ac:dyDescent="0.35">
      <c r="A453" t="s">
        <v>18</v>
      </c>
      <c r="B453">
        <v>2022</v>
      </c>
      <c r="C453">
        <v>33177.177161585212</v>
      </c>
    </row>
    <row r="454" spans="1:3" x14ac:dyDescent="0.35">
      <c r="A454" t="s">
        <v>18</v>
      </c>
      <c r="B454">
        <v>2023</v>
      </c>
      <c r="C454">
        <v>33315.354323170424</v>
      </c>
    </row>
    <row r="455" spans="1:3" x14ac:dyDescent="0.35">
      <c r="A455" t="s">
        <v>18</v>
      </c>
      <c r="B455">
        <v>2024</v>
      </c>
      <c r="C455">
        <v>33453.531484755636</v>
      </c>
    </row>
    <row r="456" spans="1:3" x14ac:dyDescent="0.35">
      <c r="A456" t="s">
        <v>18</v>
      </c>
      <c r="B456">
        <v>2025</v>
      </c>
      <c r="C456">
        <v>33591.708646340849</v>
      </c>
    </row>
    <row r="457" spans="1:3" x14ac:dyDescent="0.35">
      <c r="A457" t="s">
        <v>18</v>
      </c>
      <c r="B457">
        <v>2026</v>
      </c>
      <c r="C457">
        <v>33729.885807926061</v>
      </c>
    </row>
    <row r="458" spans="1:3" x14ac:dyDescent="0.35">
      <c r="A458" t="s">
        <v>18</v>
      </c>
      <c r="B458">
        <v>2027</v>
      </c>
      <c r="C458">
        <v>33868.062969511273</v>
      </c>
    </row>
    <row r="459" spans="1:3" x14ac:dyDescent="0.35">
      <c r="A459" t="s">
        <v>18</v>
      </c>
      <c r="B459">
        <v>2028</v>
      </c>
      <c r="C459">
        <v>34006.240131096485</v>
      </c>
    </row>
    <row r="460" spans="1:3" x14ac:dyDescent="0.35">
      <c r="A460" t="s">
        <v>18</v>
      </c>
      <c r="B460">
        <v>2029</v>
      </c>
      <c r="C460">
        <v>34144.417292681697</v>
      </c>
    </row>
    <row r="461" spans="1:3" x14ac:dyDescent="0.35">
      <c r="A461" t="s">
        <v>18</v>
      </c>
      <c r="B461">
        <v>2030</v>
      </c>
      <c r="C461">
        <v>34282.594454266909</v>
      </c>
    </row>
    <row r="462" spans="1:3" x14ac:dyDescent="0.35">
      <c r="A462" t="s">
        <v>18</v>
      </c>
      <c r="B462">
        <v>2031</v>
      </c>
      <c r="C462">
        <v>34420.7716158521</v>
      </c>
    </row>
    <row r="463" spans="1:3" x14ac:dyDescent="0.35">
      <c r="A463" t="s">
        <v>18</v>
      </c>
      <c r="B463">
        <v>2032</v>
      </c>
      <c r="C463">
        <v>34498.974587838733</v>
      </c>
    </row>
    <row r="464" spans="1:3" x14ac:dyDescent="0.35">
      <c r="A464" t="s">
        <v>18</v>
      </c>
      <c r="B464">
        <v>2033</v>
      </c>
      <c r="C464">
        <v>34577.177559825373</v>
      </c>
    </row>
    <row r="465" spans="1:3" x14ac:dyDescent="0.35">
      <c r="A465" t="s">
        <v>18</v>
      </c>
      <c r="B465">
        <v>2034</v>
      </c>
      <c r="C465">
        <v>34655.380531811999</v>
      </c>
    </row>
    <row r="466" spans="1:3" x14ac:dyDescent="0.35">
      <c r="A466" t="s">
        <v>18</v>
      </c>
      <c r="B466">
        <v>2035</v>
      </c>
      <c r="C466">
        <v>34733.583503798633</v>
      </c>
    </row>
    <row r="467" spans="1:3" x14ac:dyDescent="0.35">
      <c r="A467" t="s">
        <v>18</v>
      </c>
      <c r="B467">
        <v>2036</v>
      </c>
      <c r="C467">
        <v>34811.786475785273</v>
      </c>
    </row>
    <row r="468" spans="1:3" x14ac:dyDescent="0.35">
      <c r="A468" t="s">
        <v>18</v>
      </c>
      <c r="B468">
        <v>2037</v>
      </c>
      <c r="C468">
        <v>34889.989447771899</v>
      </c>
    </row>
    <row r="469" spans="1:3" x14ac:dyDescent="0.35">
      <c r="A469" t="s">
        <v>18</v>
      </c>
      <c r="B469">
        <v>2038</v>
      </c>
      <c r="C469">
        <v>34968.192419758539</v>
      </c>
    </row>
    <row r="470" spans="1:3" x14ac:dyDescent="0.35">
      <c r="A470" t="s">
        <v>18</v>
      </c>
      <c r="B470">
        <v>2039</v>
      </c>
      <c r="C470">
        <v>35046.395391745173</v>
      </c>
    </row>
    <row r="471" spans="1:3" x14ac:dyDescent="0.35">
      <c r="A471" t="s">
        <v>18</v>
      </c>
      <c r="B471">
        <v>2040</v>
      </c>
      <c r="C471">
        <v>35124.598363731799</v>
      </c>
    </row>
    <row r="472" spans="1:3" x14ac:dyDescent="0.35">
      <c r="A472" t="s">
        <v>18</v>
      </c>
      <c r="B472">
        <v>2041</v>
      </c>
      <c r="C472">
        <v>35202.801335718425</v>
      </c>
    </row>
    <row r="473" spans="1:3" x14ac:dyDescent="0.35">
      <c r="A473" t="s">
        <v>18</v>
      </c>
      <c r="B473">
        <v>2042</v>
      </c>
      <c r="C473">
        <v>35282.781056028944</v>
      </c>
    </row>
    <row r="474" spans="1:3" x14ac:dyDescent="0.35">
      <c r="A474" t="s">
        <v>18</v>
      </c>
      <c r="B474">
        <v>2043</v>
      </c>
      <c r="C474">
        <v>35362.76077633947</v>
      </c>
    </row>
    <row r="475" spans="1:3" x14ac:dyDescent="0.35">
      <c r="A475" t="s">
        <v>18</v>
      </c>
      <c r="B475">
        <v>2044</v>
      </c>
      <c r="C475">
        <v>35442.740496649989</v>
      </c>
    </row>
    <row r="476" spans="1:3" x14ac:dyDescent="0.35">
      <c r="A476" t="s">
        <v>18</v>
      </c>
      <c r="B476">
        <v>2045</v>
      </c>
      <c r="C476">
        <v>35522.720216960508</v>
      </c>
    </row>
    <row r="477" spans="1:3" x14ac:dyDescent="0.35">
      <c r="A477" t="s">
        <v>18</v>
      </c>
      <c r="B477">
        <v>2046</v>
      </c>
      <c r="C477">
        <v>35602.699937271034</v>
      </c>
    </row>
    <row r="478" spans="1:3" x14ac:dyDescent="0.35">
      <c r="A478" t="s">
        <v>18</v>
      </c>
      <c r="B478">
        <v>2047</v>
      </c>
      <c r="C478">
        <v>35682.679657581553</v>
      </c>
    </row>
    <row r="479" spans="1:3" x14ac:dyDescent="0.35">
      <c r="A479" t="s">
        <v>18</v>
      </c>
      <c r="B479">
        <v>2048</v>
      </c>
      <c r="C479">
        <v>35762.659377892072</v>
      </c>
    </row>
    <row r="480" spans="1:3" x14ac:dyDescent="0.35">
      <c r="A480" t="s">
        <v>18</v>
      </c>
      <c r="B480">
        <v>2049</v>
      </c>
      <c r="C480">
        <v>35842.639098202599</v>
      </c>
    </row>
    <row r="481" spans="1:3" x14ac:dyDescent="0.35">
      <c r="A481" t="s">
        <v>18</v>
      </c>
      <c r="B481">
        <v>2050</v>
      </c>
      <c r="C481">
        <v>35922.618818513118</v>
      </c>
    </row>
    <row r="482" spans="1:3" x14ac:dyDescent="0.35">
      <c r="A482" t="s">
        <v>19</v>
      </c>
      <c r="B482">
        <v>2021</v>
      </c>
      <c r="C482">
        <v>31693</v>
      </c>
    </row>
    <row r="483" spans="1:3" x14ac:dyDescent="0.35">
      <c r="A483" t="s">
        <v>19</v>
      </c>
      <c r="B483">
        <v>2022</v>
      </c>
      <c r="C483">
        <v>31774.569321528961</v>
      </c>
    </row>
    <row r="484" spans="1:3" x14ac:dyDescent="0.35">
      <c r="A484" t="s">
        <v>19</v>
      </c>
      <c r="B484">
        <v>2023</v>
      </c>
      <c r="C484">
        <v>31856.138643057926</v>
      </c>
    </row>
    <row r="485" spans="1:3" x14ac:dyDescent="0.35">
      <c r="A485" t="s">
        <v>19</v>
      </c>
      <c r="B485">
        <v>2024</v>
      </c>
      <c r="C485">
        <v>31937.707964586887</v>
      </c>
    </row>
    <row r="486" spans="1:3" x14ac:dyDescent="0.35">
      <c r="A486" t="s">
        <v>19</v>
      </c>
      <c r="B486">
        <v>2025</v>
      </c>
      <c r="C486">
        <v>32019.277286115848</v>
      </c>
    </row>
    <row r="487" spans="1:3" x14ac:dyDescent="0.35">
      <c r="A487" t="s">
        <v>19</v>
      </c>
      <c r="B487">
        <v>2026</v>
      </c>
      <c r="C487">
        <v>32100.846607644813</v>
      </c>
    </row>
    <row r="488" spans="1:3" x14ac:dyDescent="0.35">
      <c r="A488" t="s">
        <v>19</v>
      </c>
      <c r="B488">
        <v>2027</v>
      </c>
      <c r="C488">
        <v>32182.415929173774</v>
      </c>
    </row>
    <row r="489" spans="1:3" x14ac:dyDescent="0.35">
      <c r="A489" t="s">
        <v>19</v>
      </c>
      <c r="B489">
        <v>2028</v>
      </c>
      <c r="C489">
        <v>32263.985250702735</v>
      </c>
    </row>
    <row r="490" spans="1:3" x14ac:dyDescent="0.35">
      <c r="A490" t="s">
        <v>19</v>
      </c>
      <c r="B490">
        <v>2029</v>
      </c>
      <c r="C490">
        <v>32345.5545722317</v>
      </c>
    </row>
    <row r="491" spans="1:3" x14ac:dyDescent="0.35">
      <c r="A491" t="s">
        <v>19</v>
      </c>
      <c r="B491">
        <v>2030</v>
      </c>
      <c r="C491">
        <v>32427.123893760661</v>
      </c>
    </row>
    <row r="492" spans="1:3" x14ac:dyDescent="0.35">
      <c r="A492" t="s">
        <v>19</v>
      </c>
      <c r="B492">
        <v>2031</v>
      </c>
      <c r="C492">
        <v>32508.693215289608</v>
      </c>
    </row>
    <row r="493" spans="1:3" x14ac:dyDescent="0.35">
      <c r="A493" t="s">
        <v>19</v>
      </c>
      <c r="B493">
        <v>2032</v>
      </c>
      <c r="C493">
        <v>32531.220205111229</v>
      </c>
    </row>
    <row r="494" spans="1:3" x14ac:dyDescent="0.35">
      <c r="A494" t="s">
        <v>19</v>
      </c>
      <c r="B494">
        <v>2033</v>
      </c>
      <c r="C494">
        <v>32553.747194932854</v>
      </c>
    </row>
    <row r="495" spans="1:3" x14ac:dyDescent="0.35">
      <c r="A495" t="s">
        <v>19</v>
      </c>
      <c r="B495">
        <v>2034</v>
      </c>
      <c r="C495">
        <v>32576.274184754471</v>
      </c>
    </row>
    <row r="496" spans="1:3" x14ac:dyDescent="0.35">
      <c r="A496" t="s">
        <v>19</v>
      </c>
      <c r="B496">
        <v>2035</v>
      </c>
      <c r="C496">
        <v>32598.801174576096</v>
      </c>
    </row>
    <row r="497" spans="1:3" x14ac:dyDescent="0.35">
      <c r="A497" t="s">
        <v>19</v>
      </c>
      <c r="B497">
        <v>2036</v>
      </c>
      <c r="C497">
        <v>32621.328164397721</v>
      </c>
    </row>
    <row r="498" spans="1:3" x14ac:dyDescent="0.35">
      <c r="A498" t="s">
        <v>19</v>
      </c>
      <c r="B498">
        <v>2037</v>
      </c>
      <c r="C498">
        <v>32643.855154219338</v>
      </c>
    </row>
    <row r="499" spans="1:3" x14ac:dyDescent="0.35">
      <c r="A499" t="s">
        <v>19</v>
      </c>
      <c r="B499">
        <v>2038</v>
      </c>
      <c r="C499">
        <v>32666.382144040963</v>
      </c>
    </row>
    <row r="500" spans="1:3" x14ac:dyDescent="0.35">
      <c r="A500" t="s">
        <v>19</v>
      </c>
      <c r="B500">
        <v>2039</v>
      </c>
      <c r="C500">
        <v>32688.909133862588</v>
      </c>
    </row>
    <row r="501" spans="1:3" x14ac:dyDescent="0.35">
      <c r="A501" t="s">
        <v>19</v>
      </c>
      <c r="B501">
        <v>2040</v>
      </c>
      <c r="C501">
        <v>32711.436123684209</v>
      </c>
    </row>
    <row r="502" spans="1:3" x14ac:dyDescent="0.35">
      <c r="A502" t="s">
        <v>19</v>
      </c>
      <c r="B502">
        <v>2041</v>
      </c>
      <c r="C502">
        <v>32733.963113505812</v>
      </c>
    </row>
    <row r="503" spans="1:3" x14ac:dyDescent="0.35">
      <c r="A503" t="s">
        <v>19</v>
      </c>
      <c r="B503">
        <v>2042</v>
      </c>
      <c r="C503">
        <v>32756.646204733006</v>
      </c>
    </row>
    <row r="504" spans="1:3" x14ac:dyDescent="0.35">
      <c r="A504" t="s">
        <v>19</v>
      </c>
      <c r="B504">
        <v>2043</v>
      </c>
      <c r="C504">
        <v>32779.329295960197</v>
      </c>
    </row>
    <row r="505" spans="1:3" x14ac:dyDescent="0.35">
      <c r="A505" t="s">
        <v>19</v>
      </c>
      <c r="B505">
        <v>2044</v>
      </c>
      <c r="C505">
        <v>32802.01238718738</v>
      </c>
    </row>
    <row r="506" spans="1:3" x14ac:dyDescent="0.35">
      <c r="A506" t="s">
        <v>19</v>
      </c>
      <c r="B506">
        <v>2045</v>
      </c>
      <c r="C506">
        <v>32824.695478414578</v>
      </c>
    </row>
    <row r="507" spans="1:3" x14ac:dyDescent="0.35">
      <c r="A507" t="s">
        <v>19</v>
      </c>
      <c r="B507">
        <v>2046</v>
      </c>
      <c r="C507">
        <v>32847.378569641762</v>
      </c>
    </row>
    <row r="508" spans="1:3" x14ac:dyDescent="0.35">
      <c r="A508" t="s">
        <v>19</v>
      </c>
      <c r="B508">
        <v>2047</v>
      </c>
      <c r="C508">
        <v>32870.06166086896</v>
      </c>
    </row>
    <row r="509" spans="1:3" x14ac:dyDescent="0.35">
      <c r="A509" t="s">
        <v>19</v>
      </c>
      <c r="B509">
        <v>2048</v>
      </c>
      <c r="C509">
        <v>32892.744752096143</v>
      </c>
    </row>
    <row r="510" spans="1:3" x14ac:dyDescent="0.35">
      <c r="A510" t="s">
        <v>19</v>
      </c>
      <c r="B510">
        <v>2049</v>
      </c>
      <c r="C510">
        <v>32915.427843323341</v>
      </c>
    </row>
    <row r="511" spans="1:3" x14ac:dyDescent="0.35">
      <c r="A511" t="s">
        <v>19</v>
      </c>
      <c r="B511">
        <v>2050</v>
      </c>
      <c r="C511">
        <v>32938.110934550525</v>
      </c>
    </row>
    <row r="512" spans="1:3" x14ac:dyDescent="0.35">
      <c r="A512" t="s">
        <v>20</v>
      </c>
      <c r="B512">
        <v>2021</v>
      </c>
      <c r="C512">
        <v>48111</v>
      </c>
    </row>
    <row r="513" spans="1:3" x14ac:dyDescent="0.35">
      <c r="A513" t="s">
        <v>20</v>
      </c>
      <c r="B513">
        <v>2022</v>
      </c>
      <c r="C513">
        <v>48271.055319688079</v>
      </c>
    </row>
    <row r="514" spans="1:3" x14ac:dyDescent="0.35">
      <c r="A514" t="s">
        <v>20</v>
      </c>
      <c r="B514">
        <v>2023</v>
      </c>
      <c r="C514">
        <v>48431.110639376151</v>
      </c>
    </row>
    <row r="515" spans="1:3" x14ac:dyDescent="0.35">
      <c r="A515" t="s">
        <v>20</v>
      </c>
      <c r="B515">
        <v>2024</v>
      </c>
      <c r="C515">
        <v>48591.16595906423</v>
      </c>
    </row>
    <row r="516" spans="1:3" x14ac:dyDescent="0.35">
      <c r="A516" t="s">
        <v>20</v>
      </c>
      <c r="B516">
        <v>2025</v>
      </c>
      <c r="C516">
        <v>48751.221278752295</v>
      </c>
    </row>
    <row r="517" spans="1:3" x14ac:dyDescent="0.35">
      <c r="A517" t="s">
        <v>20</v>
      </c>
      <c r="B517">
        <v>2026</v>
      </c>
      <c r="C517">
        <v>48911.276598440381</v>
      </c>
    </row>
    <row r="518" spans="1:3" x14ac:dyDescent="0.35">
      <c r="A518" t="s">
        <v>20</v>
      </c>
      <c r="B518">
        <v>2027</v>
      </c>
      <c r="C518">
        <v>49071.331918128461</v>
      </c>
    </row>
    <row r="519" spans="1:3" x14ac:dyDescent="0.35">
      <c r="A519" t="s">
        <v>20</v>
      </c>
      <c r="B519">
        <v>2028</v>
      </c>
      <c r="C519">
        <v>49231.387237816525</v>
      </c>
    </row>
    <row r="520" spans="1:3" x14ac:dyDescent="0.35">
      <c r="A520" t="s">
        <v>20</v>
      </c>
      <c r="B520">
        <v>2029</v>
      </c>
      <c r="C520">
        <v>49391.442557504604</v>
      </c>
    </row>
    <row r="521" spans="1:3" x14ac:dyDescent="0.35">
      <c r="A521" t="s">
        <v>20</v>
      </c>
      <c r="B521">
        <v>2030</v>
      </c>
      <c r="C521">
        <v>49551.497877192676</v>
      </c>
    </row>
    <row r="522" spans="1:3" x14ac:dyDescent="0.35">
      <c r="A522" t="s">
        <v>20</v>
      </c>
      <c r="B522">
        <v>2031</v>
      </c>
      <c r="C522">
        <v>49711.553196880755</v>
      </c>
    </row>
    <row r="523" spans="1:3" x14ac:dyDescent="0.35">
      <c r="A523" t="s">
        <v>20</v>
      </c>
      <c r="B523">
        <v>2032</v>
      </c>
      <c r="C523">
        <v>49782.750299629755</v>
      </c>
    </row>
    <row r="524" spans="1:3" x14ac:dyDescent="0.35">
      <c r="A524" t="s">
        <v>20</v>
      </c>
      <c r="B524">
        <v>2033</v>
      </c>
      <c r="C524">
        <v>49853.947402378741</v>
      </c>
    </row>
    <row r="525" spans="1:3" x14ac:dyDescent="0.35">
      <c r="A525" t="s">
        <v>20</v>
      </c>
      <c r="B525">
        <v>2034</v>
      </c>
      <c r="C525">
        <v>49925.144505127733</v>
      </c>
    </row>
    <row r="526" spans="1:3" x14ac:dyDescent="0.35">
      <c r="A526" t="s">
        <v>20</v>
      </c>
      <c r="B526">
        <v>2035</v>
      </c>
      <c r="C526">
        <v>49996.341607876726</v>
      </c>
    </row>
    <row r="527" spans="1:3" x14ac:dyDescent="0.35">
      <c r="A527" t="s">
        <v>20</v>
      </c>
      <c r="B527">
        <v>2036</v>
      </c>
      <c r="C527">
        <v>50067.538710625726</v>
      </c>
    </row>
    <row r="528" spans="1:3" x14ac:dyDescent="0.35">
      <c r="A528" t="s">
        <v>20</v>
      </c>
      <c r="B528">
        <v>2037</v>
      </c>
      <c r="C528">
        <v>50138.735813374711</v>
      </c>
    </row>
    <row r="529" spans="1:3" x14ac:dyDescent="0.35">
      <c r="A529" t="s">
        <v>20</v>
      </c>
      <c r="B529">
        <v>2038</v>
      </c>
      <c r="C529">
        <v>50209.932916123704</v>
      </c>
    </row>
    <row r="530" spans="1:3" x14ac:dyDescent="0.35">
      <c r="A530" t="s">
        <v>20</v>
      </c>
      <c r="B530">
        <v>2039</v>
      </c>
      <c r="C530">
        <v>50281.130018872704</v>
      </c>
    </row>
    <row r="531" spans="1:3" x14ac:dyDescent="0.35">
      <c r="A531" t="s">
        <v>20</v>
      </c>
      <c r="B531">
        <v>2040</v>
      </c>
      <c r="C531">
        <v>50352.327121621689</v>
      </c>
    </row>
    <row r="532" spans="1:3" x14ac:dyDescent="0.35">
      <c r="A532" t="s">
        <v>20</v>
      </c>
      <c r="B532">
        <v>2041</v>
      </c>
      <c r="C532">
        <v>50423.524224370711</v>
      </c>
    </row>
    <row r="533" spans="1:3" x14ac:dyDescent="0.35">
      <c r="A533" t="s">
        <v>20</v>
      </c>
      <c r="B533">
        <v>2042</v>
      </c>
      <c r="C533">
        <v>50495.74101512257</v>
      </c>
    </row>
    <row r="534" spans="1:3" x14ac:dyDescent="0.35">
      <c r="A534" t="s">
        <v>20</v>
      </c>
      <c r="B534">
        <v>2043</v>
      </c>
      <c r="C534">
        <v>50567.957805874415</v>
      </c>
    </row>
    <row r="535" spans="1:3" x14ac:dyDescent="0.35">
      <c r="A535" t="s">
        <v>20</v>
      </c>
      <c r="B535">
        <v>2044</v>
      </c>
      <c r="C535">
        <v>50640.174596626275</v>
      </c>
    </row>
    <row r="536" spans="1:3" x14ac:dyDescent="0.35">
      <c r="A536" t="s">
        <v>20</v>
      </c>
      <c r="B536">
        <v>2045</v>
      </c>
      <c r="C536">
        <v>50712.391387378135</v>
      </c>
    </row>
    <row r="537" spans="1:3" x14ac:dyDescent="0.35">
      <c r="A537" t="s">
        <v>20</v>
      </c>
      <c r="B537">
        <v>2046</v>
      </c>
      <c r="C537">
        <v>50784.608178129994</v>
      </c>
    </row>
    <row r="538" spans="1:3" x14ac:dyDescent="0.35">
      <c r="A538" t="s">
        <v>20</v>
      </c>
      <c r="B538">
        <v>2047</v>
      </c>
      <c r="C538">
        <v>50856.82496888184</v>
      </c>
    </row>
    <row r="539" spans="1:3" x14ac:dyDescent="0.35">
      <c r="A539" t="s">
        <v>20</v>
      </c>
      <c r="B539">
        <v>2048</v>
      </c>
      <c r="C539">
        <v>50929.041759633699</v>
      </c>
    </row>
    <row r="540" spans="1:3" x14ac:dyDescent="0.35">
      <c r="A540" t="s">
        <v>20</v>
      </c>
      <c r="B540">
        <v>2049</v>
      </c>
      <c r="C540">
        <v>51001.258550385552</v>
      </c>
    </row>
    <row r="541" spans="1:3" x14ac:dyDescent="0.35">
      <c r="A541" t="s">
        <v>20</v>
      </c>
      <c r="B541">
        <v>2050</v>
      </c>
      <c r="C541">
        <v>51073.475341137411</v>
      </c>
    </row>
    <row r="542" spans="1:3" x14ac:dyDescent="0.35">
      <c r="A542" t="s">
        <v>21</v>
      </c>
      <c r="B542">
        <v>2021</v>
      </c>
      <c r="C542">
        <v>54728</v>
      </c>
    </row>
    <row r="543" spans="1:3" x14ac:dyDescent="0.35">
      <c r="A543" t="s">
        <v>21</v>
      </c>
      <c r="B543">
        <v>2022</v>
      </c>
      <c r="C543">
        <v>54962.105157828737</v>
      </c>
    </row>
    <row r="544" spans="1:3" x14ac:dyDescent="0.35">
      <c r="A544" t="s">
        <v>21</v>
      </c>
      <c r="B544">
        <v>2023</v>
      </c>
      <c r="C544">
        <v>55196.210315657481</v>
      </c>
    </row>
    <row r="545" spans="1:3" x14ac:dyDescent="0.35">
      <c r="A545" t="s">
        <v>21</v>
      </c>
      <c r="B545">
        <v>2024</v>
      </c>
      <c r="C545">
        <v>55430.315473486218</v>
      </c>
    </row>
    <row r="546" spans="1:3" x14ac:dyDescent="0.35">
      <c r="A546" t="s">
        <v>21</v>
      </c>
      <c r="B546">
        <v>2025</v>
      </c>
      <c r="C546">
        <v>55664.420631314955</v>
      </c>
    </row>
    <row r="547" spans="1:3" x14ac:dyDescent="0.35">
      <c r="A547" t="s">
        <v>21</v>
      </c>
      <c r="B547">
        <v>2026</v>
      </c>
      <c r="C547">
        <v>55898.5257891437</v>
      </c>
    </row>
    <row r="548" spans="1:3" x14ac:dyDescent="0.35">
      <c r="A548" t="s">
        <v>21</v>
      </c>
      <c r="B548">
        <v>2027</v>
      </c>
      <c r="C548">
        <v>56132.630946972437</v>
      </c>
    </row>
    <row r="549" spans="1:3" x14ac:dyDescent="0.35">
      <c r="A549" t="s">
        <v>21</v>
      </c>
      <c r="B549">
        <v>2028</v>
      </c>
      <c r="C549">
        <v>56366.736104801173</v>
      </c>
    </row>
    <row r="550" spans="1:3" x14ac:dyDescent="0.35">
      <c r="A550" t="s">
        <v>21</v>
      </c>
      <c r="B550">
        <v>2029</v>
      </c>
      <c r="C550">
        <v>56600.84126262991</v>
      </c>
    </row>
    <row r="551" spans="1:3" x14ac:dyDescent="0.35">
      <c r="A551" t="s">
        <v>21</v>
      </c>
      <c r="B551">
        <v>2030</v>
      </c>
      <c r="C551">
        <v>56834.946420458655</v>
      </c>
    </row>
    <row r="552" spans="1:3" x14ac:dyDescent="0.35">
      <c r="A552" t="s">
        <v>21</v>
      </c>
      <c r="B552">
        <v>2031</v>
      </c>
      <c r="C552">
        <v>57069.051578287377</v>
      </c>
    </row>
    <row r="553" spans="1:3" x14ac:dyDescent="0.35">
      <c r="A553" t="s">
        <v>21</v>
      </c>
      <c r="B553">
        <v>2032</v>
      </c>
      <c r="C553">
        <v>57204.053542574678</v>
      </c>
    </row>
    <row r="554" spans="1:3" x14ac:dyDescent="0.35">
      <c r="A554" t="s">
        <v>21</v>
      </c>
      <c r="B554">
        <v>2033</v>
      </c>
      <c r="C554">
        <v>57339.055506861987</v>
      </c>
    </row>
    <row r="555" spans="1:3" x14ac:dyDescent="0.35">
      <c r="A555" t="s">
        <v>21</v>
      </c>
      <c r="B555">
        <v>2034</v>
      </c>
      <c r="C555">
        <v>57474.057471149295</v>
      </c>
    </row>
    <row r="556" spans="1:3" x14ac:dyDescent="0.35">
      <c r="A556" t="s">
        <v>21</v>
      </c>
      <c r="B556">
        <v>2035</v>
      </c>
      <c r="C556">
        <v>57609.059435436597</v>
      </c>
    </row>
    <row r="557" spans="1:3" x14ac:dyDescent="0.35">
      <c r="A557" t="s">
        <v>21</v>
      </c>
      <c r="B557">
        <v>2036</v>
      </c>
      <c r="C557">
        <v>57744.061399723905</v>
      </c>
    </row>
    <row r="558" spans="1:3" x14ac:dyDescent="0.35">
      <c r="A558" t="s">
        <v>21</v>
      </c>
      <c r="B558">
        <v>2037</v>
      </c>
      <c r="C558">
        <v>57879.063364011214</v>
      </c>
    </row>
    <row r="559" spans="1:3" x14ac:dyDescent="0.35">
      <c r="A559" t="s">
        <v>21</v>
      </c>
      <c r="B559">
        <v>2038</v>
      </c>
      <c r="C559">
        <v>58014.065328298522</v>
      </c>
    </row>
    <row r="560" spans="1:3" x14ac:dyDescent="0.35">
      <c r="A560" t="s">
        <v>21</v>
      </c>
      <c r="B560">
        <v>2039</v>
      </c>
      <c r="C560">
        <v>58149.067292585823</v>
      </c>
    </row>
    <row r="561" spans="1:3" x14ac:dyDescent="0.35">
      <c r="A561" t="s">
        <v>21</v>
      </c>
      <c r="B561">
        <v>2040</v>
      </c>
      <c r="C561">
        <v>58284.069256873132</v>
      </c>
    </row>
    <row r="562" spans="1:3" x14ac:dyDescent="0.35">
      <c r="A562" t="s">
        <v>21</v>
      </c>
      <c r="B562">
        <v>2041</v>
      </c>
      <c r="C562">
        <v>58419.071221160455</v>
      </c>
    </row>
    <row r="563" spans="1:3" x14ac:dyDescent="0.35">
      <c r="A563" t="s">
        <v>21</v>
      </c>
      <c r="B563">
        <v>2042</v>
      </c>
      <c r="C563">
        <v>58557.266778096913</v>
      </c>
    </row>
    <row r="564" spans="1:3" x14ac:dyDescent="0.35">
      <c r="A564" t="s">
        <v>21</v>
      </c>
      <c r="B564">
        <v>2043</v>
      </c>
      <c r="C564">
        <v>58695.462335033371</v>
      </c>
    </row>
    <row r="565" spans="1:3" x14ac:dyDescent="0.35">
      <c r="A565" t="s">
        <v>21</v>
      </c>
      <c r="B565">
        <v>2044</v>
      </c>
      <c r="C565">
        <v>58833.657891969822</v>
      </c>
    </row>
    <row r="566" spans="1:3" x14ac:dyDescent="0.35">
      <c r="A566" t="s">
        <v>21</v>
      </c>
      <c r="B566">
        <v>2045</v>
      </c>
      <c r="C566">
        <v>58971.853448906273</v>
      </c>
    </row>
    <row r="567" spans="1:3" x14ac:dyDescent="0.35">
      <c r="A567" t="s">
        <v>21</v>
      </c>
      <c r="B567">
        <v>2046</v>
      </c>
      <c r="C567">
        <v>59110.049005842724</v>
      </c>
    </row>
    <row r="568" spans="1:3" x14ac:dyDescent="0.35">
      <c r="A568" t="s">
        <v>21</v>
      </c>
      <c r="B568">
        <v>2047</v>
      </c>
      <c r="C568">
        <v>59248.244562779189</v>
      </c>
    </row>
    <row r="569" spans="1:3" x14ac:dyDescent="0.35">
      <c r="A569" t="s">
        <v>21</v>
      </c>
      <c r="B569">
        <v>2048</v>
      </c>
      <c r="C569">
        <v>59386.44011971564</v>
      </c>
    </row>
    <row r="570" spans="1:3" x14ac:dyDescent="0.35">
      <c r="A570" t="s">
        <v>21</v>
      </c>
      <c r="B570">
        <v>2049</v>
      </c>
      <c r="C570">
        <v>59524.635676652091</v>
      </c>
    </row>
    <row r="571" spans="1:3" x14ac:dyDescent="0.35">
      <c r="A571" t="s">
        <v>21</v>
      </c>
      <c r="B571">
        <v>2050</v>
      </c>
      <c r="C571">
        <v>59662.831233588542</v>
      </c>
    </row>
    <row r="572" spans="1:3" x14ac:dyDescent="0.35">
      <c r="A572" t="s">
        <v>22</v>
      </c>
      <c r="B572">
        <v>2021</v>
      </c>
      <c r="C572">
        <v>14560</v>
      </c>
    </row>
    <row r="573" spans="1:3" x14ac:dyDescent="0.35">
      <c r="A573" t="s">
        <v>22</v>
      </c>
      <c r="B573">
        <v>2022</v>
      </c>
      <c r="C573">
        <v>14566.591624527045</v>
      </c>
    </row>
    <row r="574" spans="1:3" x14ac:dyDescent="0.35">
      <c r="A574" t="s">
        <v>22</v>
      </c>
      <c r="B574">
        <v>2023</v>
      </c>
      <c r="C574">
        <v>14573.183249054091</v>
      </c>
    </row>
    <row r="575" spans="1:3" x14ac:dyDescent="0.35">
      <c r="A575" t="s">
        <v>22</v>
      </c>
      <c r="B575">
        <v>2024</v>
      </c>
      <c r="C575">
        <v>14579.774873581136</v>
      </c>
    </row>
    <row r="576" spans="1:3" x14ac:dyDescent="0.35">
      <c r="A576" t="s">
        <v>22</v>
      </c>
      <c r="B576">
        <v>2025</v>
      </c>
      <c r="C576">
        <v>14586.366498108182</v>
      </c>
    </row>
    <row r="577" spans="1:3" x14ac:dyDescent="0.35">
      <c r="A577" t="s">
        <v>22</v>
      </c>
      <c r="B577">
        <v>2026</v>
      </c>
      <c r="C577">
        <v>14592.958122635227</v>
      </c>
    </row>
    <row r="578" spans="1:3" x14ac:dyDescent="0.35">
      <c r="A578" t="s">
        <v>22</v>
      </c>
      <c r="B578">
        <v>2027</v>
      </c>
      <c r="C578">
        <v>14599.549747162273</v>
      </c>
    </row>
    <row r="579" spans="1:3" x14ac:dyDescent="0.35">
      <c r="A579" t="s">
        <v>22</v>
      </c>
      <c r="B579">
        <v>2028</v>
      </c>
      <c r="C579">
        <v>14606.141371689318</v>
      </c>
    </row>
    <row r="580" spans="1:3" x14ac:dyDescent="0.35">
      <c r="A580" t="s">
        <v>22</v>
      </c>
      <c r="B580">
        <v>2029</v>
      </c>
      <c r="C580">
        <v>14612.732996216364</v>
      </c>
    </row>
    <row r="581" spans="1:3" x14ac:dyDescent="0.35">
      <c r="A581" t="s">
        <v>22</v>
      </c>
      <c r="B581">
        <v>2030</v>
      </c>
      <c r="C581">
        <v>14619.324620743408</v>
      </c>
    </row>
    <row r="582" spans="1:3" x14ac:dyDescent="0.35">
      <c r="A582" t="s">
        <v>22</v>
      </c>
      <c r="B582">
        <v>2031</v>
      </c>
      <c r="C582">
        <v>14625.916245270448</v>
      </c>
    </row>
    <row r="583" spans="1:3" x14ac:dyDescent="0.35">
      <c r="A583" t="s">
        <v>22</v>
      </c>
      <c r="B583">
        <v>2032</v>
      </c>
      <c r="C583">
        <v>14605.598388062079</v>
      </c>
    </row>
    <row r="584" spans="1:3" x14ac:dyDescent="0.35">
      <c r="A584" t="s">
        <v>22</v>
      </c>
      <c r="B584">
        <v>2033</v>
      </c>
      <c r="C584">
        <v>14585.280530853715</v>
      </c>
    </row>
    <row r="585" spans="1:3" x14ac:dyDescent="0.35">
      <c r="A585" t="s">
        <v>22</v>
      </c>
      <c r="B585">
        <v>2034</v>
      </c>
      <c r="C585">
        <v>14564.962673645347</v>
      </c>
    </row>
    <row r="586" spans="1:3" x14ac:dyDescent="0.35">
      <c r="A586" t="s">
        <v>22</v>
      </c>
      <c r="B586">
        <v>2035</v>
      </c>
      <c r="C586">
        <v>14544.644816436981</v>
      </c>
    </row>
    <row r="587" spans="1:3" x14ac:dyDescent="0.35">
      <c r="A587" t="s">
        <v>22</v>
      </c>
      <c r="B587">
        <v>2036</v>
      </c>
      <c r="C587">
        <v>14524.326959228614</v>
      </c>
    </row>
    <row r="588" spans="1:3" x14ac:dyDescent="0.35">
      <c r="A588" t="s">
        <v>22</v>
      </c>
      <c r="B588">
        <v>2037</v>
      </c>
      <c r="C588">
        <v>14504.009102020249</v>
      </c>
    </row>
    <row r="589" spans="1:3" x14ac:dyDescent="0.35">
      <c r="A589" t="s">
        <v>22</v>
      </c>
      <c r="B589">
        <v>2038</v>
      </c>
      <c r="C589">
        <v>14483.691244811882</v>
      </c>
    </row>
    <row r="590" spans="1:3" x14ac:dyDescent="0.35">
      <c r="A590" t="s">
        <v>22</v>
      </c>
      <c r="B590">
        <v>2039</v>
      </c>
      <c r="C590">
        <v>14463.373387603517</v>
      </c>
    </row>
    <row r="591" spans="1:3" x14ac:dyDescent="0.35">
      <c r="A591" t="s">
        <v>22</v>
      </c>
      <c r="B591">
        <v>2040</v>
      </c>
      <c r="C591">
        <v>14443.05553039515</v>
      </c>
    </row>
    <row r="592" spans="1:3" x14ac:dyDescent="0.35">
      <c r="A592" t="s">
        <v>22</v>
      </c>
      <c r="B592">
        <v>2041</v>
      </c>
      <c r="C592">
        <v>14422.737673186772</v>
      </c>
    </row>
    <row r="593" spans="1:3" x14ac:dyDescent="0.35">
      <c r="A593" t="s">
        <v>22</v>
      </c>
      <c r="B593">
        <v>2042</v>
      </c>
      <c r="C593">
        <v>14402.702065182228</v>
      </c>
    </row>
    <row r="594" spans="1:3" x14ac:dyDescent="0.35">
      <c r="A594" t="s">
        <v>22</v>
      </c>
      <c r="B594">
        <v>2043</v>
      </c>
      <c r="C594">
        <v>14382.666457177684</v>
      </c>
    </row>
    <row r="595" spans="1:3" x14ac:dyDescent="0.35">
      <c r="A595" t="s">
        <v>22</v>
      </c>
      <c r="B595">
        <v>2044</v>
      </c>
      <c r="C595">
        <v>14362.630849173136</v>
      </c>
    </row>
    <row r="596" spans="1:3" x14ac:dyDescent="0.35">
      <c r="A596" t="s">
        <v>22</v>
      </c>
      <c r="B596">
        <v>2045</v>
      </c>
      <c r="C596">
        <v>14342.595241168592</v>
      </c>
    </row>
    <row r="597" spans="1:3" x14ac:dyDescent="0.35">
      <c r="A597" t="s">
        <v>22</v>
      </c>
      <c r="B597">
        <v>2046</v>
      </c>
      <c r="C597">
        <v>14322.559633164046</v>
      </c>
    </row>
    <row r="598" spans="1:3" x14ac:dyDescent="0.35">
      <c r="A598" t="s">
        <v>22</v>
      </c>
      <c r="B598">
        <v>2047</v>
      </c>
      <c r="C598">
        <v>14302.524025159502</v>
      </c>
    </row>
    <row r="599" spans="1:3" x14ac:dyDescent="0.35">
      <c r="A599" t="s">
        <v>22</v>
      </c>
      <c r="B599">
        <v>2048</v>
      </c>
      <c r="C599">
        <v>14282.488417154958</v>
      </c>
    </row>
    <row r="600" spans="1:3" x14ac:dyDescent="0.35">
      <c r="A600" t="s">
        <v>22</v>
      </c>
      <c r="B600">
        <v>2049</v>
      </c>
      <c r="C600">
        <v>14262.452809150411</v>
      </c>
    </row>
    <row r="601" spans="1:3" x14ac:dyDescent="0.35">
      <c r="A601" t="s">
        <v>22</v>
      </c>
      <c r="B601">
        <v>2050</v>
      </c>
      <c r="C601">
        <v>14242.417201145867</v>
      </c>
    </row>
    <row r="602" spans="1:3" x14ac:dyDescent="0.35">
      <c r="A602" t="s">
        <v>23</v>
      </c>
      <c r="B602">
        <v>2021</v>
      </c>
      <c r="C602">
        <v>56601</v>
      </c>
    </row>
    <row r="603" spans="1:3" x14ac:dyDescent="0.35">
      <c r="A603" t="s">
        <v>23</v>
      </c>
      <c r="B603">
        <v>2022</v>
      </c>
      <c r="C603">
        <v>56961.295537366408</v>
      </c>
    </row>
    <row r="604" spans="1:3" x14ac:dyDescent="0.35">
      <c r="A604" t="s">
        <v>23</v>
      </c>
      <c r="B604">
        <v>2023</v>
      </c>
      <c r="C604">
        <v>57321.591074732838</v>
      </c>
    </row>
    <row r="605" spans="1:3" x14ac:dyDescent="0.35">
      <c r="A605" t="s">
        <v>23</v>
      </c>
      <c r="B605">
        <v>2024</v>
      </c>
      <c r="C605">
        <v>57681.886612099246</v>
      </c>
    </row>
    <row r="606" spans="1:3" x14ac:dyDescent="0.35">
      <c r="A606" t="s">
        <v>23</v>
      </c>
      <c r="B606">
        <v>2025</v>
      </c>
      <c r="C606">
        <v>58042.182149465654</v>
      </c>
    </row>
    <row r="607" spans="1:3" x14ac:dyDescent="0.35">
      <c r="A607" t="s">
        <v>23</v>
      </c>
      <c r="B607">
        <v>2026</v>
      </c>
      <c r="C607">
        <v>58402.47768683207</v>
      </c>
    </row>
    <row r="608" spans="1:3" x14ac:dyDescent="0.35">
      <c r="A608" t="s">
        <v>23</v>
      </c>
      <c r="B608">
        <v>2027</v>
      </c>
      <c r="C608">
        <v>58762.773224198492</v>
      </c>
    </row>
    <row r="609" spans="1:3" x14ac:dyDescent="0.35">
      <c r="A609" t="s">
        <v>23</v>
      </c>
      <c r="B609">
        <v>2028</v>
      </c>
      <c r="C609">
        <v>59123.0687615649</v>
      </c>
    </row>
    <row r="610" spans="1:3" x14ac:dyDescent="0.35">
      <c r="A610" t="s">
        <v>23</v>
      </c>
      <c r="B610">
        <v>2029</v>
      </c>
      <c r="C610">
        <v>59483.364298931316</v>
      </c>
    </row>
    <row r="611" spans="1:3" x14ac:dyDescent="0.35">
      <c r="A611" t="s">
        <v>23</v>
      </c>
      <c r="B611">
        <v>2030</v>
      </c>
      <c r="C611">
        <v>59843.659836297738</v>
      </c>
    </row>
    <row r="612" spans="1:3" x14ac:dyDescent="0.35">
      <c r="A612" t="s">
        <v>23</v>
      </c>
      <c r="B612">
        <v>2031</v>
      </c>
      <c r="C612">
        <v>60203.955373664161</v>
      </c>
    </row>
    <row r="613" spans="1:3" x14ac:dyDescent="0.35">
      <c r="A613" t="s">
        <v>23</v>
      </c>
      <c r="B613">
        <v>2032</v>
      </c>
      <c r="C613">
        <v>60469.769491183702</v>
      </c>
    </row>
    <row r="614" spans="1:3" x14ac:dyDescent="0.35">
      <c r="A614" t="s">
        <v>23</v>
      </c>
      <c r="B614">
        <v>2033</v>
      </c>
      <c r="C614">
        <v>60735.583608703244</v>
      </c>
    </row>
    <row r="615" spans="1:3" x14ac:dyDescent="0.35">
      <c r="A615" t="s">
        <v>23</v>
      </c>
      <c r="B615">
        <v>2034</v>
      </c>
      <c r="C615">
        <v>61001.397726222785</v>
      </c>
    </row>
    <row r="616" spans="1:3" x14ac:dyDescent="0.35">
      <c r="A616" t="s">
        <v>23</v>
      </c>
      <c r="B616">
        <v>2035</v>
      </c>
      <c r="C616">
        <v>61267.211843742327</v>
      </c>
    </row>
    <row r="617" spans="1:3" x14ac:dyDescent="0.35">
      <c r="A617" t="s">
        <v>23</v>
      </c>
      <c r="B617">
        <v>2036</v>
      </c>
      <c r="C617">
        <v>61533.025961261876</v>
      </c>
    </row>
    <row r="618" spans="1:3" x14ac:dyDescent="0.35">
      <c r="A618" t="s">
        <v>23</v>
      </c>
      <c r="B618">
        <v>2037</v>
      </c>
      <c r="C618">
        <v>61798.840078781417</v>
      </c>
    </row>
    <row r="619" spans="1:3" x14ac:dyDescent="0.35">
      <c r="A619" t="s">
        <v>23</v>
      </c>
      <c r="B619">
        <v>2038</v>
      </c>
      <c r="C619">
        <v>62064.654196300959</v>
      </c>
    </row>
    <row r="620" spans="1:3" x14ac:dyDescent="0.35">
      <c r="A620" t="s">
        <v>23</v>
      </c>
      <c r="B620">
        <v>2039</v>
      </c>
      <c r="C620">
        <v>62330.4683138205</v>
      </c>
    </row>
    <row r="621" spans="1:3" x14ac:dyDescent="0.35">
      <c r="A621" t="s">
        <v>23</v>
      </c>
      <c r="B621">
        <v>2040</v>
      </c>
      <c r="C621">
        <v>62596.282431340042</v>
      </c>
    </row>
    <row r="622" spans="1:3" x14ac:dyDescent="0.35">
      <c r="A622" t="s">
        <v>23</v>
      </c>
      <c r="B622">
        <v>2041</v>
      </c>
      <c r="C622">
        <v>62862.096548859568</v>
      </c>
    </row>
    <row r="623" spans="1:3" x14ac:dyDescent="0.35">
      <c r="A623" t="s">
        <v>23</v>
      </c>
      <c r="B623">
        <v>2042</v>
      </c>
      <c r="C623">
        <v>63139.646962546729</v>
      </c>
    </row>
    <row r="624" spans="1:3" x14ac:dyDescent="0.35">
      <c r="A624" t="s">
        <v>23</v>
      </c>
      <c r="B624">
        <v>2043</v>
      </c>
      <c r="C624">
        <v>63417.197376233882</v>
      </c>
    </row>
    <row r="625" spans="1:3" x14ac:dyDescent="0.35">
      <c r="A625" t="s">
        <v>23</v>
      </c>
      <c r="B625">
        <v>2044</v>
      </c>
      <c r="C625">
        <v>63694.747789921021</v>
      </c>
    </row>
    <row r="626" spans="1:3" x14ac:dyDescent="0.35">
      <c r="A626" t="s">
        <v>23</v>
      </c>
      <c r="B626">
        <v>2045</v>
      </c>
      <c r="C626">
        <v>63972.298203608174</v>
      </c>
    </row>
    <row r="627" spans="1:3" x14ac:dyDescent="0.35">
      <c r="A627" t="s">
        <v>23</v>
      </c>
      <c r="B627">
        <v>2046</v>
      </c>
      <c r="C627">
        <v>64249.848617295327</v>
      </c>
    </row>
    <row r="628" spans="1:3" x14ac:dyDescent="0.35">
      <c r="A628" t="s">
        <v>23</v>
      </c>
      <c r="B628">
        <v>2047</v>
      </c>
      <c r="C628">
        <v>64527.39903098248</v>
      </c>
    </row>
    <row r="629" spans="1:3" x14ac:dyDescent="0.35">
      <c r="A629" t="s">
        <v>23</v>
      </c>
      <c r="B629">
        <v>2048</v>
      </c>
      <c r="C629">
        <v>64804.949444669641</v>
      </c>
    </row>
    <row r="630" spans="1:3" x14ac:dyDescent="0.35">
      <c r="A630" t="s">
        <v>23</v>
      </c>
      <c r="B630">
        <v>2049</v>
      </c>
      <c r="C630">
        <v>65082.499858356779</v>
      </c>
    </row>
    <row r="631" spans="1:3" x14ac:dyDescent="0.35">
      <c r="A631" t="s">
        <v>23</v>
      </c>
      <c r="B631">
        <v>2050</v>
      </c>
      <c r="C631">
        <v>65360.050272043933</v>
      </c>
    </row>
    <row r="632" spans="1:3" x14ac:dyDescent="0.35">
      <c r="A632" t="s">
        <v>24</v>
      </c>
      <c r="B632">
        <v>2021</v>
      </c>
      <c r="C632">
        <v>59115</v>
      </c>
    </row>
    <row r="633" spans="1:3" x14ac:dyDescent="0.35">
      <c r="A633" t="s">
        <v>24</v>
      </c>
      <c r="B633">
        <v>2022</v>
      </c>
      <c r="C633">
        <v>59486.508612971549</v>
      </c>
    </row>
    <row r="634" spans="1:3" x14ac:dyDescent="0.35">
      <c r="A634" t="s">
        <v>24</v>
      </c>
      <c r="B634">
        <v>2023</v>
      </c>
      <c r="C634">
        <v>59858.017225943084</v>
      </c>
    </row>
    <row r="635" spans="1:3" x14ac:dyDescent="0.35">
      <c r="A635" t="s">
        <v>24</v>
      </c>
      <c r="B635">
        <v>2024</v>
      </c>
      <c r="C635">
        <v>60229.525838914633</v>
      </c>
    </row>
    <row r="636" spans="1:3" x14ac:dyDescent="0.35">
      <c r="A636" t="s">
        <v>24</v>
      </c>
      <c r="B636">
        <v>2025</v>
      </c>
      <c r="C636">
        <v>60601.034451886168</v>
      </c>
    </row>
    <row r="637" spans="1:3" x14ac:dyDescent="0.35">
      <c r="A637" t="s">
        <v>24</v>
      </c>
      <c r="B637">
        <v>2026</v>
      </c>
      <c r="C637">
        <v>60972.543064857717</v>
      </c>
    </row>
    <row r="638" spans="1:3" x14ac:dyDescent="0.35">
      <c r="A638" t="s">
        <v>24</v>
      </c>
      <c r="B638">
        <v>2027</v>
      </c>
      <c r="C638">
        <v>61344.051677829251</v>
      </c>
    </row>
    <row r="639" spans="1:3" x14ac:dyDescent="0.35">
      <c r="A639" t="s">
        <v>24</v>
      </c>
      <c r="B639">
        <v>2028</v>
      </c>
      <c r="C639">
        <v>61715.560290800793</v>
      </c>
    </row>
    <row r="640" spans="1:3" x14ac:dyDescent="0.35">
      <c r="A640" t="s">
        <v>24</v>
      </c>
      <c r="B640">
        <v>2029</v>
      </c>
      <c r="C640">
        <v>62087.068903772342</v>
      </c>
    </row>
    <row r="641" spans="1:3" x14ac:dyDescent="0.35">
      <c r="A641" t="s">
        <v>24</v>
      </c>
      <c r="B641">
        <v>2030</v>
      </c>
      <c r="C641">
        <v>62458.577516743877</v>
      </c>
    </row>
    <row r="642" spans="1:3" x14ac:dyDescent="0.35">
      <c r="A642" t="s">
        <v>24</v>
      </c>
      <c r="B642">
        <v>2031</v>
      </c>
      <c r="C642">
        <v>62830.086129715426</v>
      </c>
    </row>
    <row r="643" spans="1:3" x14ac:dyDescent="0.35">
      <c r="A643" t="s">
        <v>24</v>
      </c>
      <c r="B643">
        <v>2032</v>
      </c>
      <c r="C643">
        <v>63102.497661680783</v>
      </c>
    </row>
    <row r="644" spans="1:3" x14ac:dyDescent="0.35">
      <c r="A644" t="s">
        <v>24</v>
      </c>
      <c r="B644">
        <v>2033</v>
      </c>
      <c r="C644">
        <v>63374.909193646148</v>
      </c>
    </row>
    <row r="645" spans="1:3" x14ac:dyDescent="0.35">
      <c r="A645" t="s">
        <v>24</v>
      </c>
      <c r="B645">
        <v>2034</v>
      </c>
      <c r="C645">
        <v>63647.320725611498</v>
      </c>
    </row>
    <row r="646" spans="1:3" x14ac:dyDescent="0.35">
      <c r="A646" t="s">
        <v>24</v>
      </c>
      <c r="B646">
        <v>2035</v>
      </c>
      <c r="C646">
        <v>63919.73225757687</v>
      </c>
    </row>
    <row r="647" spans="1:3" x14ac:dyDescent="0.35">
      <c r="A647" t="s">
        <v>24</v>
      </c>
      <c r="B647">
        <v>2036</v>
      </c>
      <c r="C647">
        <v>64192.14378954222</v>
      </c>
    </row>
    <row r="648" spans="1:3" x14ac:dyDescent="0.35">
      <c r="A648" t="s">
        <v>24</v>
      </c>
      <c r="B648">
        <v>2037</v>
      </c>
      <c r="C648">
        <v>64464.555321507592</v>
      </c>
    </row>
    <row r="649" spans="1:3" x14ac:dyDescent="0.35">
      <c r="A649" t="s">
        <v>24</v>
      </c>
      <c r="B649">
        <v>2038</v>
      </c>
      <c r="C649">
        <v>64736.966853472943</v>
      </c>
    </row>
    <row r="650" spans="1:3" x14ac:dyDescent="0.35">
      <c r="A650" t="s">
        <v>24</v>
      </c>
      <c r="B650">
        <v>2039</v>
      </c>
      <c r="C650">
        <v>65009.378385438307</v>
      </c>
    </row>
    <row r="651" spans="1:3" x14ac:dyDescent="0.35">
      <c r="A651" t="s">
        <v>24</v>
      </c>
      <c r="B651">
        <v>2040</v>
      </c>
      <c r="C651">
        <v>65281.789917403679</v>
      </c>
    </row>
    <row r="652" spans="1:3" x14ac:dyDescent="0.35">
      <c r="A652" t="s">
        <v>24</v>
      </c>
      <c r="B652">
        <v>2041</v>
      </c>
      <c r="C652">
        <v>65554.201449369051</v>
      </c>
    </row>
    <row r="653" spans="1:3" x14ac:dyDescent="0.35">
      <c r="A653" t="s">
        <v>24</v>
      </c>
      <c r="B653">
        <v>2042</v>
      </c>
      <c r="C653">
        <v>65838.423890298378</v>
      </c>
    </row>
    <row r="654" spans="1:3" x14ac:dyDescent="0.35">
      <c r="A654" t="s">
        <v>24</v>
      </c>
      <c r="B654">
        <v>2043</v>
      </c>
      <c r="C654">
        <v>66122.646331227719</v>
      </c>
    </row>
    <row r="655" spans="1:3" x14ac:dyDescent="0.35">
      <c r="A655" t="s">
        <v>24</v>
      </c>
      <c r="B655">
        <v>2044</v>
      </c>
      <c r="C655">
        <v>66406.868772157075</v>
      </c>
    </row>
    <row r="656" spans="1:3" x14ac:dyDescent="0.35">
      <c r="A656" t="s">
        <v>24</v>
      </c>
      <c r="B656">
        <v>2045</v>
      </c>
      <c r="C656">
        <v>66691.091213086416</v>
      </c>
    </row>
    <row r="657" spans="1:3" x14ac:dyDescent="0.35">
      <c r="A657" t="s">
        <v>24</v>
      </c>
      <c r="B657">
        <v>2046</v>
      </c>
      <c r="C657">
        <v>66975.313654015772</v>
      </c>
    </row>
    <row r="658" spans="1:3" x14ac:dyDescent="0.35">
      <c r="A658" t="s">
        <v>24</v>
      </c>
      <c r="B658">
        <v>2047</v>
      </c>
      <c r="C658">
        <v>67259.536094945113</v>
      </c>
    </row>
    <row r="659" spans="1:3" x14ac:dyDescent="0.35">
      <c r="A659" t="s">
        <v>24</v>
      </c>
      <c r="B659">
        <v>2048</v>
      </c>
      <c r="C659">
        <v>67543.758535874455</v>
      </c>
    </row>
    <row r="660" spans="1:3" x14ac:dyDescent="0.35">
      <c r="A660" t="s">
        <v>24</v>
      </c>
      <c r="B660">
        <v>2049</v>
      </c>
      <c r="C660">
        <v>67827.980976803796</v>
      </c>
    </row>
    <row r="661" spans="1:3" x14ac:dyDescent="0.35">
      <c r="A661" t="s">
        <v>24</v>
      </c>
      <c r="B661">
        <v>2050</v>
      </c>
      <c r="C661">
        <v>68112.203417733152</v>
      </c>
    </row>
    <row r="662" spans="1:3" x14ac:dyDescent="0.35">
      <c r="A662" t="s">
        <v>25</v>
      </c>
      <c r="B662">
        <v>2021</v>
      </c>
      <c r="C662">
        <v>96744</v>
      </c>
    </row>
    <row r="663" spans="1:3" x14ac:dyDescent="0.35">
      <c r="A663" t="s">
        <v>25</v>
      </c>
      <c r="B663">
        <v>2022</v>
      </c>
      <c r="C663">
        <v>96818.187691957777</v>
      </c>
    </row>
    <row r="664" spans="1:3" x14ac:dyDescent="0.35">
      <c r="A664" t="s">
        <v>25</v>
      </c>
      <c r="B664">
        <v>2023</v>
      </c>
      <c r="C664">
        <v>96892.375383915554</v>
      </c>
    </row>
    <row r="665" spans="1:3" x14ac:dyDescent="0.35">
      <c r="A665" t="s">
        <v>25</v>
      </c>
      <c r="B665">
        <v>2024</v>
      </c>
      <c r="C665">
        <v>96966.563075873331</v>
      </c>
    </row>
    <row r="666" spans="1:3" x14ac:dyDescent="0.35">
      <c r="A666" t="s">
        <v>25</v>
      </c>
      <c r="B666">
        <v>2025</v>
      </c>
      <c r="C666">
        <v>97040.750767831109</v>
      </c>
    </row>
    <row r="667" spans="1:3" x14ac:dyDescent="0.35">
      <c r="A667" t="s">
        <v>25</v>
      </c>
      <c r="B667">
        <v>2026</v>
      </c>
      <c r="C667">
        <v>97114.938459788886</v>
      </c>
    </row>
    <row r="668" spans="1:3" x14ac:dyDescent="0.35">
      <c r="A668" t="s">
        <v>25</v>
      </c>
      <c r="B668">
        <v>2027</v>
      </c>
      <c r="C668">
        <v>97189.126151746663</v>
      </c>
    </row>
    <row r="669" spans="1:3" x14ac:dyDescent="0.35">
      <c r="A669" t="s">
        <v>25</v>
      </c>
      <c r="B669">
        <v>2028</v>
      </c>
      <c r="C669">
        <v>97263.31384370444</v>
      </c>
    </row>
    <row r="670" spans="1:3" x14ac:dyDescent="0.35">
      <c r="A670" t="s">
        <v>25</v>
      </c>
      <c r="B670">
        <v>2029</v>
      </c>
      <c r="C670">
        <v>97337.501535662217</v>
      </c>
    </row>
    <row r="671" spans="1:3" x14ac:dyDescent="0.35">
      <c r="A671" t="s">
        <v>25</v>
      </c>
      <c r="B671">
        <v>2030</v>
      </c>
      <c r="C671">
        <v>97411.689227619994</v>
      </c>
    </row>
    <row r="672" spans="1:3" x14ac:dyDescent="0.35">
      <c r="A672" t="s">
        <v>25</v>
      </c>
      <c r="B672">
        <v>2031</v>
      </c>
      <c r="C672">
        <v>97485.876919577699</v>
      </c>
    </row>
    <row r="673" spans="1:3" x14ac:dyDescent="0.35">
      <c r="A673" t="s">
        <v>25</v>
      </c>
      <c r="B673">
        <v>2032</v>
      </c>
      <c r="C673">
        <v>97380.513797478663</v>
      </c>
    </row>
    <row r="674" spans="1:3" x14ac:dyDescent="0.35">
      <c r="A674" t="s">
        <v>25</v>
      </c>
      <c r="B674">
        <v>2033</v>
      </c>
      <c r="C674">
        <v>97275.150675379642</v>
      </c>
    </row>
    <row r="675" spans="1:3" x14ac:dyDescent="0.35">
      <c r="A675" t="s">
        <v>25</v>
      </c>
      <c r="B675">
        <v>2034</v>
      </c>
      <c r="C675">
        <v>97169.787553280592</v>
      </c>
    </row>
    <row r="676" spans="1:3" x14ac:dyDescent="0.35">
      <c r="A676" t="s">
        <v>25</v>
      </c>
      <c r="B676">
        <v>2035</v>
      </c>
      <c r="C676">
        <v>97064.424431181542</v>
      </c>
    </row>
    <row r="677" spans="1:3" x14ac:dyDescent="0.35">
      <c r="A677" t="s">
        <v>25</v>
      </c>
      <c r="B677">
        <v>2036</v>
      </c>
      <c r="C677">
        <v>96959.061309082521</v>
      </c>
    </row>
    <row r="678" spans="1:3" x14ac:dyDescent="0.35">
      <c r="A678" t="s">
        <v>25</v>
      </c>
      <c r="B678">
        <v>2037</v>
      </c>
      <c r="C678">
        <v>96853.698186983485</v>
      </c>
    </row>
    <row r="679" spans="1:3" x14ac:dyDescent="0.35">
      <c r="A679" t="s">
        <v>25</v>
      </c>
      <c r="B679">
        <v>2038</v>
      </c>
      <c r="C679">
        <v>96748.335064884464</v>
      </c>
    </row>
    <row r="680" spans="1:3" x14ac:dyDescent="0.35">
      <c r="A680" t="s">
        <v>25</v>
      </c>
      <c r="B680">
        <v>2039</v>
      </c>
      <c r="C680">
        <v>96642.971942785414</v>
      </c>
    </row>
    <row r="681" spans="1:3" x14ac:dyDescent="0.35">
      <c r="A681" t="s">
        <v>25</v>
      </c>
      <c r="B681">
        <v>2040</v>
      </c>
      <c r="C681">
        <v>96537.608820686379</v>
      </c>
    </row>
    <row r="682" spans="1:3" x14ac:dyDescent="0.35">
      <c r="A682" t="s">
        <v>25</v>
      </c>
      <c r="B682">
        <v>2041</v>
      </c>
      <c r="C682">
        <v>96432.245698587343</v>
      </c>
    </row>
    <row r="683" spans="1:3" x14ac:dyDescent="0.35">
      <c r="A683" t="s">
        <v>25</v>
      </c>
      <c r="B683">
        <v>2042</v>
      </c>
      <c r="C683">
        <v>96328.021345287372</v>
      </c>
    </row>
    <row r="684" spans="1:3" x14ac:dyDescent="0.35">
      <c r="A684" t="s">
        <v>25</v>
      </c>
      <c r="B684">
        <v>2043</v>
      </c>
      <c r="C684">
        <v>96223.796991987387</v>
      </c>
    </row>
    <row r="685" spans="1:3" x14ac:dyDescent="0.35">
      <c r="A685" t="s">
        <v>25</v>
      </c>
      <c r="B685">
        <v>2044</v>
      </c>
      <c r="C685">
        <v>96119.572638687401</v>
      </c>
    </row>
    <row r="686" spans="1:3" x14ac:dyDescent="0.35">
      <c r="A686" t="s">
        <v>25</v>
      </c>
      <c r="B686">
        <v>2045</v>
      </c>
      <c r="C686">
        <v>96015.34828538743</v>
      </c>
    </row>
    <row r="687" spans="1:3" x14ac:dyDescent="0.35">
      <c r="A687" t="s">
        <v>25</v>
      </c>
      <c r="B687">
        <v>2046</v>
      </c>
      <c r="C687">
        <v>95911.123932087459</v>
      </c>
    </row>
    <row r="688" spans="1:3" x14ac:dyDescent="0.35">
      <c r="A688" t="s">
        <v>25</v>
      </c>
      <c r="B688">
        <v>2047</v>
      </c>
      <c r="C688">
        <v>95806.899578787474</v>
      </c>
    </row>
    <row r="689" spans="1:3" x14ac:dyDescent="0.35">
      <c r="A689" t="s">
        <v>25</v>
      </c>
      <c r="B689">
        <v>2048</v>
      </c>
      <c r="C689">
        <v>95702.675225487503</v>
      </c>
    </row>
    <row r="690" spans="1:3" x14ac:dyDescent="0.35">
      <c r="A690" t="s">
        <v>25</v>
      </c>
      <c r="B690">
        <v>2049</v>
      </c>
      <c r="C690">
        <v>95598.450872187532</v>
      </c>
    </row>
    <row r="691" spans="1:3" x14ac:dyDescent="0.35">
      <c r="A691" t="s">
        <v>25</v>
      </c>
      <c r="B691">
        <v>2050</v>
      </c>
      <c r="C691">
        <v>95494.226518887561</v>
      </c>
    </row>
    <row r="692" spans="1:3" x14ac:dyDescent="0.35">
      <c r="A692" t="s">
        <v>26</v>
      </c>
      <c r="B692">
        <v>2021</v>
      </c>
      <c r="C692">
        <v>57171</v>
      </c>
    </row>
    <row r="693" spans="1:3" x14ac:dyDescent="0.35">
      <c r="A693" t="s">
        <v>26</v>
      </c>
      <c r="B693">
        <v>2022</v>
      </c>
      <c r="C693">
        <v>57560.161471483872</v>
      </c>
    </row>
    <row r="694" spans="1:3" x14ac:dyDescent="0.35">
      <c r="A694" t="s">
        <v>26</v>
      </c>
      <c r="B694">
        <v>2023</v>
      </c>
      <c r="C694">
        <v>57949.322942967752</v>
      </c>
    </row>
    <row r="695" spans="1:3" x14ac:dyDescent="0.35">
      <c r="A695" t="s">
        <v>26</v>
      </c>
      <c r="B695">
        <v>2024</v>
      </c>
      <c r="C695">
        <v>58338.484414451625</v>
      </c>
    </row>
    <row r="696" spans="1:3" x14ac:dyDescent="0.35">
      <c r="A696" t="s">
        <v>26</v>
      </c>
      <c r="B696">
        <v>2025</v>
      </c>
      <c r="C696">
        <v>58727.645885935519</v>
      </c>
    </row>
    <row r="697" spans="1:3" x14ac:dyDescent="0.35">
      <c r="A697" t="s">
        <v>26</v>
      </c>
      <c r="B697">
        <v>2026</v>
      </c>
      <c r="C697">
        <v>59116.807357419391</v>
      </c>
    </row>
    <row r="698" spans="1:3" x14ac:dyDescent="0.35">
      <c r="A698" t="s">
        <v>26</v>
      </c>
      <c r="B698">
        <v>2027</v>
      </c>
      <c r="C698">
        <v>59505.968828903271</v>
      </c>
    </row>
    <row r="699" spans="1:3" x14ac:dyDescent="0.35">
      <c r="A699" t="s">
        <v>26</v>
      </c>
      <c r="B699">
        <v>2028</v>
      </c>
      <c r="C699">
        <v>59895.130300387144</v>
      </c>
    </row>
    <row r="700" spans="1:3" x14ac:dyDescent="0.35">
      <c r="A700" t="s">
        <v>26</v>
      </c>
      <c r="B700">
        <v>2029</v>
      </c>
      <c r="C700">
        <v>60284.291771871023</v>
      </c>
    </row>
    <row r="701" spans="1:3" x14ac:dyDescent="0.35">
      <c r="A701" t="s">
        <v>26</v>
      </c>
      <c r="B701">
        <v>2030</v>
      </c>
      <c r="C701">
        <v>60673.453243354896</v>
      </c>
    </row>
    <row r="702" spans="1:3" x14ac:dyDescent="0.35">
      <c r="A702" t="s">
        <v>26</v>
      </c>
      <c r="B702">
        <v>2031</v>
      </c>
      <c r="C702">
        <v>61062.614714838746</v>
      </c>
    </row>
    <row r="703" spans="1:3" x14ac:dyDescent="0.35">
      <c r="A703" t="s">
        <v>26</v>
      </c>
      <c r="B703">
        <v>2032</v>
      </c>
      <c r="C703">
        <v>61358.681250829817</v>
      </c>
    </row>
    <row r="704" spans="1:3" x14ac:dyDescent="0.35">
      <c r="A704" t="s">
        <v>26</v>
      </c>
      <c r="B704">
        <v>2033</v>
      </c>
      <c r="C704">
        <v>61654.747786820903</v>
      </c>
    </row>
    <row r="705" spans="1:3" x14ac:dyDescent="0.35">
      <c r="A705" t="s">
        <v>26</v>
      </c>
      <c r="B705">
        <v>2034</v>
      </c>
      <c r="C705">
        <v>61950.814322811988</v>
      </c>
    </row>
    <row r="706" spans="1:3" x14ac:dyDescent="0.35">
      <c r="A706" t="s">
        <v>26</v>
      </c>
      <c r="B706">
        <v>2035</v>
      </c>
      <c r="C706">
        <v>62246.880858803059</v>
      </c>
    </row>
    <row r="707" spans="1:3" x14ac:dyDescent="0.35">
      <c r="A707" t="s">
        <v>26</v>
      </c>
      <c r="B707">
        <v>2036</v>
      </c>
      <c r="C707">
        <v>62542.947394794144</v>
      </c>
    </row>
    <row r="708" spans="1:3" x14ac:dyDescent="0.35">
      <c r="A708" t="s">
        <v>26</v>
      </c>
      <c r="B708">
        <v>2037</v>
      </c>
      <c r="C708">
        <v>62839.01393078523</v>
      </c>
    </row>
    <row r="709" spans="1:3" x14ac:dyDescent="0.35">
      <c r="A709" t="s">
        <v>26</v>
      </c>
      <c r="B709">
        <v>2038</v>
      </c>
      <c r="C709">
        <v>63135.080466776315</v>
      </c>
    </row>
    <row r="710" spans="1:3" x14ac:dyDescent="0.35">
      <c r="A710" t="s">
        <v>26</v>
      </c>
      <c r="B710">
        <v>2039</v>
      </c>
      <c r="C710">
        <v>63431.147002767386</v>
      </c>
    </row>
    <row r="711" spans="1:3" x14ac:dyDescent="0.35">
      <c r="A711" t="s">
        <v>26</v>
      </c>
      <c r="B711">
        <v>2040</v>
      </c>
      <c r="C711">
        <v>63727.213538758471</v>
      </c>
    </row>
    <row r="712" spans="1:3" x14ac:dyDescent="0.35">
      <c r="A712" t="s">
        <v>26</v>
      </c>
      <c r="B712">
        <v>2041</v>
      </c>
      <c r="C712">
        <v>64023.280074749528</v>
      </c>
    </row>
    <row r="713" spans="1:3" x14ac:dyDescent="0.35">
      <c r="A713" t="s">
        <v>26</v>
      </c>
      <c r="B713">
        <v>2042</v>
      </c>
      <c r="C713">
        <v>64333.701612429148</v>
      </c>
    </row>
    <row r="714" spans="1:3" x14ac:dyDescent="0.35">
      <c r="A714" t="s">
        <v>26</v>
      </c>
      <c r="B714">
        <v>2043</v>
      </c>
      <c r="C714">
        <v>64644.12315010876</v>
      </c>
    </row>
    <row r="715" spans="1:3" x14ac:dyDescent="0.35">
      <c r="A715" t="s">
        <v>26</v>
      </c>
      <c r="B715">
        <v>2044</v>
      </c>
      <c r="C715">
        <v>64954.544687788359</v>
      </c>
    </row>
    <row r="716" spans="1:3" x14ac:dyDescent="0.35">
      <c r="A716" t="s">
        <v>26</v>
      </c>
      <c r="B716">
        <v>2045</v>
      </c>
      <c r="C716">
        <v>65264.966225467972</v>
      </c>
    </row>
    <row r="717" spans="1:3" x14ac:dyDescent="0.35">
      <c r="A717" t="s">
        <v>26</v>
      </c>
      <c r="B717">
        <v>2046</v>
      </c>
      <c r="C717">
        <v>65575.387763147592</v>
      </c>
    </row>
    <row r="718" spans="1:3" x14ac:dyDescent="0.35">
      <c r="A718" t="s">
        <v>26</v>
      </c>
      <c r="B718">
        <v>2047</v>
      </c>
      <c r="C718">
        <v>65885.809300827183</v>
      </c>
    </row>
    <row r="719" spans="1:3" x14ac:dyDescent="0.35">
      <c r="A719" t="s">
        <v>26</v>
      </c>
      <c r="B719">
        <v>2048</v>
      </c>
      <c r="C719">
        <v>66196.230838506803</v>
      </c>
    </row>
    <row r="720" spans="1:3" x14ac:dyDescent="0.35">
      <c r="A720" t="s">
        <v>26</v>
      </c>
      <c r="B720">
        <v>2049</v>
      </c>
      <c r="C720">
        <v>66506.652376186408</v>
      </c>
    </row>
    <row r="721" spans="1:3" x14ac:dyDescent="0.35">
      <c r="A721" t="s">
        <v>26</v>
      </c>
      <c r="B721">
        <v>2050</v>
      </c>
      <c r="C721">
        <v>66817.073913866014</v>
      </c>
    </row>
    <row r="722" spans="1:3" x14ac:dyDescent="0.35">
      <c r="A722" t="s">
        <v>27</v>
      </c>
      <c r="B722">
        <v>2021</v>
      </c>
      <c r="C722">
        <v>40853</v>
      </c>
    </row>
    <row r="723" spans="1:3" x14ac:dyDescent="0.35">
      <c r="A723" t="s">
        <v>27</v>
      </c>
      <c r="B723">
        <v>2022</v>
      </c>
      <c r="C723">
        <v>40871.393970241188</v>
      </c>
    </row>
    <row r="724" spans="1:3" x14ac:dyDescent="0.35">
      <c r="A724" t="s">
        <v>27</v>
      </c>
      <c r="B724">
        <v>2023</v>
      </c>
      <c r="C724">
        <v>40889.787940482369</v>
      </c>
    </row>
    <row r="725" spans="1:3" x14ac:dyDescent="0.35">
      <c r="A725" t="s">
        <v>27</v>
      </c>
      <c r="B725">
        <v>2024</v>
      </c>
      <c r="C725">
        <v>40908.181910723557</v>
      </c>
    </row>
    <row r="726" spans="1:3" x14ac:dyDescent="0.35">
      <c r="A726" t="s">
        <v>27</v>
      </c>
      <c r="B726">
        <v>2025</v>
      </c>
      <c r="C726">
        <v>40926.57588096473</v>
      </c>
    </row>
    <row r="727" spans="1:3" x14ac:dyDescent="0.35">
      <c r="A727" t="s">
        <v>27</v>
      </c>
      <c r="B727">
        <v>2026</v>
      </c>
      <c r="C727">
        <v>40944.969851205919</v>
      </c>
    </row>
    <row r="728" spans="1:3" x14ac:dyDescent="0.35">
      <c r="A728" t="s">
        <v>27</v>
      </c>
      <c r="B728">
        <v>2027</v>
      </c>
      <c r="C728">
        <v>40963.363821447099</v>
      </c>
    </row>
    <row r="729" spans="1:3" x14ac:dyDescent="0.35">
      <c r="A729" t="s">
        <v>27</v>
      </c>
      <c r="B729">
        <v>2028</v>
      </c>
      <c r="C729">
        <v>40981.757791688287</v>
      </c>
    </row>
    <row r="730" spans="1:3" x14ac:dyDescent="0.35">
      <c r="A730" t="s">
        <v>27</v>
      </c>
      <c r="B730">
        <v>2029</v>
      </c>
      <c r="C730">
        <v>41000.151761929468</v>
      </c>
    </row>
    <row r="731" spans="1:3" x14ac:dyDescent="0.35">
      <c r="A731" t="s">
        <v>27</v>
      </c>
      <c r="B731">
        <v>2030</v>
      </c>
      <c r="C731">
        <v>41018.545732170656</v>
      </c>
    </row>
    <row r="732" spans="1:3" x14ac:dyDescent="0.35">
      <c r="A732" t="s">
        <v>27</v>
      </c>
      <c r="B732">
        <v>2031</v>
      </c>
      <c r="C732">
        <v>41036.939702411859</v>
      </c>
    </row>
    <row r="733" spans="1:3" x14ac:dyDescent="0.35">
      <c r="A733" t="s">
        <v>27</v>
      </c>
      <c r="B733">
        <v>2032</v>
      </c>
      <c r="C733">
        <v>40979.832838839306</v>
      </c>
    </row>
    <row r="734" spans="1:3" x14ac:dyDescent="0.35">
      <c r="A734" t="s">
        <v>27</v>
      </c>
      <c r="B734">
        <v>2033</v>
      </c>
      <c r="C734">
        <v>40922.725975266745</v>
      </c>
    </row>
    <row r="735" spans="1:3" x14ac:dyDescent="0.35">
      <c r="A735" t="s">
        <v>27</v>
      </c>
      <c r="B735">
        <v>2034</v>
      </c>
      <c r="C735">
        <v>40865.619111694192</v>
      </c>
    </row>
    <row r="736" spans="1:3" x14ac:dyDescent="0.35">
      <c r="A736" t="s">
        <v>27</v>
      </c>
      <c r="B736">
        <v>2035</v>
      </c>
      <c r="C736">
        <v>40808.512248121639</v>
      </c>
    </row>
    <row r="737" spans="1:3" x14ac:dyDescent="0.35">
      <c r="A737" t="s">
        <v>27</v>
      </c>
      <c r="B737">
        <v>2036</v>
      </c>
      <c r="C737">
        <v>40751.405384549085</v>
      </c>
    </row>
    <row r="738" spans="1:3" x14ac:dyDescent="0.35">
      <c r="A738" t="s">
        <v>27</v>
      </c>
      <c r="B738">
        <v>2037</v>
      </c>
      <c r="C738">
        <v>40694.298520976525</v>
      </c>
    </row>
    <row r="739" spans="1:3" x14ac:dyDescent="0.35">
      <c r="A739" t="s">
        <v>27</v>
      </c>
      <c r="B739">
        <v>2038</v>
      </c>
      <c r="C739">
        <v>40637.191657403971</v>
      </c>
    </row>
    <row r="740" spans="1:3" x14ac:dyDescent="0.35">
      <c r="A740" t="s">
        <v>27</v>
      </c>
      <c r="B740">
        <v>2039</v>
      </c>
      <c r="C740">
        <v>40580.084793831411</v>
      </c>
    </row>
    <row r="741" spans="1:3" x14ac:dyDescent="0.35">
      <c r="A741" t="s">
        <v>27</v>
      </c>
      <c r="B741">
        <v>2040</v>
      </c>
      <c r="C741">
        <v>40522.977930258858</v>
      </c>
    </row>
    <row r="742" spans="1:3" x14ac:dyDescent="0.35">
      <c r="A742" t="s">
        <v>27</v>
      </c>
      <c r="B742">
        <v>2041</v>
      </c>
      <c r="C742">
        <v>40465.871066686312</v>
      </c>
    </row>
    <row r="743" spans="1:3" x14ac:dyDescent="0.35">
      <c r="A743" t="s">
        <v>27</v>
      </c>
      <c r="B743">
        <v>2042</v>
      </c>
      <c r="C743">
        <v>40409.558900255106</v>
      </c>
    </row>
    <row r="744" spans="1:3" x14ac:dyDescent="0.35">
      <c r="A744" t="s">
        <v>27</v>
      </c>
      <c r="B744">
        <v>2043</v>
      </c>
      <c r="C744">
        <v>40353.246733823893</v>
      </c>
    </row>
    <row r="745" spans="1:3" x14ac:dyDescent="0.35">
      <c r="A745" t="s">
        <v>27</v>
      </c>
      <c r="B745">
        <v>2044</v>
      </c>
      <c r="C745">
        <v>40296.93456739268</v>
      </c>
    </row>
    <row r="746" spans="1:3" x14ac:dyDescent="0.35">
      <c r="A746" t="s">
        <v>27</v>
      </c>
      <c r="B746">
        <v>2045</v>
      </c>
      <c r="C746">
        <v>40240.622400961467</v>
      </c>
    </row>
    <row r="747" spans="1:3" x14ac:dyDescent="0.35">
      <c r="A747" t="s">
        <v>27</v>
      </c>
      <c r="B747">
        <v>2046</v>
      </c>
      <c r="C747">
        <v>40184.310234530261</v>
      </c>
    </row>
    <row r="748" spans="1:3" x14ac:dyDescent="0.35">
      <c r="A748" t="s">
        <v>27</v>
      </c>
      <c r="B748">
        <v>2047</v>
      </c>
      <c r="C748">
        <v>40127.998068099048</v>
      </c>
    </row>
    <row r="749" spans="1:3" x14ac:dyDescent="0.35">
      <c r="A749" t="s">
        <v>27</v>
      </c>
      <c r="B749">
        <v>2048</v>
      </c>
      <c r="C749">
        <v>40071.685901667835</v>
      </c>
    </row>
    <row r="750" spans="1:3" x14ac:dyDescent="0.35">
      <c r="A750" t="s">
        <v>27</v>
      </c>
      <c r="B750">
        <v>2049</v>
      </c>
      <c r="C750">
        <v>40015.373735236622</v>
      </c>
    </row>
    <row r="751" spans="1:3" x14ac:dyDescent="0.35">
      <c r="A751" t="s">
        <v>27</v>
      </c>
      <c r="B751">
        <v>2050</v>
      </c>
      <c r="C751">
        <v>39959.061568805417</v>
      </c>
    </row>
    <row r="752" spans="1:3" x14ac:dyDescent="0.35">
      <c r="A752" t="s">
        <v>28</v>
      </c>
      <c r="B752">
        <v>2021</v>
      </c>
      <c r="C752">
        <v>79791</v>
      </c>
    </row>
    <row r="753" spans="1:3" x14ac:dyDescent="0.35">
      <c r="A753" t="s">
        <v>28</v>
      </c>
      <c r="B753">
        <v>2022</v>
      </c>
      <c r="C753">
        <v>79993.867849715767</v>
      </c>
    </row>
    <row r="754" spans="1:3" x14ac:dyDescent="0.35">
      <c r="A754" t="s">
        <v>28</v>
      </c>
      <c r="B754">
        <v>2023</v>
      </c>
      <c r="C754">
        <v>80196.73569943152</v>
      </c>
    </row>
    <row r="755" spans="1:3" x14ac:dyDescent="0.35">
      <c r="A755" t="s">
        <v>28</v>
      </c>
      <c r="B755">
        <v>2024</v>
      </c>
      <c r="C755">
        <v>80399.603549147258</v>
      </c>
    </row>
    <row r="756" spans="1:3" x14ac:dyDescent="0.35">
      <c r="A756" t="s">
        <v>28</v>
      </c>
      <c r="B756">
        <v>2025</v>
      </c>
      <c r="C756">
        <v>80602.471398863025</v>
      </c>
    </row>
    <row r="757" spans="1:3" x14ac:dyDescent="0.35">
      <c r="A757" t="s">
        <v>28</v>
      </c>
      <c r="B757">
        <v>2026</v>
      </c>
      <c r="C757">
        <v>80805.339248578763</v>
      </c>
    </row>
    <row r="758" spans="1:3" x14ac:dyDescent="0.35">
      <c r="A758" t="s">
        <v>28</v>
      </c>
      <c r="B758">
        <v>2027</v>
      </c>
      <c r="C758">
        <v>81008.20709829453</v>
      </c>
    </row>
    <row r="759" spans="1:3" x14ac:dyDescent="0.35">
      <c r="A759" t="s">
        <v>28</v>
      </c>
      <c r="B759">
        <v>2028</v>
      </c>
      <c r="C759">
        <v>81211.074948010268</v>
      </c>
    </row>
    <row r="760" spans="1:3" x14ac:dyDescent="0.35">
      <c r="A760" t="s">
        <v>28</v>
      </c>
      <c r="B760">
        <v>2029</v>
      </c>
      <c r="C760">
        <v>81413.942797726035</v>
      </c>
    </row>
    <row r="761" spans="1:3" x14ac:dyDescent="0.35">
      <c r="A761" t="s">
        <v>28</v>
      </c>
      <c r="B761">
        <v>2030</v>
      </c>
      <c r="C761">
        <v>81616.810647441773</v>
      </c>
    </row>
    <row r="762" spans="1:3" x14ac:dyDescent="0.35">
      <c r="A762" t="s">
        <v>28</v>
      </c>
      <c r="B762">
        <v>2031</v>
      </c>
      <c r="C762">
        <v>81819.678497157583</v>
      </c>
    </row>
    <row r="763" spans="1:3" x14ac:dyDescent="0.35">
      <c r="A763" t="s">
        <v>28</v>
      </c>
      <c r="B763">
        <v>2032</v>
      </c>
      <c r="C763">
        <v>81873.86627808756</v>
      </c>
    </row>
    <row r="764" spans="1:3" x14ac:dyDescent="0.35">
      <c r="A764" t="s">
        <v>28</v>
      </c>
      <c r="B764">
        <v>2033</v>
      </c>
      <c r="C764">
        <v>81928.054059017493</v>
      </c>
    </row>
    <row r="765" spans="1:3" x14ac:dyDescent="0.35">
      <c r="A765" t="s">
        <v>28</v>
      </c>
      <c r="B765">
        <v>2034</v>
      </c>
      <c r="C765">
        <v>81982.24183994747</v>
      </c>
    </row>
    <row r="766" spans="1:3" x14ac:dyDescent="0.35">
      <c r="A766" t="s">
        <v>28</v>
      </c>
      <c r="B766">
        <v>2035</v>
      </c>
      <c r="C766">
        <v>82036.429620877432</v>
      </c>
    </row>
    <row r="767" spans="1:3" x14ac:dyDescent="0.35">
      <c r="A767" t="s">
        <v>28</v>
      </c>
      <c r="B767">
        <v>2036</v>
      </c>
      <c r="C767">
        <v>82090.617401807394</v>
      </c>
    </row>
    <row r="768" spans="1:3" x14ac:dyDescent="0.35">
      <c r="A768" t="s">
        <v>28</v>
      </c>
      <c r="B768">
        <v>2037</v>
      </c>
      <c r="C768">
        <v>82144.805182737357</v>
      </c>
    </row>
    <row r="769" spans="1:3" x14ac:dyDescent="0.35">
      <c r="A769" t="s">
        <v>28</v>
      </c>
      <c r="B769">
        <v>2038</v>
      </c>
      <c r="C769">
        <v>82198.992963667319</v>
      </c>
    </row>
    <row r="770" spans="1:3" x14ac:dyDescent="0.35">
      <c r="A770" t="s">
        <v>28</v>
      </c>
      <c r="B770">
        <v>2039</v>
      </c>
      <c r="C770">
        <v>82253.180744597281</v>
      </c>
    </row>
    <row r="771" spans="1:3" x14ac:dyDescent="0.35">
      <c r="A771" t="s">
        <v>28</v>
      </c>
      <c r="B771">
        <v>2040</v>
      </c>
      <c r="C771">
        <v>82307.368525527243</v>
      </c>
    </row>
    <row r="772" spans="1:3" x14ac:dyDescent="0.35">
      <c r="A772" t="s">
        <v>28</v>
      </c>
      <c r="B772">
        <v>2041</v>
      </c>
      <c r="C772">
        <v>82361.556306457176</v>
      </c>
    </row>
    <row r="773" spans="1:3" x14ac:dyDescent="0.35">
      <c r="A773" t="s">
        <v>28</v>
      </c>
      <c r="B773">
        <v>2042</v>
      </c>
      <c r="C773">
        <v>82416.102963840312</v>
      </c>
    </row>
    <row r="774" spans="1:3" x14ac:dyDescent="0.35">
      <c r="A774" t="s">
        <v>28</v>
      </c>
      <c r="B774">
        <v>2043</v>
      </c>
      <c r="C774">
        <v>82470.649621223478</v>
      </c>
    </row>
    <row r="775" spans="1:3" x14ac:dyDescent="0.35">
      <c r="A775" t="s">
        <v>28</v>
      </c>
      <c r="B775">
        <v>2044</v>
      </c>
      <c r="C775">
        <v>82525.196278606643</v>
      </c>
    </row>
    <row r="776" spans="1:3" x14ac:dyDescent="0.35">
      <c r="A776" t="s">
        <v>28</v>
      </c>
      <c r="B776">
        <v>2045</v>
      </c>
      <c r="C776">
        <v>82579.74293598978</v>
      </c>
    </row>
    <row r="777" spans="1:3" x14ac:dyDescent="0.35">
      <c r="A777" t="s">
        <v>28</v>
      </c>
      <c r="B777">
        <v>2046</v>
      </c>
      <c r="C777">
        <v>82634.289593372945</v>
      </c>
    </row>
    <row r="778" spans="1:3" x14ac:dyDescent="0.35">
      <c r="A778" t="s">
        <v>28</v>
      </c>
      <c r="B778">
        <v>2047</v>
      </c>
      <c r="C778">
        <v>82688.836250756081</v>
      </c>
    </row>
    <row r="779" spans="1:3" x14ac:dyDescent="0.35">
      <c r="A779" t="s">
        <v>28</v>
      </c>
      <c r="B779">
        <v>2048</v>
      </c>
      <c r="C779">
        <v>82743.382908139247</v>
      </c>
    </row>
    <row r="780" spans="1:3" x14ac:dyDescent="0.35">
      <c r="A780" t="s">
        <v>28</v>
      </c>
      <c r="B780">
        <v>2049</v>
      </c>
      <c r="C780">
        <v>82797.929565522412</v>
      </c>
    </row>
    <row r="781" spans="1:3" x14ac:dyDescent="0.35">
      <c r="A781" t="s">
        <v>28</v>
      </c>
      <c r="B781">
        <v>2050</v>
      </c>
      <c r="C781">
        <v>82852.476222905563</v>
      </c>
    </row>
    <row r="782" spans="1:3" x14ac:dyDescent="0.35">
      <c r="A782" t="s">
        <v>29</v>
      </c>
      <c r="B782">
        <v>2021</v>
      </c>
      <c r="C782">
        <v>13482</v>
      </c>
    </row>
    <row r="783" spans="1:3" x14ac:dyDescent="0.35">
      <c r="A783" t="s">
        <v>29</v>
      </c>
      <c r="B783">
        <v>2022</v>
      </c>
      <c r="C783">
        <v>13593.303306251704</v>
      </c>
    </row>
    <row r="784" spans="1:3" x14ac:dyDescent="0.35">
      <c r="A784" t="s">
        <v>29</v>
      </c>
      <c r="B784">
        <v>2023</v>
      </c>
      <c r="C784">
        <v>13704.60661250341</v>
      </c>
    </row>
    <row r="785" spans="1:3" x14ac:dyDescent="0.35">
      <c r="A785" t="s">
        <v>29</v>
      </c>
      <c r="B785">
        <v>2024</v>
      </c>
      <c r="C785">
        <v>13815.909918755115</v>
      </c>
    </row>
    <row r="786" spans="1:3" x14ac:dyDescent="0.35">
      <c r="A786" t="s">
        <v>29</v>
      </c>
      <c r="B786">
        <v>2025</v>
      </c>
      <c r="C786">
        <v>13927.213225006823</v>
      </c>
    </row>
    <row r="787" spans="1:3" x14ac:dyDescent="0.35">
      <c r="A787" t="s">
        <v>29</v>
      </c>
      <c r="B787">
        <v>2026</v>
      </c>
      <c r="C787">
        <v>14038.516531258527</v>
      </c>
    </row>
    <row r="788" spans="1:3" x14ac:dyDescent="0.35">
      <c r="A788" t="s">
        <v>29</v>
      </c>
      <c r="B788">
        <v>2027</v>
      </c>
      <c r="C788">
        <v>14149.819837510229</v>
      </c>
    </row>
    <row r="789" spans="1:3" x14ac:dyDescent="0.35">
      <c r="A789" t="s">
        <v>29</v>
      </c>
      <c r="B789">
        <v>2028</v>
      </c>
      <c r="C789">
        <v>14261.123143761937</v>
      </c>
    </row>
    <row r="790" spans="1:3" x14ac:dyDescent="0.35">
      <c r="A790" t="s">
        <v>29</v>
      </c>
      <c r="B790">
        <v>2029</v>
      </c>
      <c r="C790">
        <v>14372.426450013641</v>
      </c>
    </row>
    <row r="791" spans="1:3" x14ac:dyDescent="0.35">
      <c r="A791" t="s">
        <v>29</v>
      </c>
      <c r="B791">
        <v>2030</v>
      </c>
      <c r="C791">
        <v>14483.729756265348</v>
      </c>
    </row>
    <row r="792" spans="1:3" x14ac:dyDescent="0.35">
      <c r="A792" t="s">
        <v>29</v>
      </c>
      <c r="B792">
        <v>2031</v>
      </c>
      <c r="C792">
        <v>14595.033062517048</v>
      </c>
    </row>
    <row r="793" spans="1:3" x14ac:dyDescent="0.35">
      <c r="A793" t="s">
        <v>29</v>
      </c>
      <c r="B793">
        <v>2032</v>
      </c>
      <c r="C793">
        <v>14686.554615824904</v>
      </c>
    </row>
    <row r="794" spans="1:3" x14ac:dyDescent="0.35">
      <c r="A794" t="s">
        <v>29</v>
      </c>
      <c r="B794">
        <v>2033</v>
      </c>
      <c r="C794">
        <v>14778.076169132757</v>
      </c>
    </row>
    <row r="795" spans="1:3" x14ac:dyDescent="0.35">
      <c r="A795" t="s">
        <v>29</v>
      </c>
      <c r="B795">
        <v>2034</v>
      </c>
      <c r="C795">
        <v>14869.597722440611</v>
      </c>
    </row>
    <row r="796" spans="1:3" x14ac:dyDescent="0.35">
      <c r="A796" t="s">
        <v>29</v>
      </c>
      <c r="B796">
        <v>2035</v>
      </c>
      <c r="C796">
        <v>14961.119275748464</v>
      </c>
    </row>
    <row r="797" spans="1:3" x14ac:dyDescent="0.35">
      <c r="A797" t="s">
        <v>29</v>
      </c>
      <c r="B797">
        <v>2036</v>
      </c>
      <c r="C797">
        <v>15052.640829056318</v>
      </c>
    </row>
    <row r="798" spans="1:3" x14ac:dyDescent="0.35">
      <c r="A798" t="s">
        <v>29</v>
      </c>
      <c r="B798">
        <v>2037</v>
      </c>
      <c r="C798">
        <v>15144.162382364171</v>
      </c>
    </row>
    <row r="799" spans="1:3" x14ac:dyDescent="0.35">
      <c r="A799" t="s">
        <v>29</v>
      </c>
      <c r="B799">
        <v>2038</v>
      </c>
      <c r="C799">
        <v>15235.683935672025</v>
      </c>
    </row>
    <row r="800" spans="1:3" x14ac:dyDescent="0.35">
      <c r="A800" t="s">
        <v>29</v>
      </c>
      <c r="B800">
        <v>2039</v>
      </c>
      <c r="C800">
        <v>15327.205488979878</v>
      </c>
    </row>
    <row r="801" spans="1:3" x14ac:dyDescent="0.35">
      <c r="A801" t="s">
        <v>29</v>
      </c>
      <c r="B801">
        <v>2040</v>
      </c>
      <c r="C801">
        <v>15418.727042287735</v>
      </c>
    </row>
    <row r="802" spans="1:3" x14ac:dyDescent="0.35">
      <c r="A802" t="s">
        <v>29</v>
      </c>
      <c r="B802">
        <v>2041</v>
      </c>
      <c r="C802">
        <v>15510.248595595594</v>
      </c>
    </row>
    <row r="803" spans="1:3" x14ac:dyDescent="0.35">
      <c r="A803" t="s">
        <v>29</v>
      </c>
      <c r="B803">
        <v>2042</v>
      </c>
      <c r="C803">
        <v>15607.509221013805</v>
      </c>
    </row>
    <row r="804" spans="1:3" x14ac:dyDescent="0.35">
      <c r="A804" t="s">
        <v>29</v>
      </c>
      <c r="B804">
        <v>2043</v>
      </c>
      <c r="C804">
        <v>15704.769846432018</v>
      </c>
    </row>
    <row r="805" spans="1:3" x14ac:dyDescent="0.35">
      <c r="A805" t="s">
        <v>29</v>
      </c>
      <c r="B805">
        <v>2044</v>
      </c>
      <c r="C805">
        <v>15802.030471850228</v>
      </c>
    </row>
    <row r="806" spans="1:3" x14ac:dyDescent="0.35">
      <c r="A806" t="s">
        <v>29</v>
      </c>
      <c r="B806">
        <v>2045</v>
      </c>
      <c r="C806">
        <v>15899.291097268442</v>
      </c>
    </row>
    <row r="807" spans="1:3" x14ac:dyDescent="0.35">
      <c r="A807" t="s">
        <v>29</v>
      </c>
      <c r="B807">
        <v>2046</v>
      </c>
      <c r="C807">
        <v>15996.551722686654</v>
      </c>
    </row>
    <row r="808" spans="1:3" x14ac:dyDescent="0.35">
      <c r="A808" t="s">
        <v>29</v>
      </c>
      <c r="B808">
        <v>2047</v>
      </c>
      <c r="C808">
        <v>16093.812348104868</v>
      </c>
    </row>
    <row r="809" spans="1:3" x14ac:dyDescent="0.35">
      <c r="A809" t="s">
        <v>29</v>
      </c>
      <c r="B809">
        <v>2048</v>
      </c>
      <c r="C809">
        <v>16191.072973523078</v>
      </c>
    </row>
    <row r="810" spans="1:3" x14ac:dyDescent="0.35">
      <c r="A810" t="s">
        <v>29</v>
      </c>
      <c r="B810">
        <v>2049</v>
      </c>
      <c r="C810">
        <v>16288.333598941292</v>
      </c>
    </row>
    <row r="811" spans="1:3" x14ac:dyDescent="0.35">
      <c r="A811" t="s">
        <v>29</v>
      </c>
      <c r="B811">
        <v>2050</v>
      </c>
      <c r="C811">
        <v>16385.594224359502</v>
      </c>
    </row>
    <row r="812" spans="1:3" x14ac:dyDescent="0.35">
      <c r="A812" t="s">
        <v>30</v>
      </c>
      <c r="B812">
        <v>2021</v>
      </c>
      <c r="C812">
        <v>21210</v>
      </c>
    </row>
    <row r="813" spans="1:3" x14ac:dyDescent="0.35">
      <c r="A813" t="s">
        <v>30</v>
      </c>
      <c r="B813">
        <v>2022</v>
      </c>
      <c r="C813">
        <v>21354.116640409735</v>
      </c>
    </row>
    <row r="814" spans="1:3" x14ac:dyDescent="0.35">
      <c r="A814" t="s">
        <v>30</v>
      </c>
      <c r="B814">
        <v>2023</v>
      </c>
      <c r="C814">
        <v>21498.233280819466</v>
      </c>
    </row>
    <row r="815" spans="1:3" x14ac:dyDescent="0.35">
      <c r="A815" t="s">
        <v>30</v>
      </c>
      <c r="B815">
        <v>2024</v>
      </c>
      <c r="C815">
        <v>21642.349921229201</v>
      </c>
    </row>
    <row r="816" spans="1:3" x14ac:dyDescent="0.35">
      <c r="A816" t="s">
        <v>30</v>
      </c>
      <c r="B816">
        <v>2025</v>
      </c>
      <c r="C816">
        <v>21786.466561638939</v>
      </c>
    </row>
    <row r="817" spans="1:3" x14ac:dyDescent="0.35">
      <c r="A817" t="s">
        <v>30</v>
      </c>
      <c r="B817">
        <v>2026</v>
      </c>
      <c r="C817">
        <v>21930.583202048671</v>
      </c>
    </row>
    <row r="818" spans="1:3" x14ac:dyDescent="0.35">
      <c r="A818" t="s">
        <v>30</v>
      </c>
      <c r="B818">
        <v>2027</v>
      </c>
      <c r="C818">
        <v>22074.699842458405</v>
      </c>
    </row>
    <row r="819" spans="1:3" x14ac:dyDescent="0.35">
      <c r="A819" t="s">
        <v>30</v>
      </c>
      <c r="B819">
        <v>2028</v>
      </c>
      <c r="C819">
        <v>22218.81648286814</v>
      </c>
    </row>
    <row r="820" spans="1:3" x14ac:dyDescent="0.35">
      <c r="A820" t="s">
        <v>30</v>
      </c>
      <c r="B820">
        <v>2029</v>
      </c>
      <c r="C820">
        <v>22362.933123277871</v>
      </c>
    </row>
    <row r="821" spans="1:3" x14ac:dyDescent="0.35">
      <c r="A821" t="s">
        <v>30</v>
      </c>
      <c r="B821">
        <v>2030</v>
      </c>
      <c r="C821">
        <v>22507.049763687606</v>
      </c>
    </row>
    <row r="822" spans="1:3" x14ac:dyDescent="0.35">
      <c r="A822" t="s">
        <v>30</v>
      </c>
      <c r="B822">
        <v>2031</v>
      </c>
      <c r="C822">
        <v>22651.166404097337</v>
      </c>
    </row>
    <row r="823" spans="1:3" x14ac:dyDescent="0.35">
      <c r="A823" t="s">
        <v>30</v>
      </c>
      <c r="B823">
        <v>2032</v>
      </c>
      <c r="C823">
        <v>22760.720431483634</v>
      </c>
    </row>
    <row r="824" spans="1:3" x14ac:dyDescent="0.35">
      <c r="A824" t="s">
        <v>30</v>
      </c>
      <c r="B824">
        <v>2033</v>
      </c>
      <c r="C824">
        <v>22870.274458869928</v>
      </c>
    </row>
    <row r="825" spans="1:3" x14ac:dyDescent="0.35">
      <c r="A825" t="s">
        <v>30</v>
      </c>
      <c r="B825">
        <v>2034</v>
      </c>
      <c r="C825">
        <v>22979.828486256225</v>
      </c>
    </row>
    <row r="826" spans="1:3" x14ac:dyDescent="0.35">
      <c r="A826" t="s">
        <v>30</v>
      </c>
      <c r="B826">
        <v>2035</v>
      </c>
      <c r="C826">
        <v>23089.382513642522</v>
      </c>
    </row>
    <row r="827" spans="1:3" x14ac:dyDescent="0.35">
      <c r="A827" t="s">
        <v>30</v>
      </c>
      <c r="B827">
        <v>2036</v>
      </c>
      <c r="C827">
        <v>23198.936541028812</v>
      </c>
    </row>
    <row r="828" spans="1:3" x14ac:dyDescent="0.35">
      <c r="A828" t="s">
        <v>30</v>
      </c>
      <c r="B828">
        <v>2037</v>
      </c>
      <c r="C828">
        <v>23308.490568415113</v>
      </c>
    </row>
    <row r="829" spans="1:3" x14ac:dyDescent="0.35">
      <c r="A829" t="s">
        <v>30</v>
      </c>
      <c r="B829">
        <v>2038</v>
      </c>
      <c r="C829">
        <v>23418.044595801402</v>
      </c>
    </row>
    <row r="830" spans="1:3" x14ac:dyDescent="0.35">
      <c r="A830" t="s">
        <v>30</v>
      </c>
      <c r="B830">
        <v>2039</v>
      </c>
      <c r="C830">
        <v>23527.5986231877</v>
      </c>
    </row>
    <row r="831" spans="1:3" x14ac:dyDescent="0.35">
      <c r="A831" t="s">
        <v>30</v>
      </c>
      <c r="B831">
        <v>2040</v>
      </c>
      <c r="C831">
        <v>23637.152650573993</v>
      </c>
    </row>
    <row r="832" spans="1:3" x14ac:dyDescent="0.35">
      <c r="A832" t="s">
        <v>30</v>
      </c>
      <c r="B832">
        <v>2041</v>
      </c>
      <c r="C832">
        <v>23746.706677960305</v>
      </c>
    </row>
    <row r="833" spans="1:3" x14ac:dyDescent="0.35">
      <c r="A833" t="s">
        <v>30</v>
      </c>
      <c r="B833">
        <v>2042</v>
      </c>
      <c r="C833">
        <v>23861.559366220146</v>
      </c>
    </row>
    <row r="834" spans="1:3" x14ac:dyDescent="0.35">
      <c r="A834" t="s">
        <v>30</v>
      </c>
      <c r="B834">
        <v>2043</v>
      </c>
      <c r="C834">
        <v>23976.412054479988</v>
      </c>
    </row>
    <row r="835" spans="1:3" x14ac:dyDescent="0.35">
      <c r="A835" t="s">
        <v>30</v>
      </c>
      <c r="B835">
        <v>2044</v>
      </c>
      <c r="C835">
        <v>24091.264742739837</v>
      </c>
    </row>
    <row r="836" spans="1:3" x14ac:dyDescent="0.35">
      <c r="A836" t="s">
        <v>30</v>
      </c>
      <c r="B836">
        <v>2045</v>
      </c>
      <c r="C836">
        <v>24206.117430999679</v>
      </c>
    </row>
    <row r="837" spans="1:3" x14ac:dyDescent="0.35">
      <c r="A837" t="s">
        <v>30</v>
      </c>
      <c r="B837">
        <v>2046</v>
      </c>
      <c r="C837">
        <v>24320.97011925952</v>
      </c>
    </row>
    <row r="838" spans="1:3" x14ac:dyDescent="0.35">
      <c r="A838" t="s">
        <v>30</v>
      </c>
      <c r="B838">
        <v>2047</v>
      </c>
      <c r="C838">
        <v>24435.822807519366</v>
      </c>
    </row>
    <row r="839" spans="1:3" x14ac:dyDescent="0.35">
      <c r="A839" t="s">
        <v>30</v>
      </c>
      <c r="B839">
        <v>2048</v>
      </c>
      <c r="C839">
        <v>24550.675495779207</v>
      </c>
    </row>
    <row r="840" spans="1:3" x14ac:dyDescent="0.35">
      <c r="A840" t="s">
        <v>30</v>
      </c>
      <c r="B840">
        <v>2049</v>
      </c>
      <c r="C840">
        <v>24665.528184039049</v>
      </c>
    </row>
    <row r="841" spans="1:3" x14ac:dyDescent="0.35">
      <c r="A841" t="s">
        <v>30</v>
      </c>
      <c r="B841">
        <v>2050</v>
      </c>
      <c r="C841">
        <v>24780.380872298898</v>
      </c>
    </row>
    <row r="842" spans="1:3" x14ac:dyDescent="0.35">
      <c r="A842" t="s">
        <v>31</v>
      </c>
      <c r="B842">
        <v>2021</v>
      </c>
      <c r="C842">
        <v>27077</v>
      </c>
    </row>
    <row r="843" spans="1:3" x14ac:dyDescent="0.35">
      <c r="A843" t="s">
        <v>31</v>
      </c>
      <c r="B843">
        <v>2022</v>
      </c>
      <c r="C843">
        <v>27486.530041605827</v>
      </c>
    </row>
    <row r="844" spans="1:3" x14ac:dyDescent="0.35">
      <c r="A844" t="s">
        <v>31</v>
      </c>
      <c r="B844">
        <v>2023</v>
      </c>
      <c r="C844">
        <v>27896.060083211662</v>
      </c>
    </row>
    <row r="845" spans="1:3" x14ac:dyDescent="0.35">
      <c r="A845" t="s">
        <v>31</v>
      </c>
      <c r="B845">
        <v>2024</v>
      </c>
      <c r="C845">
        <v>28305.590124817489</v>
      </c>
    </row>
    <row r="846" spans="1:3" x14ac:dyDescent="0.35">
      <c r="A846" t="s">
        <v>31</v>
      </c>
      <c r="B846">
        <v>2025</v>
      </c>
      <c r="C846">
        <v>28715.120166423316</v>
      </c>
    </row>
    <row r="847" spans="1:3" x14ac:dyDescent="0.35">
      <c r="A847" t="s">
        <v>31</v>
      </c>
      <c r="B847">
        <v>2026</v>
      </c>
      <c r="C847">
        <v>29124.650208029143</v>
      </c>
    </row>
    <row r="848" spans="1:3" x14ac:dyDescent="0.35">
      <c r="A848" t="s">
        <v>31</v>
      </c>
      <c r="B848">
        <v>2027</v>
      </c>
      <c r="C848">
        <v>29534.180249634977</v>
      </c>
    </row>
    <row r="849" spans="1:3" x14ac:dyDescent="0.35">
      <c r="A849" t="s">
        <v>31</v>
      </c>
      <c r="B849">
        <v>2028</v>
      </c>
      <c r="C849">
        <v>29943.710291240805</v>
      </c>
    </row>
    <row r="850" spans="1:3" x14ac:dyDescent="0.35">
      <c r="A850" t="s">
        <v>31</v>
      </c>
      <c r="B850">
        <v>2029</v>
      </c>
      <c r="C850">
        <v>30353.240332846632</v>
      </c>
    </row>
    <row r="851" spans="1:3" x14ac:dyDescent="0.35">
      <c r="A851" t="s">
        <v>31</v>
      </c>
      <c r="B851">
        <v>2030</v>
      </c>
      <c r="C851">
        <v>30762.770374452466</v>
      </c>
    </row>
    <row r="852" spans="1:3" x14ac:dyDescent="0.35">
      <c r="A852" t="s">
        <v>31</v>
      </c>
      <c r="B852">
        <v>2031</v>
      </c>
      <c r="C852">
        <v>31172.3004160583</v>
      </c>
    </row>
    <row r="853" spans="1:3" x14ac:dyDescent="0.35">
      <c r="A853" t="s">
        <v>31</v>
      </c>
      <c r="B853">
        <v>2032</v>
      </c>
      <c r="C853">
        <v>31577.968432701255</v>
      </c>
    </row>
    <row r="854" spans="1:3" x14ac:dyDescent="0.35">
      <c r="A854" t="s">
        <v>31</v>
      </c>
      <c r="B854">
        <v>2033</v>
      </c>
      <c r="C854">
        <v>31983.636449344223</v>
      </c>
    </row>
    <row r="855" spans="1:3" x14ac:dyDescent="0.35">
      <c r="A855" t="s">
        <v>31</v>
      </c>
      <c r="B855">
        <v>2034</v>
      </c>
      <c r="C855">
        <v>32389.304465987181</v>
      </c>
    </row>
    <row r="856" spans="1:3" x14ac:dyDescent="0.35">
      <c r="A856" t="s">
        <v>31</v>
      </c>
      <c r="B856">
        <v>2035</v>
      </c>
      <c r="C856">
        <v>32794.972482630146</v>
      </c>
    </row>
    <row r="857" spans="1:3" x14ac:dyDescent="0.35">
      <c r="A857" t="s">
        <v>31</v>
      </c>
      <c r="B857">
        <v>2036</v>
      </c>
      <c r="C857">
        <v>33200.640499273104</v>
      </c>
    </row>
    <row r="858" spans="1:3" x14ac:dyDescent="0.35">
      <c r="A858" t="s">
        <v>31</v>
      </c>
      <c r="B858">
        <v>2037</v>
      </c>
      <c r="C858">
        <v>33606.308515916069</v>
      </c>
    </row>
    <row r="859" spans="1:3" x14ac:dyDescent="0.35">
      <c r="A859" t="s">
        <v>31</v>
      </c>
      <c r="B859">
        <v>2038</v>
      </c>
      <c r="C859">
        <v>34011.976532559027</v>
      </c>
    </row>
    <row r="860" spans="1:3" x14ac:dyDescent="0.35">
      <c r="A860" t="s">
        <v>31</v>
      </c>
      <c r="B860">
        <v>2039</v>
      </c>
      <c r="C860">
        <v>34417.644549201985</v>
      </c>
    </row>
    <row r="861" spans="1:3" x14ac:dyDescent="0.35">
      <c r="A861" t="s">
        <v>31</v>
      </c>
      <c r="B861">
        <v>2040</v>
      </c>
      <c r="C861">
        <v>34823.31256584495</v>
      </c>
    </row>
    <row r="862" spans="1:3" x14ac:dyDescent="0.35">
      <c r="A862" t="s">
        <v>31</v>
      </c>
      <c r="B862">
        <v>2041</v>
      </c>
      <c r="C862">
        <v>35228.980582487922</v>
      </c>
    </row>
    <row r="863" spans="1:3" x14ac:dyDescent="0.35">
      <c r="A863" t="s">
        <v>31</v>
      </c>
      <c r="B863">
        <v>2042</v>
      </c>
      <c r="C863">
        <v>35687.441154550448</v>
      </c>
    </row>
    <row r="864" spans="1:3" x14ac:dyDescent="0.35">
      <c r="A864" t="s">
        <v>31</v>
      </c>
      <c r="B864">
        <v>2043</v>
      </c>
      <c r="C864">
        <v>36145.901726612989</v>
      </c>
    </row>
    <row r="865" spans="1:3" x14ac:dyDescent="0.35">
      <c r="A865" t="s">
        <v>31</v>
      </c>
      <c r="B865">
        <v>2044</v>
      </c>
      <c r="C865">
        <v>36604.362298675529</v>
      </c>
    </row>
    <row r="866" spans="1:3" x14ac:dyDescent="0.35">
      <c r="A866" t="s">
        <v>31</v>
      </c>
      <c r="B866">
        <v>2045</v>
      </c>
      <c r="C866">
        <v>37062.822870738062</v>
      </c>
    </row>
    <row r="867" spans="1:3" x14ac:dyDescent="0.35">
      <c r="A867" t="s">
        <v>31</v>
      </c>
      <c r="B867">
        <v>2046</v>
      </c>
      <c r="C867">
        <v>37521.283442800603</v>
      </c>
    </row>
    <row r="868" spans="1:3" x14ac:dyDescent="0.35">
      <c r="A868" t="s">
        <v>31</v>
      </c>
      <c r="B868">
        <v>2047</v>
      </c>
      <c r="C868">
        <v>37979.744014863136</v>
      </c>
    </row>
    <row r="869" spans="1:3" x14ac:dyDescent="0.35">
      <c r="A869" t="s">
        <v>31</v>
      </c>
      <c r="B869">
        <v>2048</v>
      </c>
      <c r="C869">
        <v>38438.204586925676</v>
      </c>
    </row>
    <row r="870" spans="1:3" x14ac:dyDescent="0.35">
      <c r="A870" t="s">
        <v>31</v>
      </c>
      <c r="B870">
        <v>2049</v>
      </c>
      <c r="C870">
        <v>38896.665158988217</v>
      </c>
    </row>
    <row r="871" spans="1:3" x14ac:dyDescent="0.35">
      <c r="A871" t="s">
        <v>31</v>
      </c>
      <c r="B871">
        <v>2050</v>
      </c>
      <c r="C871">
        <v>39355.125731050757</v>
      </c>
    </row>
    <row r="872" spans="1:3" x14ac:dyDescent="0.35">
      <c r="A872" t="s">
        <v>32</v>
      </c>
      <c r="B872">
        <v>2021</v>
      </c>
      <c r="C872">
        <v>13130</v>
      </c>
    </row>
    <row r="873" spans="1:3" x14ac:dyDescent="0.35">
      <c r="A873" t="s">
        <v>32</v>
      </c>
      <c r="B873">
        <v>2022</v>
      </c>
      <c r="C873">
        <v>13161.910927835654</v>
      </c>
    </row>
    <row r="874" spans="1:3" x14ac:dyDescent="0.35">
      <c r="A874" t="s">
        <v>32</v>
      </c>
      <c r="B874">
        <v>2023</v>
      </c>
      <c r="C874">
        <v>13193.821855671309</v>
      </c>
    </row>
    <row r="875" spans="1:3" x14ac:dyDescent="0.35">
      <c r="A875" t="s">
        <v>32</v>
      </c>
      <c r="B875">
        <v>2024</v>
      </c>
      <c r="C875">
        <v>13225.732783506963</v>
      </c>
    </row>
    <row r="876" spans="1:3" x14ac:dyDescent="0.35">
      <c r="A876" t="s">
        <v>32</v>
      </c>
      <c r="B876">
        <v>2025</v>
      </c>
      <c r="C876">
        <v>13257.64371134262</v>
      </c>
    </row>
    <row r="877" spans="1:3" x14ac:dyDescent="0.35">
      <c r="A877" t="s">
        <v>32</v>
      </c>
      <c r="B877">
        <v>2026</v>
      </c>
      <c r="C877">
        <v>13289.554639178274</v>
      </c>
    </row>
    <row r="878" spans="1:3" x14ac:dyDescent="0.35">
      <c r="A878" t="s">
        <v>32</v>
      </c>
      <c r="B878">
        <v>2027</v>
      </c>
      <c r="C878">
        <v>13321.465567013925</v>
      </c>
    </row>
    <row r="879" spans="1:3" x14ac:dyDescent="0.35">
      <c r="A879" t="s">
        <v>32</v>
      </c>
      <c r="B879">
        <v>2028</v>
      </c>
      <c r="C879">
        <v>13353.376494849583</v>
      </c>
    </row>
    <row r="880" spans="1:3" x14ac:dyDescent="0.35">
      <c r="A880" t="s">
        <v>32</v>
      </c>
      <c r="B880">
        <v>2029</v>
      </c>
      <c r="C880">
        <v>13385.287422685236</v>
      </c>
    </row>
    <row r="881" spans="1:3" x14ac:dyDescent="0.35">
      <c r="A881" t="s">
        <v>32</v>
      </c>
      <c r="B881">
        <v>2030</v>
      </c>
      <c r="C881">
        <v>13417.198350520892</v>
      </c>
    </row>
    <row r="882" spans="1:3" x14ac:dyDescent="0.35">
      <c r="A882" t="s">
        <v>32</v>
      </c>
      <c r="B882">
        <v>2031</v>
      </c>
      <c r="C882">
        <v>13449.109278356542</v>
      </c>
    </row>
    <row r="883" spans="1:3" x14ac:dyDescent="0.35">
      <c r="A883" t="s">
        <v>32</v>
      </c>
      <c r="B883">
        <v>2032</v>
      </c>
      <c r="C883">
        <v>13456.536295096097</v>
      </c>
    </row>
    <row r="884" spans="1:3" x14ac:dyDescent="0.35">
      <c r="A884" t="s">
        <v>32</v>
      </c>
      <c r="B884">
        <v>2033</v>
      </c>
      <c r="C884">
        <v>13463.963311835654</v>
      </c>
    </row>
    <row r="885" spans="1:3" x14ac:dyDescent="0.35">
      <c r="A885" t="s">
        <v>32</v>
      </c>
      <c r="B885">
        <v>2034</v>
      </c>
      <c r="C885">
        <v>13471.390328575209</v>
      </c>
    </row>
    <row r="886" spans="1:3" x14ac:dyDescent="0.35">
      <c r="A886" t="s">
        <v>32</v>
      </c>
      <c r="B886">
        <v>2035</v>
      </c>
      <c r="C886">
        <v>13478.817345314765</v>
      </c>
    </row>
    <row r="887" spans="1:3" x14ac:dyDescent="0.35">
      <c r="A887" t="s">
        <v>32</v>
      </c>
      <c r="B887">
        <v>2036</v>
      </c>
      <c r="C887">
        <v>13486.244362054318</v>
      </c>
    </row>
    <row r="888" spans="1:3" x14ac:dyDescent="0.35">
      <c r="A888" t="s">
        <v>32</v>
      </c>
      <c r="B888">
        <v>2037</v>
      </c>
      <c r="C888">
        <v>13493.671378793873</v>
      </c>
    </row>
    <row r="889" spans="1:3" x14ac:dyDescent="0.35">
      <c r="A889" t="s">
        <v>32</v>
      </c>
      <c r="B889">
        <v>2038</v>
      </c>
      <c r="C889">
        <v>13501.098395533429</v>
      </c>
    </row>
    <row r="890" spans="1:3" x14ac:dyDescent="0.35">
      <c r="A890" t="s">
        <v>32</v>
      </c>
      <c r="B890">
        <v>2039</v>
      </c>
      <c r="C890">
        <v>13508.525412272986</v>
      </c>
    </row>
    <row r="891" spans="1:3" x14ac:dyDescent="0.35">
      <c r="A891" t="s">
        <v>32</v>
      </c>
      <c r="B891">
        <v>2040</v>
      </c>
      <c r="C891">
        <v>13515.952429012541</v>
      </c>
    </row>
    <row r="892" spans="1:3" x14ac:dyDescent="0.35">
      <c r="A892" t="s">
        <v>32</v>
      </c>
      <c r="B892">
        <v>2041</v>
      </c>
      <c r="C892">
        <v>13523.379445752089</v>
      </c>
    </row>
    <row r="893" spans="1:3" x14ac:dyDescent="0.35">
      <c r="A893" t="s">
        <v>32</v>
      </c>
      <c r="B893">
        <v>2042</v>
      </c>
      <c r="C893">
        <v>13530.847476789699</v>
      </c>
    </row>
    <row r="894" spans="1:3" x14ac:dyDescent="0.35">
      <c r="A894" t="s">
        <v>32</v>
      </c>
      <c r="B894">
        <v>2043</v>
      </c>
      <c r="C894">
        <v>13538.315507827305</v>
      </c>
    </row>
    <row r="895" spans="1:3" x14ac:dyDescent="0.35">
      <c r="A895" t="s">
        <v>32</v>
      </c>
      <c r="B895">
        <v>2044</v>
      </c>
      <c r="C895">
        <v>13545.783538864913</v>
      </c>
    </row>
    <row r="896" spans="1:3" x14ac:dyDescent="0.35">
      <c r="A896" t="s">
        <v>32</v>
      </c>
      <c r="B896">
        <v>2045</v>
      </c>
      <c r="C896">
        <v>13553.251569902519</v>
      </c>
    </row>
    <row r="897" spans="1:3" x14ac:dyDescent="0.35">
      <c r="A897" t="s">
        <v>32</v>
      </c>
      <c r="B897">
        <v>2046</v>
      </c>
      <c r="C897">
        <v>13560.719600940129</v>
      </c>
    </row>
    <row r="898" spans="1:3" x14ac:dyDescent="0.35">
      <c r="A898" t="s">
        <v>32</v>
      </c>
      <c r="B898">
        <v>2047</v>
      </c>
      <c r="C898">
        <v>13568.187631977735</v>
      </c>
    </row>
    <row r="899" spans="1:3" x14ac:dyDescent="0.35">
      <c r="A899" t="s">
        <v>32</v>
      </c>
      <c r="B899">
        <v>2048</v>
      </c>
      <c r="C899">
        <v>13575.655663015343</v>
      </c>
    </row>
    <row r="900" spans="1:3" x14ac:dyDescent="0.35">
      <c r="A900" t="s">
        <v>32</v>
      </c>
      <c r="B900">
        <v>2049</v>
      </c>
      <c r="C900">
        <v>13583.123694052952</v>
      </c>
    </row>
    <row r="901" spans="1:3" x14ac:dyDescent="0.35">
      <c r="A901" t="s">
        <v>32</v>
      </c>
      <c r="B901">
        <v>2050</v>
      </c>
      <c r="C901">
        <v>13590.591725090559</v>
      </c>
    </row>
    <row r="902" spans="1:3" x14ac:dyDescent="0.35">
      <c r="A902" t="s">
        <v>33</v>
      </c>
      <c r="B902">
        <v>2021</v>
      </c>
      <c r="C902">
        <v>73673</v>
      </c>
    </row>
    <row r="903" spans="1:3" x14ac:dyDescent="0.35">
      <c r="A903" t="s">
        <v>33</v>
      </c>
      <c r="B903">
        <v>2022</v>
      </c>
      <c r="C903">
        <v>73896.127406292129</v>
      </c>
    </row>
    <row r="904" spans="1:3" x14ac:dyDescent="0.35">
      <c r="A904" t="s">
        <v>33</v>
      </c>
      <c r="B904">
        <v>2023</v>
      </c>
      <c r="C904">
        <v>74119.254812584244</v>
      </c>
    </row>
    <row r="905" spans="1:3" x14ac:dyDescent="0.35">
      <c r="A905" t="s">
        <v>33</v>
      </c>
      <c r="B905">
        <v>2024</v>
      </c>
      <c r="C905">
        <v>74342.382218876373</v>
      </c>
    </row>
    <row r="906" spans="1:3" x14ac:dyDescent="0.35">
      <c r="A906" t="s">
        <v>33</v>
      </c>
      <c r="B906">
        <v>2025</v>
      </c>
      <c r="C906">
        <v>74565.509625168474</v>
      </c>
    </row>
    <row r="907" spans="1:3" x14ac:dyDescent="0.35">
      <c r="A907" t="s">
        <v>33</v>
      </c>
      <c r="B907">
        <v>2026</v>
      </c>
      <c r="C907">
        <v>74788.637031460603</v>
      </c>
    </row>
    <row r="908" spans="1:3" x14ac:dyDescent="0.35">
      <c r="A908" t="s">
        <v>33</v>
      </c>
      <c r="B908">
        <v>2027</v>
      </c>
      <c r="C908">
        <v>75011.764437752732</v>
      </c>
    </row>
    <row r="909" spans="1:3" x14ac:dyDescent="0.35">
      <c r="A909" t="s">
        <v>33</v>
      </c>
      <c r="B909">
        <v>2028</v>
      </c>
      <c r="C909">
        <v>75234.891844044847</v>
      </c>
    </row>
    <row r="910" spans="1:3" x14ac:dyDescent="0.35">
      <c r="A910" t="s">
        <v>33</v>
      </c>
      <c r="B910">
        <v>2029</v>
      </c>
      <c r="C910">
        <v>75458.019250336976</v>
      </c>
    </row>
    <row r="911" spans="1:3" x14ac:dyDescent="0.35">
      <c r="A911" t="s">
        <v>33</v>
      </c>
      <c r="B911">
        <v>2030</v>
      </c>
      <c r="C911">
        <v>75681.146656629106</v>
      </c>
    </row>
    <row r="912" spans="1:3" x14ac:dyDescent="0.35">
      <c r="A912" t="s">
        <v>33</v>
      </c>
      <c r="B912">
        <v>2031</v>
      </c>
      <c r="C912">
        <v>75904.274062921162</v>
      </c>
    </row>
    <row r="913" spans="1:3" x14ac:dyDescent="0.35">
      <c r="A913" t="s">
        <v>33</v>
      </c>
      <c r="B913">
        <v>2032</v>
      </c>
      <c r="C913">
        <v>75990.766790311609</v>
      </c>
    </row>
    <row r="914" spans="1:3" x14ac:dyDescent="0.35">
      <c r="A914" t="s">
        <v>33</v>
      </c>
      <c r="B914">
        <v>2033</v>
      </c>
      <c r="C914">
        <v>76077.259517702085</v>
      </c>
    </row>
    <row r="915" spans="1:3" x14ac:dyDescent="0.35">
      <c r="A915" t="s">
        <v>33</v>
      </c>
      <c r="B915">
        <v>2034</v>
      </c>
      <c r="C915">
        <v>76163.752245092532</v>
      </c>
    </row>
    <row r="916" spans="1:3" x14ac:dyDescent="0.35">
      <c r="A916" t="s">
        <v>33</v>
      </c>
      <c r="B916">
        <v>2035</v>
      </c>
      <c r="C916">
        <v>76250.244972482993</v>
      </c>
    </row>
    <row r="917" spans="1:3" x14ac:dyDescent="0.35">
      <c r="A917" t="s">
        <v>33</v>
      </c>
      <c r="B917">
        <v>2036</v>
      </c>
      <c r="C917">
        <v>76336.737699873454</v>
      </c>
    </row>
    <row r="918" spans="1:3" x14ac:dyDescent="0.35">
      <c r="A918" t="s">
        <v>33</v>
      </c>
      <c r="B918">
        <v>2037</v>
      </c>
      <c r="C918">
        <v>76423.230427263901</v>
      </c>
    </row>
    <row r="919" spans="1:3" x14ac:dyDescent="0.35">
      <c r="A919" t="s">
        <v>33</v>
      </c>
      <c r="B919">
        <v>2038</v>
      </c>
      <c r="C919">
        <v>76509.723154654363</v>
      </c>
    </row>
    <row r="920" spans="1:3" x14ac:dyDescent="0.35">
      <c r="A920" t="s">
        <v>33</v>
      </c>
      <c r="B920">
        <v>2039</v>
      </c>
      <c r="C920">
        <v>76596.215882044809</v>
      </c>
    </row>
    <row r="921" spans="1:3" x14ac:dyDescent="0.35">
      <c r="A921" t="s">
        <v>33</v>
      </c>
      <c r="B921">
        <v>2040</v>
      </c>
      <c r="C921">
        <v>76682.708609435271</v>
      </c>
    </row>
    <row r="922" spans="1:3" x14ac:dyDescent="0.35">
      <c r="A922" t="s">
        <v>33</v>
      </c>
      <c r="B922">
        <v>2041</v>
      </c>
      <c r="C922">
        <v>76769.201336825674</v>
      </c>
    </row>
    <row r="923" spans="1:3" x14ac:dyDescent="0.35">
      <c r="A923" t="s">
        <v>33</v>
      </c>
      <c r="B923">
        <v>2042</v>
      </c>
      <c r="C923">
        <v>76856.679646646589</v>
      </c>
    </row>
    <row r="924" spans="1:3" x14ac:dyDescent="0.35">
      <c r="A924" t="s">
        <v>33</v>
      </c>
      <c r="B924">
        <v>2043</v>
      </c>
      <c r="C924">
        <v>76944.157956467519</v>
      </c>
    </row>
    <row r="925" spans="1:3" x14ac:dyDescent="0.35">
      <c r="A925" t="s">
        <v>33</v>
      </c>
      <c r="B925">
        <v>2044</v>
      </c>
      <c r="C925">
        <v>77031.636266288435</v>
      </c>
    </row>
    <row r="926" spans="1:3" x14ac:dyDescent="0.35">
      <c r="A926" t="s">
        <v>33</v>
      </c>
      <c r="B926">
        <v>2045</v>
      </c>
      <c r="C926">
        <v>77119.114576109365</v>
      </c>
    </row>
    <row r="927" spans="1:3" x14ac:dyDescent="0.35">
      <c r="A927" t="s">
        <v>33</v>
      </c>
      <c r="B927">
        <v>2046</v>
      </c>
      <c r="C927">
        <v>77206.59288593028</v>
      </c>
    </row>
    <row r="928" spans="1:3" x14ac:dyDescent="0.35">
      <c r="A928" t="s">
        <v>33</v>
      </c>
      <c r="B928">
        <v>2047</v>
      </c>
      <c r="C928">
        <v>77294.07119575121</v>
      </c>
    </row>
    <row r="929" spans="1:3" x14ac:dyDescent="0.35">
      <c r="A929" t="s">
        <v>33</v>
      </c>
      <c r="B929">
        <v>2048</v>
      </c>
      <c r="C929">
        <v>77381.549505572126</v>
      </c>
    </row>
    <row r="930" spans="1:3" x14ac:dyDescent="0.35">
      <c r="A930" t="s">
        <v>33</v>
      </c>
      <c r="B930">
        <v>2049</v>
      </c>
      <c r="C930">
        <v>77469.027815393041</v>
      </c>
    </row>
    <row r="931" spans="1:3" x14ac:dyDescent="0.35">
      <c r="A931" t="s">
        <v>33</v>
      </c>
      <c r="B931">
        <v>2050</v>
      </c>
      <c r="C931">
        <v>77556.506125213957</v>
      </c>
    </row>
    <row r="932" spans="1:3" x14ac:dyDescent="0.35">
      <c r="A932" t="s">
        <v>34</v>
      </c>
      <c r="B932">
        <v>2021</v>
      </c>
      <c r="C932">
        <v>26823</v>
      </c>
    </row>
    <row r="933" spans="1:3" x14ac:dyDescent="0.35">
      <c r="A933" t="s">
        <v>34</v>
      </c>
      <c r="B933">
        <v>2022</v>
      </c>
      <c r="C933">
        <v>26866.047874380874</v>
      </c>
    </row>
    <row r="934" spans="1:3" x14ac:dyDescent="0.35">
      <c r="A934" t="s">
        <v>34</v>
      </c>
      <c r="B934">
        <v>2023</v>
      </c>
      <c r="C934">
        <v>26909.095748761745</v>
      </c>
    </row>
    <row r="935" spans="1:3" x14ac:dyDescent="0.35">
      <c r="A935" t="s">
        <v>34</v>
      </c>
      <c r="B935">
        <v>2024</v>
      </c>
      <c r="C935">
        <v>26952.14362314262</v>
      </c>
    </row>
    <row r="936" spans="1:3" x14ac:dyDescent="0.35">
      <c r="A936" t="s">
        <v>34</v>
      </c>
      <c r="B936">
        <v>2025</v>
      </c>
      <c r="C936">
        <v>26995.19149752349</v>
      </c>
    </row>
    <row r="937" spans="1:3" x14ac:dyDescent="0.35">
      <c r="A937" t="s">
        <v>34</v>
      </c>
      <c r="B937">
        <v>2026</v>
      </c>
      <c r="C937">
        <v>27038.239371904358</v>
      </c>
    </row>
    <row r="938" spans="1:3" x14ac:dyDescent="0.35">
      <c r="A938" t="s">
        <v>34</v>
      </c>
      <c r="B938">
        <v>2027</v>
      </c>
      <c r="C938">
        <v>27081.287246285232</v>
      </c>
    </row>
    <row r="939" spans="1:3" x14ac:dyDescent="0.35">
      <c r="A939" t="s">
        <v>34</v>
      </c>
      <c r="B939">
        <v>2028</v>
      </c>
      <c r="C939">
        <v>27124.335120666106</v>
      </c>
    </row>
    <row r="940" spans="1:3" x14ac:dyDescent="0.35">
      <c r="A940" t="s">
        <v>34</v>
      </c>
      <c r="B940">
        <v>2029</v>
      </c>
      <c r="C940">
        <v>27167.382995046977</v>
      </c>
    </row>
    <row r="941" spans="1:3" x14ac:dyDescent="0.35">
      <c r="A941" t="s">
        <v>34</v>
      </c>
      <c r="B941">
        <v>2030</v>
      </c>
      <c r="C941">
        <v>27210.430869427852</v>
      </c>
    </row>
    <row r="942" spans="1:3" x14ac:dyDescent="0.35">
      <c r="A942" t="s">
        <v>34</v>
      </c>
      <c r="B942">
        <v>2031</v>
      </c>
      <c r="C942">
        <v>27253.478743808719</v>
      </c>
    </row>
    <row r="943" spans="1:3" x14ac:dyDescent="0.35">
      <c r="A943" t="s">
        <v>34</v>
      </c>
      <c r="B943">
        <v>2032</v>
      </c>
      <c r="C943">
        <v>27246.443831795834</v>
      </c>
    </row>
    <row r="944" spans="1:3" x14ac:dyDescent="0.35">
      <c r="A944" t="s">
        <v>34</v>
      </c>
      <c r="B944">
        <v>2033</v>
      </c>
      <c r="C944">
        <v>27239.408919782949</v>
      </c>
    </row>
    <row r="945" spans="1:3" x14ac:dyDescent="0.35">
      <c r="A945" t="s">
        <v>34</v>
      </c>
      <c r="B945">
        <v>2034</v>
      </c>
      <c r="C945">
        <v>27232.374007770064</v>
      </c>
    </row>
    <row r="946" spans="1:3" x14ac:dyDescent="0.35">
      <c r="A946" t="s">
        <v>34</v>
      </c>
      <c r="B946">
        <v>2035</v>
      </c>
      <c r="C946">
        <v>27225.339095757183</v>
      </c>
    </row>
    <row r="947" spans="1:3" x14ac:dyDescent="0.35">
      <c r="A947" t="s">
        <v>34</v>
      </c>
      <c r="B947">
        <v>2036</v>
      </c>
      <c r="C947">
        <v>27218.304183744298</v>
      </c>
    </row>
    <row r="948" spans="1:3" x14ac:dyDescent="0.35">
      <c r="A948" t="s">
        <v>34</v>
      </c>
      <c r="B948">
        <v>2037</v>
      </c>
      <c r="C948">
        <v>27211.269271731413</v>
      </c>
    </row>
    <row r="949" spans="1:3" x14ac:dyDescent="0.35">
      <c r="A949" t="s">
        <v>34</v>
      </c>
      <c r="B949">
        <v>2038</v>
      </c>
      <c r="C949">
        <v>27204.234359718521</v>
      </c>
    </row>
    <row r="950" spans="1:3" x14ac:dyDescent="0.35">
      <c r="A950" t="s">
        <v>34</v>
      </c>
      <c r="B950">
        <v>2039</v>
      </c>
      <c r="C950">
        <v>27197.19944770564</v>
      </c>
    </row>
    <row r="951" spans="1:3" x14ac:dyDescent="0.35">
      <c r="A951" t="s">
        <v>34</v>
      </c>
      <c r="B951">
        <v>2040</v>
      </c>
      <c r="C951">
        <v>27190.164535692755</v>
      </c>
    </row>
    <row r="952" spans="1:3" x14ac:dyDescent="0.35">
      <c r="A952" t="s">
        <v>34</v>
      </c>
      <c r="B952">
        <v>2041</v>
      </c>
      <c r="C952">
        <v>27183.129623679881</v>
      </c>
    </row>
    <row r="953" spans="1:3" x14ac:dyDescent="0.35">
      <c r="A953" t="s">
        <v>34</v>
      </c>
      <c r="B953">
        <v>2042</v>
      </c>
      <c r="C953">
        <v>27176.112870811925</v>
      </c>
    </row>
    <row r="954" spans="1:3" x14ac:dyDescent="0.35">
      <c r="A954" t="s">
        <v>34</v>
      </c>
      <c r="B954">
        <v>2043</v>
      </c>
      <c r="C954">
        <v>27169.096117943966</v>
      </c>
    </row>
    <row r="955" spans="1:3" x14ac:dyDescent="0.35">
      <c r="A955" t="s">
        <v>34</v>
      </c>
      <c r="B955">
        <v>2044</v>
      </c>
      <c r="C955">
        <v>27162.07936507601</v>
      </c>
    </row>
    <row r="956" spans="1:3" x14ac:dyDescent="0.35">
      <c r="A956" t="s">
        <v>34</v>
      </c>
      <c r="B956">
        <v>2045</v>
      </c>
      <c r="C956">
        <v>27155.06261220805</v>
      </c>
    </row>
    <row r="957" spans="1:3" x14ac:dyDescent="0.35">
      <c r="A957" t="s">
        <v>34</v>
      </c>
      <c r="B957">
        <v>2046</v>
      </c>
      <c r="C957">
        <v>27148.045859340094</v>
      </c>
    </row>
    <row r="958" spans="1:3" x14ac:dyDescent="0.35">
      <c r="A958" t="s">
        <v>34</v>
      </c>
      <c r="B958">
        <v>2047</v>
      </c>
      <c r="C958">
        <v>27141.029106472135</v>
      </c>
    </row>
    <row r="959" spans="1:3" x14ac:dyDescent="0.35">
      <c r="A959" t="s">
        <v>34</v>
      </c>
      <c r="B959">
        <v>2048</v>
      </c>
      <c r="C959">
        <v>27134.012353604179</v>
      </c>
    </row>
    <row r="960" spans="1:3" x14ac:dyDescent="0.35">
      <c r="A960" t="s">
        <v>34</v>
      </c>
      <c r="B960">
        <v>2049</v>
      </c>
      <c r="C960">
        <v>27126.99560073622</v>
      </c>
    </row>
    <row r="961" spans="1:3" x14ac:dyDescent="0.35">
      <c r="A961" t="s">
        <v>34</v>
      </c>
      <c r="B961">
        <v>2050</v>
      </c>
      <c r="C961">
        <v>27119.978847868264</v>
      </c>
    </row>
    <row r="962" spans="1:3" x14ac:dyDescent="0.35">
      <c r="A962" t="s">
        <v>35</v>
      </c>
      <c r="B962">
        <v>2021</v>
      </c>
      <c r="C962">
        <v>106870</v>
      </c>
    </row>
    <row r="963" spans="1:3" x14ac:dyDescent="0.35">
      <c r="A963" t="s">
        <v>35</v>
      </c>
      <c r="B963">
        <v>2022</v>
      </c>
      <c r="C963">
        <v>107193.80107753663</v>
      </c>
    </row>
    <row r="964" spans="1:3" x14ac:dyDescent="0.35">
      <c r="A964" t="s">
        <v>35</v>
      </c>
      <c r="B964">
        <v>2023</v>
      </c>
      <c r="C964">
        <v>107517.60215507327</v>
      </c>
    </row>
    <row r="965" spans="1:3" x14ac:dyDescent="0.35">
      <c r="A965" t="s">
        <v>35</v>
      </c>
      <c r="B965">
        <v>2024</v>
      </c>
      <c r="C965">
        <v>107841.40323260993</v>
      </c>
    </row>
    <row r="966" spans="1:3" x14ac:dyDescent="0.35">
      <c r="A966" t="s">
        <v>35</v>
      </c>
      <c r="B966">
        <v>2025</v>
      </c>
      <c r="C966">
        <v>108165.20431014655</v>
      </c>
    </row>
    <row r="967" spans="1:3" x14ac:dyDescent="0.35">
      <c r="A967" t="s">
        <v>35</v>
      </c>
      <c r="B967">
        <v>2026</v>
      </c>
      <c r="C967">
        <v>108489.0053876832</v>
      </c>
    </row>
    <row r="968" spans="1:3" x14ac:dyDescent="0.35">
      <c r="A968" t="s">
        <v>35</v>
      </c>
      <c r="B968">
        <v>2027</v>
      </c>
      <c r="C968">
        <v>108812.80646521982</v>
      </c>
    </row>
    <row r="969" spans="1:3" x14ac:dyDescent="0.35">
      <c r="A969" t="s">
        <v>35</v>
      </c>
      <c r="B969">
        <v>2028</v>
      </c>
      <c r="C969">
        <v>109136.60754275646</v>
      </c>
    </row>
    <row r="970" spans="1:3" x14ac:dyDescent="0.35">
      <c r="A970" t="s">
        <v>35</v>
      </c>
      <c r="B970">
        <v>2029</v>
      </c>
      <c r="C970">
        <v>109460.40862029312</v>
      </c>
    </row>
    <row r="971" spans="1:3" x14ac:dyDescent="0.35">
      <c r="A971" t="s">
        <v>35</v>
      </c>
      <c r="B971">
        <v>2030</v>
      </c>
      <c r="C971">
        <v>109784.20969782975</v>
      </c>
    </row>
    <row r="972" spans="1:3" x14ac:dyDescent="0.35">
      <c r="A972" t="s">
        <v>35</v>
      </c>
      <c r="B972">
        <v>2031</v>
      </c>
      <c r="C972">
        <v>110108.01077536646</v>
      </c>
    </row>
    <row r="973" spans="1:3" x14ac:dyDescent="0.35">
      <c r="A973" t="s">
        <v>35</v>
      </c>
      <c r="B973">
        <v>2032</v>
      </c>
      <c r="C973">
        <v>110233.61271159699</v>
      </c>
    </row>
    <row r="974" spans="1:3" x14ac:dyDescent="0.35">
      <c r="A974" t="s">
        <v>35</v>
      </c>
      <c r="B974">
        <v>2033</v>
      </c>
      <c r="C974">
        <v>110359.21464782752</v>
      </c>
    </row>
    <row r="975" spans="1:3" x14ac:dyDescent="0.35">
      <c r="A975" t="s">
        <v>35</v>
      </c>
      <c r="B975">
        <v>2034</v>
      </c>
      <c r="C975">
        <v>110484.81658405806</v>
      </c>
    </row>
    <row r="976" spans="1:3" x14ac:dyDescent="0.35">
      <c r="A976" t="s">
        <v>35</v>
      </c>
      <c r="B976">
        <v>2035</v>
      </c>
      <c r="C976">
        <v>110610.41852028859</v>
      </c>
    </row>
    <row r="977" spans="1:3" x14ac:dyDescent="0.35">
      <c r="A977" t="s">
        <v>35</v>
      </c>
      <c r="B977">
        <v>2036</v>
      </c>
      <c r="C977">
        <v>110736.02045651911</v>
      </c>
    </row>
    <row r="978" spans="1:3" x14ac:dyDescent="0.35">
      <c r="A978" t="s">
        <v>35</v>
      </c>
      <c r="B978">
        <v>2037</v>
      </c>
      <c r="C978">
        <v>110861.62239274963</v>
      </c>
    </row>
    <row r="979" spans="1:3" x14ac:dyDescent="0.35">
      <c r="A979" t="s">
        <v>35</v>
      </c>
      <c r="B979">
        <v>2038</v>
      </c>
      <c r="C979">
        <v>110987.22432898016</v>
      </c>
    </row>
    <row r="980" spans="1:3" x14ac:dyDescent="0.35">
      <c r="A980" t="s">
        <v>35</v>
      </c>
      <c r="B980">
        <v>2039</v>
      </c>
      <c r="C980">
        <v>111112.82626521068</v>
      </c>
    </row>
    <row r="981" spans="1:3" x14ac:dyDescent="0.35">
      <c r="A981" t="s">
        <v>35</v>
      </c>
      <c r="B981">
        <v>2040</v>
      </c>
      <c r="C981">
        <v>111238.4282014412</v>
      </c>
    </row>
    <row r="982" spans="1:3" x14ac:dyDescent="0.35">
      <c r="A982" t="s">
        <v>35</v>
      </c>
      <c r="B982">
        <v>2041</v>
      </c>
      <c r="C982">
        <v>111364.03013767177</v>
      </c>
    </row>
    <row r="983" spans="1:3" x14ac:dyDescent="0.35">
      <c r="A983" t="s">
        <v>35</v>
      </c>
      <c r="B983">
        <v>2042</v>
      </c>
      <c r="C983">
        <v>111491.0648349043</v>
      </c>
    </row>
    <row r="984" spans="1:3" x14ac:dyDescent="0.35">
      <c r="A984" t="s">
        <v>35</v>
      </c>
      <c r="B984">
        <v>2043</v>
      </c>
      <c r="C984">
        <v>111618.09953213684</v>
      </c>
    </row>
    <row r="985" spans="1:3" x14ac:dyDescent="0.35">
      <c r="A985" t="s">
        <v>35</v>
      </c>
      <c r="B985">
        <v>2044</v>
      </c>
      <c r="C985">
        <v>111745.13422936937</v>
      </c>
    </row>
    <row r="986" spans="1:3" x14ac:dyDescent="0.35">
      <c r="A986" t="s">
        <v>35</v>
      </c>
      <c r="B986">
        <v>2045</v>
      </c>
      <c r="C986">
        <v>111872.16892660191</v>
      </c>
    </row>
    <row r="987" spans="1:3" x14ac:dyDescent="0.35">
      <c r="A987" t="s">
        <v>35</v>
      </c>
      <c r="B987">
        <v>2046</v>
      </c>
      <c r="C987">
        <v>111999.20362383444</v>
      </c>
    </row>
    <row r="988" spans="1:3" x14ac:dyDescent="0.35">
      <c r="A988" t="s">
        <v>35</v>
      </c>
      <c r="B988">
        <v>2047</v>
      </c>
      <c r="C988">
        <v>112126.23832106698</v>
      </c>
    </row>
    <row r="989" spans="1:3" x14ac:dyDescent="0.35">
      <c r="A989" t="s">
        <v>35</v>
      </c>
      <c r="B989">
        <v>2048</v>
      </c>
      <c r="C989">
        <v>112253.27301829954</v>
      </c>
    </row>
    <row r="990" spans="1:3" x14ac:dyDescent="0.35">
      <c r="A990" t="s">
        <v>35</v>
      </c>
      <c r="B990">
        <v>2049</v>
      </c>
      <c r="C990">
        <v>112380.30771553208</v>
      </c>
    </row>
    <row r="991" spans="1:3" x14ac:dyDescent="0.35">
      <c r="A991" t="s">
        <v>35</v>
      </c>
      <c r="B991">
        <v>2050</v>
      </c>
      <c r="C991">
        <v>112507.3424127646</v>
      </c>
    </row>
    <row r="992" spans="1:3" x14ac:dyDescent="0.35">
      <c r="A992" t="s">
        <v>253</v>
      </c>
      <c r="B992">
        <v>2021</v>
      </c>
      <c r="C992">
        <v>117734</v>
      </c>
    </row>
    <row r="993" spans="1:3" x14ac:dyDescent="0.35">
      <c r="A993" t="s">
        <v>253</v>
      </c>
      <c r="B993">
        <v>2022</v>
      </c>
      <c r="C993">
        <v>118965.94291047599</v>
      </c>
    </row>
    <row r="994" spans="1:3" x14ac:dyDescent="0.35">
      <c r="A994" t="s">
        <v>253</v>
      </c>
      <c r="B994">
        <v>2023</v>
      </c>
      <c r="C994">
        <v>120197.88582095198</v>
      </c>
    </row>
    <row r="995" spans="1:3" x14ac:dyDescent="0.35">
      <c r="A995" t="s">
        <v>253</v>
      </c>
      <c r="B995">
        <v>2024</v>
      </c>
      <c r="C995">
        <v>121429.82873142799</v>
      </c>
    </row>
    <row r="996" spans="1:3" x14ac:dyDescent="0.35">
      <c r="A996" t="s">
        <v>253</v>
      </c>
      <c r="B996">
        <v>2025</v>
      </c>
      <c r="C996">
        <v>122661.77164190395</v>
      </c>
    </row>
    <row r="997" spans="1:3" x14ac:dyDescent="0.35">
      <c r="A997" t="s">
        <v>253</v>
      </c>
      <c r="B997">
        <v>2026</v>
      </c>
      <c r="C997">
        <v>123893.71455237994</v>
      </c>
    </row>
    <row r="998" spans="1:3" x14ac:dyDescent="0.35">
      <c r="A998" t="s">
        <v>253</v>
      </c>
      <c r="B998">
        <v>2027</v>
      </c>
      <c r="C998">
        <v>125125.65746285593</v>
      </c>
    </row>
    <row r="999" spans="1:3" x14ac:dyDescent="0.35">
      <c r="A999" t="s">
        <v>253</v>
      </c>
      <c r="B999">
        <v>2028</v>
      </c>
      <c r="C999">
        <v>126357.60037333192</v>
      </c>
    </row>
    <row r="1000" spans="1:3" x14ac:dyDescent="0.35">
      <c r="A1000" t="s">
        <v>253</v>
      </c>
      <c r="B1000">
        <v>2029</v>
      </c>
      <c r="C1000">
        <v>127589.54328380793</v>
      </c>
    </row>
    <row r="1001" spans="1:3" x14ac:dyDescent="0.35">
      <c r="A1001" t="s">
        <v>253</v>
      </c>
      <c r="B1001">
        <v>2030</v>
      </c>
      <c r="C1001">
        <v>128821.48619428392</v>
      </c>
    </row>
    <row r="1002" spans="1:3" x14ac:dyDescent="0.35">
      <c r="A1002" t="s">
        <v>253</v>
      </c>
      <c r="B1002">
        <v>2031</v>
      </c>
      <c r="C1002">
        <v>130053.42910475978</v>
      </c>
    </row>
    <row r="1003" spans="1:3" x14ac:dyDescent="0.35">
      <c r="A1003" t="s">
        <v>253</v>
      </c>
      <c r="B1003">
        <v>2032</v>
      </c>
      <c r="C1003">
        <v>131150.86294994285</v>
      </c>
    </row>
    <row r="1004" spans="1:3" x14ac:dyDescent="0.35">
      <c r="A1004" t="s">
        <v>253</v>
      </c>
      <c r="B1004">
        <v>2033</v>
      </c>
      <c r="C1004">
        <v>132248.29679512593</v>
      </c>
    </row>
    <row r="1005" spans="1:3" x14ac:dyDescent="0.35">
      <c r="A1005" t="s">
        <v>253</v>
      </c>
      <c r="B1005">
        <v>2034</v>
      </c>
      <c r="C1005">
        <v>133345.73064030899</v>
      </c>
    </row>
    <row r="1006" spans="1:3" x14ac:dyDescent="0.35">
      <c r="A1006" t="s">
        <v>253</v>
      </c>
      <c r="B1006">
        <v>2035</v>
      </c>
      <c r="C1006">
        <v>134443.16448549205</v>
      </c>
    </row>
    <row r="1007" spans="1:3" x14ac:dyDescent="0.35">
      <c r="A1007" t="s">
        <v>253</v>
      </c>
      <c r="B1007">
        <v>2036</v>
      </c>
      <c r="C1007">
        <v>135540.5983306751</v>
      </c>
    </row>
    <row r="1008" spans="1:3" x14ac:dyDescent="0.35">
      <c r="A1008" t="s">
        <v>253</v>
      </c>
      <c r="B1008">
        <v>2037</v>
      </c>
      <c r="C1008">
        <v>136638.03217585818</v>
      </c>
    </row>
    <row r="1009" spans="1:3" x14ac:dyDescent="0.35">
      <c r="A1009" t="s">
        <v>253</v>
      </c>
      <c r="B1009">
        <v>2038</v>
      </c>
      <c r="C1009">
        <v>137735.46602104124</v>
      </c>
    </row>
    <row r="1010" spans="1:3" x14ac:dyDescent="0.35">
      <c r="A1010" t="s">
        <v>253</v>
      </c>
      <c r="B1010">
        <v>2039</v>
      </c>
      <c r="C1010">
        <v>138832.89986622432</v>
      </c>
    </row>
    <row r="1011" spans="1:3" x14ac:dyDescent="0.35">
      <c r="A1011" t="s">
        <v>253</v>
      </c>
      <c r="B1011">
        <v>2040</v>
      </c>
      <c r="C1011">
        <v>139930.33371140735</v>
      </c>
    </row>
    <row r="1012" spans="1:3" x14ac:dyDescent="0.35">
      <c r="A1012" t="s">
        <v>253</v>
      </c>
      <c r="B1012">
        <v>2041</v>
      </c>
      <c r="C1012">
        <v>141027.76755659049</v>
      </c>
    </row>
    <row r="1013" spans="1:3" x14ac:dyDescent="0.35">
      <c r="A1013" t="s">
        <v>253</v>
      </c>
      <c r="B1013">
        <v>2042</v>
      </c>
      <c r="C1013">
        <v>142217.80649898967</v>
      </c>
    </row>
    <row r="1014" spans="1:3" x14ac:dyDescent="0.35">
      <c r="A1014" t="s">
        <v>253</v>
      </c>
      <c r="B1014">
        <v>2043</v>
      </c>
      <c r="C1014">
        <v>143407.84544138884</v>
      </c>
    </row>
    <row r="1015" spans="1:3" x14ac:dyDescent="0.35">
      <c r="A1015" t="s">
        <v>253</v>
      </c>
      <c r="B1015">
        <v>2044</v>
      </c>
      <c r="C1015">
        <v>144597.88438378801</v>
      </c>
    </row>
    <row r="1016" spans="1:3" x14ac:dyDescent="0.35">
      <c r="A1016" t="s">
        <v>253</v>
      </c>
      <c r="B1016">
        <v>2045</v>
      </c>
      <c r="C1016">
        <v>145787.92332618716</v>
      </c>
    </row>
    <row r="1017" spans="1:3" x14ac:dyDescent="0.35">
      <c r="A1017" t="s">
        <v>253</v>
      </c>
      <c r="B1017">
        <v>2046</v>
      </c>
      <c r="C1017">
        <v>146977.9622685863</v>
      </c>
    </row>
    <row r="1018" spans="1:3" x14ac:dyDescent="0.35">
      <c r="A1018" t="s">
        <v>253</v>
      </c>
      <c r="B1018">
        <v>2047</v>
      </c>
      <c r="C1018">
        <v>148168.00121098547</v>
      </c>
    </row>
    <row r="1019" spans="1:3" x14ac:dyDescent="0.35">
      <c r="A1019" t="s">
        <v>253</v>
      </c>
      <c r="B1019">
        <v>2048</v>
      </c>
      <c r="C1019">
        <v>149358.04015338465</v>
      </c>
    </row>
    <row r="1020" spans="1:3" x14ac:dyDescent="0.35">
      <c r="A1020" t="s">
        <v>253</v>
      </c>
      <c r="B1020">
        <v>2049</v>
      </c>
      <c r="C1020">
        <v>150548.07909578382</v>
      </c>
    </row>
    <row r="1021" spans="1:3" x14ac:dyDescent="0.35">
      <c r="A1021" t="s">
        <v>253</v>
      </c>
      <c r="B1021">
        <v>2050</v>
      </c>
      <c r="C1021">
        <v>151738.11803818299</v>
      </c>
    </row>
    <row r="1022" spans="1:3" x14ac:dyDescent="0.35">
      <c r="A1022" t="s">
        <v>36</v>
      </c>
      <c r="B1022">
        <v>2021</v>
      </c>
      <c r="C1022">
        <v>9256</v>
      </c>
    </row>
    <row r="1023" spans="1:3" x14ac:dyDescent="0.35">
      <c r="A1023" t="s">
        <v>36</v>
      </c>
      <c r="B1023">
        <v>2022</v>
      </c>
      <c r="C1023">
        <v>9413.177577014987</v>
      </c>
    </row>
    <row r="1024" spans="1:3" x14ac:dyDescent="0.35">
      <c r="A1024" t="s">
        <v>36</v>
      </c>
      <c r="B1024">
        <v>2023</v>
      </c>
      <c r="C1024">
        <v>9570.3551540299741</v>
      </c>
    </row>
    <row r="1025" spans="1:3" x14ac:dyDescent="0.35">
      <c r="A1025" t="s">
        <v>36</v>
      </c>
      <c r="B1025">
        <v>2024</v>
      </c>
      <c r="C1025">
        <v>9727.5327310449629</v>
      </c>
    </row>
    <row r="1026" spans="1:3" x14ac:dyDescent="0.35">
      <c r="A1026" t="s">
        <v>36</v>
      </c>
      <c r="B1026">
        <v>2025</v>
      </c>
      <c r="C1026">
        <v>9884.71030805995</v>
      </c>
    </row>
    <row r="1027" spans="1:3" x14ac:dyDescent="0.35">
      <c r="A1027" t="s">
        <v>36</v>
      </c>
      <c r="B1027">
        <v>2026</v>
      </c>
      <c r="C1027">
        <v>10041.887885074937</v>
      </c>
    </row>
    <row r="1028" spans="1:3" x14ac:dyDescent="0.35">
      <c r="A1028" t="s">
        <v>36</v>
      </c>
      <c r="B1028">
        <v>2027</v>
      </c>
      <c r="C1028">
        <v>10199.065462089922</v>
      </c>
    </row>
    <row r="1029" spans="1:3" x14ac:dyDescent="0.35">
      <c r="A1029" t="s">
        <v>36</v>
      </c>
      <c r="B1029">
        <v>2028</v>
      </c>
      <c r="C1029">
        <v>10356.243039104909</v>
      </c>
    </row>
    <row r="1030" spans="1:3" x14ac:dyDescent="0.35">
      <c r="A1030" t="s">
        <v>36</v>
      </c>
      <c r="B1030">
        <v>2029</v>
      </c>
      <c r="C1030">
        <v>10513.420616119898</v>
      </c>
    </row>
    <row r="1031" spans="1:3" x14ac:dyDescent="0.35">
      <c r="A1031" t="s">
        <v>36</v>
      </c>
      <c r="B1031">
        <v>2030</v>
      </c>
      <c r="C1031">
        <v>10670.598193134885</v>
      </c>
    </row>
    <row r="1032" spans="1:3" x14ac:dyDescent="0.35">
      <c r="A1032" t="s">
        <v>36</v>
      </c>
      <c r="B1032">
        <v>2031</v>
      </c>
      <c r="C1032">
        <v>10827.775770149869</v>
      </c>
    </row>
    <row r="1033" spans="1:3" x14ac:dyDescent="0.35">
      <c r="A1033" t="s">
        <v>36</v>
      </c>
      <c r="B1033">
        <v>2032</v>
      </c>
      <c r="C1033">
        <v>10988.41884490279</v>
      </c>
    </row>
    <row r="1034" spans="1:3" x14ac:dyDescent="0.35">
      <c r="A1034" t="s">
        <v>36</v>
      </c>
      <c r="B1034">
        <v>2033</v>
      </c>
      <c r="C1034">
        <v>11149.061919655713</v>
      </c>
    </row>
    <row r="1035" spans="1:3" x14ac:dyDescent="0.35">
      <c r="A1035" t="s">
        <v>36</v>
      </c>
      <c r="B1035">
        <v>2034</v>
      </c>
      <c r="C1035">
        <v>11309.704994408636</v>
      </c>
    </row>
    <row r="1036" spans="1:3" x14ac:dyDescent="0.35">
      <c r="A1036" t="s">
        <v>36</v>
      </c>
      <c r="B1036">
        <v>2035</v>
      </c>
      <c r="C1036">
        <v>11470.348069161559</v>
      </c>
    </row>
    <row r="1037" spans="1:3" x14ac:dyDescent="0.35">
      <c r="A1037" t="s">
        <v>36</v>
      </c>
      <c r="B1037">
        <v>2036</v>
      </c>
      <c r="C1037">
        <v>11630.991143914478</v>
      </c>
    </row>
    <row r="1038" spans="1:3" x14ac:dyDescent="0.35">
      <c r="A1038" t="s">
        <v>36</v>
      </c>
      <c r="B1038">
        <v>2037</v>
      </c>
      <c r="C1038">
        <v>11791.634218667401</v>
      </c>
    </row>
    <row r="1039" spans="1:3" x14ac:dyDescent="0.35">
      <c r="A1039" t="s">
        <v>36</v>
      </c>
      <c r="B1039">
        <v>2038</v>
      </c>
      <c r="C1039">
        <v>11952.277293420324</v>
      </c>
    </row>
    <row r="1040" spans="1:3" x14ac:dyDescent="0.35">
      <c r="A1040" t="s">
        <v>36</v>
      </c>
      <c r="B1040">
        <v>2039</v>
      </c>
      <c r="C1040">
        <v>12112.920368173247</v>
      </c>
    </row>
    <row r="1041" spans="1:3" x14ac:dyDescent="0.35">
      <c r="A1041" t="s">
        <v>36</v>
      </c>
      <c r="B1041">
        <v>2040</v>
      </c>
      <c r="C1041">
        <v>12273.563442926168</v>
      </c>
    </row>
    <row r="1042" spans="1:3" x14ac:dyDescent="0.35">
      <c r="A1042" t="s">
        <v>36</v>
      </c>
      <c r="B1042">
        <v>2041</v>
      </c>
      <c r="C1042">
        <v>12434.206517679086</v>
      </c>
    </row>
    <row r="1043" spans="1:3" x14ac:dyDescent="0.35">
      <c r="A1043" t="s">
        <v>36</v>
      </c>
      <c r="B1043">
        <v>2042</v>
      </c>
      <c r="C1043">
        <v>12618.682924423618</v>
      </c>
    </row>
    <row r="1044" spans="1:3" x14ac:dyDescent="0.35">
      <c r="A1044" t="s">
        <v>36</v>
      </c>
      <c r="B1044">
        <v>2043</v>
      </c>
      <c r="C1044">
        <v>12803.159331168154</v>
      </c>
    </row>
    <row r="1045" spans="1:3" x14ac:dyDescent="0.35">
      <c r="A1045" t="s">
        <v>36</v>
      </c>
      <c r="B1045">
        <v>2044</v>
      </c>
      <c r="C1045">
        <v>12987.635737912686</v>
      </c>
    </row>
    <row r="1046" spans="1:3" x14ac:dyDescent="0.35">
      <c r="A1046" t="s">
        <v>36</v>
      </c>
      <c r="B1046">
        <v>2045</v>
      </c>
      <c r="C1046">
        <v>13172.112144657222</v>
      </c>
    </row>
    <row r="1047" spans="1:3" x14ac:dyDescent="0.35">
      <c r="A1047" t="s">
        <v>36</v>
      </c>
      <c r="B1047">
        <v>2046</v>
      </c>
      <c r="C1047">
        <v>13356.588551401755</v>
      </c>
    </row>
    <row r="1048" spans="1:3" x14ac:dyDescent="0.35">
      <c r="A1048" t="s">
        <v>36</v>
      </c>
      <c r="B1048">
        <v>2047</v>
      </c>
      <c r="C1048">
        <v>13541.064958146288</v>
      </c>
    </row>
    <row r="1049" spans="1:3" x14ac:dyDescent="0.35">
      <c r="A1049" t="s">
        <v>36</v>
      </c>
      <c r="B1049">
        <v>2048</v>
      </c>
      <c r="C1049">
        <v>13725.541364890823</v>
      </c>
    </row>
    <row r="1050" spans="1:3" x14ac:dyDescent="0.35">
      <c r="A1050" t="s">
        <v>36</v>
      </c>
      <c r="B1050">
        <v>2049</v>
      </c>
      <c r="C1050">
        <v>13910.017771635359</v>
      </c>
    </row>
    <row r="1051" spans="1:3" x14ac:dyDescent="0.35">
      <c r="A1051" t="s">
        <v>36</v>
      </c>
      <c r="B1051">
        <v>2050</v>
      </c>
      <c r="C1051">
        <v>14094.494178379891</v>
      </c>
    </row>
    <row r="1052" spans="1:3" x14ac:dyDescent="0.35">
      <c r="A1052" t="s">
        <v>37</v>
      </c>
      <c r="B1052">
        <v>2021</v>
      </c>
      <c r="C1052">
        <v>112923</v>
      </c>
    </row>
    <row r="1053" spans="1:3" x14ac:dyDescent="0.35">
      <c r="A1053" t="s">
        <v>37</v>
      </c>
      <c r="B1053">
        <v>2022</v>
      </c>
      <c r="C1053">
        <v>113050.48111816605</v>
      </c>
    </row>
    <row r="1054" spans="1:3" x14ac:dyDescent="0.35">
      <c r="A1054" t="s">
        <v>37</v>
      </c>
      <c r="B1054">
        <v>2023</v>
      </c>
      <c r="C1054">
        <v>113177.96223633214</v>
      </c>
    </row>
    <row r="1055" spans="1:3" x14ac:dyDescent="0.35">
      <c r="A1055" t="s">
        <v>37</v>
      </c>
      <c r="B1055">
        <v>2024</v>
      </c>
      <c r="C1055">
        <v>113305.44335449819</v>
      </c>
    </row>
    <row r="1056" spans="1:3" x14ac:dyDescent="0.35">
      <c r="A1056" t="s">
        <v>37</v>
      </c>
      <c r="B1056">
        <v>2025</v>
      </c>
      <c r="C1056">
        <v>113432.92447266426</v>
      </c>
    </row>
    <row r="1057" spans="1:3" x14ac:dyDescent="0.35">
      <c r="A1057" t="s">
        <v>37</v>
      </c>
      <c r="B1057">
        <v>2026</v>
      </c>
      <c r="C1057">
        <v>113560.40559083033</v>
      </c>
    </row>
    <row r="1058" spans="1:3" x14ac:dyDescent="0.35">
      <c r="A1058" t="s">
        <v>37</v>
      </c>
      <c r="B1058">
        <v>2027</v>
      </c>
      <c r="C1058">
        <v>113687.88670899638</v>
      </c>
    </row>
    <row r="1059" spans="1:3" x14ac:dyDescent="0.35">
      <c r="A1059" t="s">
        <v>37</v>
      </c>
      <c r="B1059">
        <v>2028</v>
      </c>
      <c r="C1059">
        <v>113815.36782716247</v>
      </c>
    </row>
    <row r="1060" spans="1:3" x14ac:dyDescent="0.35">
      <c r="A1060" t="s">
        <v>37</v>
      </c>
      <c r="B1060">
        <v>2029</v>
      </c>
      <c r="C1060">
        <v>113942.84894532851</v>
      </c>
    </row>
    <row r="1061" spans="1:3" x14ac:dyDescent="0.35">
      <c r="A1061" t="s">
        <v>37</v>
      </c>
      <c r="B1061">
        <v>2030</v>
      </c>
      <c r="C1061">
        <v>114070.33006349459</v>
      </c>
    </row>
    <row r="1062" spans="1:3" x14ac:dyDescent="0.35">
      <c r="A1062" t="s">
        <v>37</v>
      </c>
      <c r="B1062">
        <v>2031</v>
      </c>
      <c r="C1062">
        <v>114197.8111816606</v>
      </c>
    </row>
    <row r="1063" spans="1:3" x14ac:dyDescent="0.35">
      <c r="A1063" t="s">
        <v>37</v>
      </c>
      <c r="B1063">
        <v>2032</v>
      </c>
      <c r="C1063">
        <v>114114.9757907747</v>
      </c>
    </row>
    <row r="1064" spans="1:3" x14ac:dyDescent="0.35">
      <c r="A1064" t="s">
        <v>37</v>
      </c>
      <c r="B1064">
        <v>2033</v>
      </c>
      <c r="C1064">
        <v>114032.1403998888</v>
      </c>
    </row>
    <row r="1065" spans="1:3" x14ac:dyDescent="0.35">
      <c r="A1065" t="s">
        <v>37</v>
      </c>
      <c r="B1065">
        <v>2034</v>
      </c>
      <c r="C1065">
        <v>113949.3050090029</v>
      </c>
    </row>
    <row r="1066" spans="1:3" x14ac:dyDescent="0.35">
      <c r="A1066" t="s">
        <v>37</v>
      </c>
      <c r="B1066">
        <v>2035</v>
      </c>
      <c r="C1066">
        <v>113866.46961811699</v>
      </c>
    </row>
    <row r="1067" spans="1:3" x14ac:dyDescent="0.35">
      <c r="A1067" t="s">
        <v>37</v>
      </c>
      <c r="B1067">
        <v>2036</v>
      </c>
      <c r="C1067">
        <v>113783.63422723109</v>
      </c>
    </row>
    <row r="1068" spans="1:3" x14ac:dyDescent="0.35">
      <c r="A1068" t="s">
        <v>37</v>
      </c>
      <c r="B1068">
        <v>2037</v>
      </c>
      <c r="C1068">
        <v>113700.79883634519</v>
      </c>
    </row>
    <row r="1069" spans="1:3" x14ac:dyDescent="0.35">
      <c r="A1069" t="s">
        <v>37</v>
      </c>
      <c r="B1069">
        <v>2038</v>
      </c>
      <c r="C1069">
        <v>113617.96344545929</v>
      </c>
    </row>
    <row r="1070" spans="1:3" x14ac:dyDescent="0.35">
      <c r="A1070" t="s">
        <v>37</v>
      </c>
      <c r="B1070">
        <v>2039</v>
      </c>
      <c r="C1070">
        <v>113535.12805457338</v>
      </c>
    </row>
    <row r="1071" spans="1:3" x14ac:dyDescent="0.35">
      <c r="A1071" t="s">
        <v>37</v>
      </c>
      <c r="B1071">
        <v>2040</v>
      </c>
      <c r="C1071">
        <v>113452.29266368748</v>
      </c>
    </row>
    <row r="1072" spans="1:3" x14ac:dyDescent="0.35">
      <c r="A1072" t="s">
        <v>37</v>
      </c>
      <c r="B1072">
        <v>2041</v>
      </c>
      <c r="C1072">
        <v>113369.4572728015</v>
      </c>
    </row>
    <row r="1073" spans="1:3" x14ac:dyDescent="0.35">
      <c r="A1073" t="s">
        <v>37</v>
      </c>
      <c r="B1073">
        <v>2042</v>
      </c>
      <c r="C1073">
        <v>113287.22274299272</v>
      </c>
    </row>
    <row r="1074" spans="1:3" x14ac:dyDescent="0.35">
      <c r="A1074" t="s">
        <v>37</v>
      </c>
      <c r="B1074">
        <v>2043</v>
      </c>
      <c r="C1074">
        <v>113204.98821318393</v>
      </c>
    </row>
    <row r="1075" spans="1:3" x14ac:dyDescent="0.35">
      <c r="A1075" t="s">
        <v>37</v>
      </c>
      <c r="B1075">
        <v>2044</v>
      </c>
      <c r="C1075">
        <v>113122.75368337517</v>
      </c>
    </row>
    <row r="1076" spans="1:3" x14ac:dyDescent="0.35">
      <c r="A1076" t="s">
        <v>37</v>
      </c>
      <c r="B1076">
        <v>2045</v>
      </c>
      <c r="C1076">
        <v>113040.51915356638</v>
      </c>
    </row>
    <row r="1077" spans="1:3" x14ac:dyDescent="0.35">
      <c r="A1077" t="s">
        <v>37</v>
      </c>
      <c r="B1077">
        <v>2046</v>
      </c>
      <c r="C1077">
        <v>112958.28462375759</v>
      </c>
    </row>
    <row r="1078" spans="1:3" x14ac:dyDescent="0.35">
      <c r="A1078" t="s">
        <v>37</v>
      </c>
      <c r="B1078">
        <v>2047</v>
      </c>
      <c r="C1078">
        <v>112876.05009394881</v>
      </c>
    </row>
    <row r="1079" spans="1:3" x14ac:dyDescent="0.35">
      <c r="A1079" t="s">
        <v>37</v>
      </c>
      <c r="B1079">
        <v>2048</v>
      </c>
      <c r="C1079">
        <v>112793.81556414004</v>
      </c>
    </row>
    <row r="1080" spans="1:3" x14ac:dyDescent="0.35">
      <c r="A1080" t="s">
        <v>37</v>
      </c>
      <c r="B1080">
        <v>2049</v>
      </c>
      <c r="C1080">
        <v>112711.58103433125</v>
      </c>
    </row>
    <row r="1081" spans="1:3" x14ac:dyDescent="0.35">
      <c r="A1081" t="s">
        <v>37</v>
      </c>
      <c r="B1081">
        <v>2050</v>
      </c>
      <c r="C1081">
        <v>112629.34650452247</v>
      </c>
    </row>
    <row r="1082" spans="1:3" x14ac:dyDescent="0.35">
      <c r="A1082" t="s">
        <v>38</v>
      </c>
      <c r="B1082">
        <v>2021</v>
      </c>
      <c r="C1082">
        <v>44760</v>
      </c>
    </row>
    <row r="1083" spans="1:3" x14ac:dyDescent="0.35">
      <c r="A1083" t="s">
        <v>38</v>
      </c>
      <c r="B1083">
        <v>2022</v>
      </c>
      <c r="C1083">
        <v>45042.378322479635</v>
      </c>
    </row>
    <row r="1084" spans="1:3" x14ac:dyDescent="0.35">
      <c r="A1084" t="s">
        <v>38</v>
      </c>
      <c r="B1084">
        <v>2023</v>
      </c>
      <c r="C1084">
        <v>45324.75664495927</v>
      </c>
    </row>
    <row r="1085" spans="1:3" x14ac:dyDescent="0.35">
      <c r="A1085" t="s">
        <v>38</v>
      </c>
      <c r="B1085">
        <v>2024</v>
      </c>
      <c r="C1085">
        <v>45607.134967438898</v>
      </c>
    </row>
    <row r="1086" spans="1:3" x14ac:dyDescent="0.35">
      <c r="A1086" t="s">
        <v>38</v>
      </c>
      <c r="B1086">
        <v>2025</v>
      </c>
      <c r="C1086">
        <v>45889.513289918534</v>
      </c>
    </row>
    <row r="1087" spans="1:3" x14ac:dyDescent="0.35">
      <c r="A1087" t="s">
        <v>38</v>
      </c>
      <c r="B1087">
        <v>2026</v>
      </c>
      <c r="C1087">
        <v>46171.891612398169</v>
      </c>
    </row>
    <row r="1088" spans="1:3" x14ac:dyDescent="0.35">
      <c r="A1088" t="s">
        <v>38</v>
      </c>
      <c r="B1088">
        <v>2027</v>
      </c>
      <c r="C1088">
        <v>46454.269934877804</v>
      </c>
    </row>
    <row r="1089" spans="1:3" x14ac:dyDescent="0.35">
      <c r="A1089" t="s">
        <v>38</v>
      </c>
      <c r="B1089">
        <v>2028</v>
      </c>
      <c r="C1089">
        <v>46736.648257357439</v>
      </c>
    </row>
    <row r="1090" spans="1:3" x14ac:dyDescent="0.35">
      <c r="A1090" t="s">
        <v>38</v>
      </c>
      <c r="B1090">
        <v>2029</v>
      </c>
      <c r="C1090">
        <v>47019.026579837067</v>
      </c>
    </row>
    <row r="1091" spans="1:3" x14ac:dyDescent="0.35">
      <c r="A1091" t="s">
        <v>38</v>
      </c>
      <c r="B1091">
        <v>2030</v>
      </c>
      <c r="C1091">
        <v>47301.40490231671</v>
      </c>
    </row>
    <row r="1092" spans="1:3" x14ac:dyDescent="0.35">
      <c r="A1092" t="s">
        <v>38</v>
      </c>
      <c r="B1092">
        <v>2031</v>
      </c>
      <c r="C1092">
        <v>47583.78322479636</v>
      </c>
    </row>
    <row r="1093" spans="1:3" x14ac:dyDescent="0.35">
      <c r="A1093" t="s">
        <v>38</v>
      </c>
      <c r="B1093">
        <v>2032</v>
      </c>
      <c r="C1093">
        <v>47791.222623924667</v>
      </c>
    </row>
    <row r="1094" spans="1:3" x14ac:dyDescent="0.35">
      <c r="A1094" t="s">
        <v>38</v>
      </c>
      <c r="B1094">
        <v>2033</v>
      </c>
      <c r="C1094">
        <v>47998.662023052981</v>
      </c>
    </row>
    <row r="1095" spans="1:3" x14ac:dyDescent="0.35">
      <c r="A1095" t="s">
        <v>38</v>
      </c>
      <c r="B1095">
        <v>2034</v>
      </c>
      <c r="C1095">
        <v>48206.101422181302</v>
      </c>
    </row>
    <row r="1096" spans="1:3" x14ac:dyDescent="0.35">
      <c r="A1096" t="s">
        <v>38</v>
      </c>
      <c r="B1096">
        <v>2035</v>
      </c>
      <c r="C1096">
        <v>48413.540821309609</v>
      </c>
    </row>
    <row r="1097" spans="1:3" x14ac:dyDescent="0.35">
      <c r="A1097" t="s">
        <v>38</v>
      </c>
      <c r="B1097">
        <v>2036</v>
      </c>
      <c r="C1097">
        <v>48620.980220437923</v>
      </c>
    </row>
    <row r="1098" spans="1:3" x14ac:dyDescent="0.35">
      <c r="A1098" t="s">
        <v>38</v>
      </c>
      <c r="B1098">
        <v>2037</v>
      </c>
      <c r="C1098">
        <v>48828.419619566237</v>
      </c>
    </row>
    <row r="1099" spans="1:3" x14ac:dyDescent="0.35">
      <c r="A1099" t="s">
        <v>38</v>
      </c>
      <c r="B1099">
        <v>2038</v>
      </c>
      <c r="C1099">
        <v>49035.859018694544</v>
      </c>
    </row>
    <row r="1100" spans="1:3" x14ac:dyDescent="0.35">
      <c r="A1100" t="s">
        <v>38</v>
      </c>
      <c r="B1100">
        <v>2039</v>
      </c>
      <c r="C1100">
        <v>49243.298417822858</v>
      </c>
    </row>
    <row r="1101" spans="1:3" x14ac:dyDescent="0.35">
      <c r="A1101" t="s">
        <v>38</v>
      </c>
      <c r="B1101">
        <v>2040</v>
      </c>
      <c r="C1101">
        <v>49450.737816951172</v>
      </c>
    </row>
    <row r="1102" spans="1:3" x14ac:dyDescent="0.35">
      <c r="A1102" t="s">
        <v>38</v>
      </c>
      <c r="B1102">
        <v>2041</v>
      </c>
      <c r="C1102">
        <v>49658.177216079472</v>
      </c>
    </row>
    <row r="1103" spans="1:3" x14ac:dyDescent="0.35">
      <c r="A1103" t="s">
        <v>38</v>
      </c>
      <c r="B1103">
        <v>2042</v>
      </c>
      <c r="C1103">
        <v>49874.659844096801</v>
      </c>
    </row>
    <row r="1104" spans="1:3" x14ac:dyDescent="0.35">
      <c r="A1104" t="s">
        <v>38</v>
      </c>
      <c r="B1104">
        <v>2043</v>
      </c>
      <c r="C1104">
        <v>50091.142472114123</v>
      </c>
    </row>
    <row r="1105" spans="1:3" x14ac:dyDescent="0.35">
      <c r="A1105" t="s">
        <v>38</v>
      </c>
      <c r="B1105">
        <v>2044</v>
      </c>
      <c r="C1105">
        <v>50307.625100131452</v>
      </c>
    </row>
    <row r="1106" spans="1:3" x14ac:dyDescent="0.35">
      <c r="A1106" t="s">
        <v>38</v>
      </c>
      <c r="B1106">
        <v>2045</v>
      </c>
      <c r="C1106">
        <v>50524.107728148767</v>
      </c>
    </row>
    <row r="1107" spans="1:3" x14ac:dyDescent="0.35">
      <c r="A1107" t="s">
        <v>38</v>
      </c>
      <c r="B1107">
        <v>2046</v>
      </c>
      <c r="C1107">
        <v>50740.590356166096</v>
      </c>
    </row>
    <row r="1108" spans="1:3" x14ac:dyDescent="0.35">
      <c r="A1108" t="s">
        <v>38</v>
      </c>
      <c r="B1108">
        <v>2047</v>
      </c>
      <c r="C1108">
        <v>50957.072984183418</v>
      </c>
    </row>
    <row r="1109" spans="1:3" x14ac:dyDescent="0.35">
      <c r="A1109" t="s">
        <v>38</v>
      </c>
      <c r="B1109">
        <v>2048</v>
      </c>
      <c r="C1109">
        <v>51173.55561220074</v>
      </c>
    </row>
    <row r="1110" spans="1:3" x14ac:dyDescent="0.35">
      <c r="A1110" t="s">
        <v>38</v>
      </c>
      <c r="B1110">
        <v>2049</v>
      </c>
      <c r="C1110">
        <v>51390.038240218069</v>
      </c>
    </row>
    <row r="1111" spans="1:3" x14ac:dyDescent="0.35">
      <c r="A1111" t="s">
        <v>38</v>
      </c>
      <c r="B1111">
        <v>2050</v>
      </c>
      <c r="C1111">
        <v>51606.520868235391</v>
      </c>
    </row>
    <row r="1112" spans="1:3" x14ac:dyDescent="0.35">
      <c r="A1112" t="s">
        <v>39</v>
      </c>
      <c r="B1112">
        <v>2021</v>
      </c>
      <c r="C1112">
        <v>36842</v>
      </c>
    </row>
    <row r="1113" spans="1:3" x14ac:dyDescent="0.35">
      <c r="A1113" t="s">
        <v>39</v>
      </c>
      <c r="B1113">
        <v>2022</v>
      </c>
      <c r="C1113">
        <v>37248.221667449267</v>
      </c>
    </row>
    <row r="1114" spans="1:3" x14ac:dyDescent="0.35">
      <c r="A1114" t="s">
        <v>39</v>
      </c>
      <c r="B1114">
        <v>2023</v>
      </c>
      <c r="C1114">
        <v>37654.443334898526</v>
      </c>
    </row>
    <row r="1115" spans="1:3" x14ac:dyDescent="0.35">
      <c r="A1115" t="s">
        <v>39</v>
      </c>
      <c r="B1115">
        <v>2024</v>
      </c>
      <c r="C1115">
        <v>38060.665002347792</v>
      </c>
    </row>
    <row r="1116" spans="1:3" x14ac:dyDescent="0.35">
      <c r="A1116" t="s">
        <v>39</v>
      </c>
      <c r="B1116">
        <v>2025</v>
      </c>
      <c r="C1116">
        <v>38466.886669797052</v>
      </c>
    </row>
    <row r="1117" spans="1:3" x14ac:dyDescent="0.35">
      <c r="A1117" t="s">
        <v>39</v>
      </c>
      <c r="B1117">
        <v>2026</v>
      </c>
      <c r="C1117">
        <v>38873.108337246318</v>
      </c>
    </row>
    <row r="1118" spans="1:3" x14ac:dyDescent="0.35">
      <c r="A1118" t="s">
        <v>39</v>
      </c>
      <c r="B1118">
        <v>2027</v>
      </c>
      <c r="C1118">
        <v>39279.330004695577</v>
      </c>
    </row>
    <row r="1119" spans="1:3" x14ac:dyDescent="0.35">
      <c r="A1119" t="s">
        <v>39</v>
      </c>
      <c r="B1119">
        <v>2028</v>
      </c>
      <c r="C1119">
        <v>39685.551672144844</v>
      </c>
    </row>
    <row r="1120" spans="1:3" x14ac:dyDescent="0.35">
      <c r="A1120" t="s">
        <v>39</v>
      </c>
      <c r="B1120">
        <v>2029</v>
      </c>
      <c r="C1120">
        <v>40091.77333959411</v>
      </c>
    </row>
    <row r="1121" spans="1:3" x14ac:dyDescent="0.35">
      <c r="A1121" t="s">
        <v>39</v>
      </c>
      <c r="B1121">
        <v>2030</v>
      </c>
      <c r="C1121">
        <v>40497.99500704337</v>
      </c>
    </row>
    <row r="1122" spans="1:3" x14ac:dyDescent="0.35">
      <c r="A1122" t="s">
        <v>39</v>
      </c>
      <c r="B1122">
        <v>2031</v>
      </c>
      <c r="C1122">
        <v>40904.216674492651</v>
      </c>
    </row>
    <row r="1123" spans="1:3" x14ac:dyDescent="0.35">
      <c r="A1123" t="s">
        <v>39</v>
      </c>
      <c r="B1123">
        <v>2032</v>
      </c>
      <c r="C1123">
        <v>41271.957332192374</v>
      </c>
    </row>
    <row r="1124" spans="1:3" x14ac:dyDescent="0.35">
      <c r="A1124" t="s">
        <v>39</v>
      </c>
      <c r="B1124">
        <v>2033</v>
      </c>
      <c r="C1124">
        <v>41639.697989892091</v>
      </c>
    </row>
    <row r="1125" spans="1:3" x14ac:dyDescent="0.35">
      <c r="A1125" t="s">
        <v>39</v>
      </c>
      <c r="B1125">
        <v>2034</v>
      </c>
      <c r="C1125">
        <v>42007.438647591822</v>
      </c>
    </row>
    <row r="1126" spans="1:3" x14ac:dyDescent="0.35">
      <c r="A1126" t="s">
        <v>39</v>
      </c>
      <c r="B1126">
        <v>2035</v>
      </c>
      <c r="C1126">
        <v>42375.179305291545</v>
      </c>
    </row>
    <row r="1127" spans="1:3" x14ac:dyDescent="0.35">
      <c r="A1127" t="s">
        <v>39</v>
      </c>
      <c r="B1127">
        <v>2036</v>
      </c>
      <c r="C1127">
        <v>42742.919962991269</v>
      </c>
    </row>
    <row r="1128" spans="1:3" x14ac:dyDescent="0.35">
      <c r="A1128" t="s">
        <v>39</v>
      </c>
      <c r="B1128">
        <v>2037</v>
      </c>
      <c r="C1128">
        <v>43110.660620690993</v>
      </c>
    </row>
    <row r="1129" spans="1:3" x14ac:dyDescent="0.35">
      <c r="A1129" t="s">
        <v>39</v>
      </c>
      <c r="B1129">
        <v>2038</v>
      </c>
      <c r="C1129">
        <v>43478.401278390716</v>
      </c>
    </row>
    <row r="1130" spans="1:3" x14ac:dyDescent="0.35">
      <c r="A1130" t="s">
        <v>39</v>
      </c>
      <c r="B1130">
        <v>2039</v>
      </c>
      <c r="C1130">
        <v>43846.14193609044</v>
      </c>
    </row>
    <row r="1131" spans="1:3" x14ac:dyDescent="0.35">
      <c r="A1131" t="s">
        <v>39</v>
      </c>
      <c r="B1131">
        <v>2040</v>
      </c>
      <c r="C1131">
        <v>44213.882593790157</v>
      </c>
    </row>
    <row r="1132" spans="1:3" x14ac:dyDescent="0.35">
      <c r="A1132" t="s">
        <v>39</v>
      </c>
      <c r="B1132">
        <v>2041</v>
      </c>
      <c r="C1132">
        <v>44581.62325148988</v>
      </c>
    </row>
    <row r="1133" spans="1:3" x14ac:dyDescent="0.35">
      <c r="A1133" t="s">
        <v>39</v>
      </c>
      <c r="B1133">
        <v>2042</v>
      </c>
      <c r="C1133">
        <v>44982.424850657218</v>
      </c>
    </row>
    <row r="1134" spans="1:3" x14ac:dyDescent="0.35">
      <c r="A1134" t="s">
        <v>39</v>
      </c>
      <c r="B1134">
        <v>2043</v>
      </c>
      <c r="C1134">
        <v>45383.226449824564</v>
      </c>
    </row>
    <row r="1135" spans="1:3" x14ac:dyDescent="0.35">
      <c r="A1135" t="s">
        <v>39</v>
      </c>
      <c r="B1135">
        <v>2044</v>
      </c>
      <c r="C1135">
        <v>45784.028048991902</v>
      </c>
    </row>
    <row r="1136" spans="1:3" x14ac:dyDescent="0.35">
      <c r="A1136" t="s">
        <v>39</v>
      </c>
      <c r="B1136">
        <v>2045</v>
      </c>
      <c r="C1136">
        <v>46184.829648159241</v>
      </c>
    </row>
    <row r="1137" spans="1:3" x14ac:dyDescent="0.35">
      <c r="A1137" t="s">
        <v>39</v>
      </c>
      <c r="B1137">
        <v>2046</v>
      </c>
      <c r="C1137">
        <v>46585.631247326586</v>
      </c>
    </row>
    <row r="1138" spans="1:3" x14ac:dyDescent="0.35">
      <c r="A1138" t="s">
        <v>39</v>
      </c>
      <c r="B1138">
        <v>2047</v>
      </c>
      <c r="C1138">
        <v>46986.432846493924</v>
      </c>
    </row>
    <row r="1139" spans="1:3" x14ac:dyDescent="0.35">
      <c r="A1139" t="s">
        <v>39</v>
      </c>
      <c r="B1139">
        <v>2048</v>
      </c>
      <c r="C1139">
        <v>47387.23444566127</v>
      </c>
    </row>
    <row r="1140" spans="1:3" x14ac:dyDescent="0.35">
      <c r="A1140" t="s">
        <v>39</v>
      </c>
      <c r="B1140">
        <v>2049</v>
      </c>
      <c r="C1140">
        <v>47788.036044828608</v>
      </c>
    </row>
    <row r="1141" spans="1:3" x14ac:dyDescent="0.35">
      <c r="A1141" t="s">
        <v>39</v>
      </c>
      <c r="B1141">
        <v>2050</v>
      </c>
      <c r="C1141">
        <v>48188.837643995954</v>
      </c>
    </row>
    <row r="1142" spans="1:3" x14ac:dyDescent="0.35">
      <c r="A1142" t="s">
        <v>40</v>
      </c>
      <c r="B1142">
        <v>2021</v>
      </c>
      <c r="C1142">
        <v>102686</v>
      </c>
    </row>
    <row r="1143" spans="1:3" x14ac:dyDescent="0.35">
      <c r="A1143" t="s">
        <v>40</v>
      </c>
      <c r="B1143">
        <v>2022</v>
      </c>
      <c r="C1143">
        <v>102767.03021717911</v>
      </c>
    </row>
    <row r="1144" spans="1:3" x14ac:dyDescent="0.35">
      <c r="A1144" t="s">
        <v>40</v>
      </c>
      <c r="B1144">
        <v>2023</v>
      </c>
      <c r="C1144">
        <v>102848.06043435825</v>
      </c>
    </row>
    <row r="1145" spans="1:3" x14ac:dyDescent="0.35">
      <c r="A1145" t="s">
        <v>40</v>
      </c>
      <c r="B1145">
        <v>2024</v>
      </c>
      <c r="C1145">
        <v>102929.09065153738</v>
      </c>
    </row>
    <row r="1146" spans="1:3" x14ac:dyDescent="0.35">
      <c r="A1146" t="s">
        <v>40</v>
      </c>
      <c r="B1146">
        <v>2025</v>
      </c>
      <c r="C1146">
        <v>103010.12086871652</v>
      </c>
    </row>
    <row r="1147" spans="1:3" x14ac:dyDescent="0.35">
      <c r="A1147" t="s">
        <v>40</v>
      </c>
      <c r="B1147">
        <v>2026</v>
      </c>
      <c r="C1147">
        <v>103091.15108589563</v>
      </c>
    </row>
    <row r="1148" spans="1:3" x14ac:dyDescent="0.35">
      <c r="A1148" t="s">
        <v>40</v>
      </c>
      <c r="B1148">
        <v>2027</v>
      </c>
      <c r="C1148">
        <v>103172.18130307477</v>
      </c>
    </row>
    <row r="1149" spans="1:3" x14ac:dyDescent="0.35">
      <c r="A1149" t="s">
        <v>40</v>
      </c>
      <c r="B1149">
        <v>2028</v>
      </c>
      <c r="C1149">
        <v>103253.2115202539</v>
      </c>
    </row>
    <row r="1150" spans="1:3" x14ac:dyDescent="0.35">
      <c r="A1150" t="s">
        <v>40</v>
      </c>
      <c r="B1150">
        <v>2029</v>
      </c>
      <c r="C1150">
        <v>103334.24173743301</v>
      </c>
    </row>
    <row r="1151" spans="1:3" x14ac:dyDescent="0.35">
      <c r="A1151" t="s">
        <v>40</v>
      </c>
      <c r="B1151">
        <v>2030</v>
      </c>
      <c r="C1151">
        <v>103415.27195461215</v>
      </c>
    </row>
    <row r="1152" spans="1:3" x14ac:dyDescent="0.35">
      <c r="A1152" t="s">
        <v>40</v>
      </c>
      <c r="B1152">
        <v>2031</v>
      </c>
      <c r="C1152">
        <v>103496.30217179123</v>
      </c>
    </row>
    <row r="1153" spans="1:3" x14ac:dyDescent="0.35">
      <c r="A1153" t="s">
        <v>40</v>
      </c>
      <c r="B1153">
        <v>2032</v>
      </c>
      <c r="C1153">
        <v>103386.70468120815</v>
      </c>
    </row>
    <row r="1154" spans="1:3" x14ac:dyDescent="0.35">
      <c r="A1154" t="s">
        <v>40</v>
      </c>
      <c r="B1154">
        <v>2033</v>
      </c>
      <c r="C1154">
        <v>103277.10719062507</v>
      </c>
    </row>
    <row r="1155" spans="1:3" x14ac:dyDescent="0.35">
      <c r="A1155" t="s">
        <v>40</v>
      </c>
      <c r="B1155">
        <v>2034</v>
      </c>
      <c r="C1155">
        <v>103167.50970004199</v>
      </c>
    </row>
    <row r="1156" spans="1:3" x14ac:dyDescent="0.35">
      <c r="A1156" t="s">
        <v>40</v>
      </c>
      <c r="B1156">
        <v>2035</v>
      </c>
      <c r="C1156">
        <v>103057.91220945891</v>
      </c>
    </row>
    <row r="1157" spans="1:3" x14ac:dyDescent="0.35">
      <c r="A1157" t="s">
        <v>40</v>
      </c>
      <c r="B1157">
        <v>2036</v>
      </c>
      <c r="C1157">
        <v>102948.31471887583</v>
      </c>
    </row>
    <row r="1158" spans="1:3" x14ac:dyDescent="0.35">
      <c r="A1158" t="s">
        <v>40</v>
      </c>
      <c r="B1158">
        <v>2037</v>
      </c>
      <c r="C1158">
        <v>102838.71722829275</v>
      </c>
    </row>
    <row r="1159" spans="1:3" x14ac:dyDescent="0.35">
      <c r="A1159" t="s">
        <v>40</v>
      </c>
      <c r="B1159">
        <v>2038</v>
      </c>
      <c r="C1159">
        <v>102729.11973770967</v>
      </c>
    </row>
    <row r="1160" spans="1:3" x14ac:dyDescent="0.35">
      <c r="A1160" t="s">
        <v>40</v>
      </c>
      <c r="B1160">
        <v>2039</v>
      </c>
      <c r="C1160">
        <v>102619.5222471266</v>
      </c>
    </row>
    <row r="1161" spans="1:3" x14ac:dyDescent="0.35">
      <c r="A1161" t="s">
        <v>40</v>
      </c>
      <c r="B1161">
        <v>2040</v>
      </c>
      <c r="C1161">
        <v>102509.92475654352</v>
      </c>
    </row>
    <row r="1162" spans="1:3" x14ac:dyDescent="0.35">
      <c r="A1162" t="s">
        <v>40</v>
      </c>
      <c r="B1162">
        <v>2041</v>
      </c>
      <c r="C1162">
        <v>102400.3272659605</v>
      </c>
    </row>
    <row r="1163" spans="1:3" x14ac:dyDescent="0.35">
      <c r="A1163" t="s">
        <v>40</v>
      </c>
      <c r="B1163">
        <v>2042</v>
      </c>
      <c r="C1163">
        <v>102291.89035886593</v>
      </c>
    </row>
    <row r="1164" spans="1:3" x14ac:dyDescent="0.35">
      <c r="A1164" t="s">
        <v>40</v>
      </c>
      <c r="B1164">
        <v>2043</v>
      </c>
      <c r="C1164">
        <v>102183.45345177135</v>
      </c>
    </row>
    <row r="1165" spans="1:3" x14ac:dyDescent="0.35">
      <c r="A1165" t="s">
        <v>40</v>
      </c>
      <c r="B1165">
        <v>2044</v>
      </c>
      <c r="C1165">
        <v>102075.01654467676</v>
      </c>
    </row>
    <row r="1166" spans="1:3" x14ac:dyDescent="0.35">
      <c r="A1166" t="s">
        <v>40</v>
      </c>
      <c r="B1166">
        <v>2045</v>
      </c>
      <c r="C1166">
        <v>101966.5796375822</v>
      </c>
    </row>
    <row r="1167" spans="1:3" x14ac:dyDescent="0.35">
      <c r="A1167" t="s">
        <v>40</v>
      </c>
      <c r="B1167">
        <v>2046</v>
      </c>
      <c r="C1167">
        <v>101858.14273048761</v>
      </c>
    </row>
    <row r="1168" spans="1:3" x14ac:dyDescent="0.35">
      <c r="A1168" t="s">
        <v>40</v>
      </c>
      <c r="B1168">
        <v>2047</v>
      </c>
      <c r="C1168">
        <v>101749.70582339303</v>
      </c>
    </row>
    <row r="1169" spans="1:3" x14ac:dyDescent="0.35">
      <c r="A1169" t="s">
        <v>40</v>
      </c>
      <c r="B1169">
        <v>2048</v>
      </c>
      <c r="C1169">
        <v>101641.26891629846</v>
      </c>
    </row>
    <row r="1170" spans="1:3" x14ac:dyDescent="0.35">
      <c r="A1170" t="s">
        <v>40</v>
      </c>
      <c r="B1170">
        <v>2049</v>
      </c>
      <c r="C1170">
        <v>101532.83200920388</v>
      </c>
    </row>
    <row r="1171" spans="1:3" x14ac:dyDescent="0.35">
      <c r="A1171" t="s">
        <v>40</v>
      </c>
      <c r="B1171">
        <v>2050</v>
      </c>
      <c r="C1171">
        <v>101424.39510210931</v>
      </c>
    </row>
    <row r="1172" spans="1:3" x14ac:dyDescent="0.35">
      <c r="A1172" t="s">
        <v>41</v>
      </c>
      <c r="B1172">
        <v>2021</v>
      </c>
      <c r="C1172">
        <v>7526</v>
      </c>
    </row>
    <row r="1173" spans="1:3" x14ac:dyDescent="0.35">
      <c r="A1173" t="s">
        <v>41</v>
      </c>
      <c r="B1173">
        <v>2022</v>
      </c>
      <c r="C1173">
        <v>7530.4838043651953</v>
      </c>
    </row>
    <row r="1174" spans="1:3" x14ac:dyDescent="0.35">
      <c r="A1174" t="s">
        <v>41</v>
      </c>
      <c r="B1174">
        <v>2023</v>
      </c>
      <c r="C1174">
        <v>7534.9676087303924</v>
      </c>
    </row>
    <row r="1175" spans="1:3" x14ac:dyDescent="0.35">
      <c r="A1175" t="s">
        <v>41</v>
      </c>
      <c r="B1175">
        <v>2024</v>
      </c>
      <c r="C1175">
        <v>7539.4514130955877</v>
      </c>
    </row>
    <row r="1176" spans="1:3" x14ac:dyDescent="0.35">
      <c r="A1176" t="s">
        <v>41</v>
      </c>
      <c r="B1176">
        <v>2025</v>
      </c>
      <c r="C1176">
        <v>7543.935217460783</v>
      </c>
    </row>
    <row r="1177" spans="1:3" x14ac:dyDescent="0.35">
      <c r="A1177" t="s">
        <v>41</v>
      </c>
      <c r="B1177">
        <v>2026</v>
      </c>
      <c r="C1177">
        <v>7548.4190218259801</v>
      </c>
    </row>
    <row r="1178" spans="1:3" x14ac:dyDescent="0.35">
      <c r="A1178" t="s">
        <v>41</v>
      </c>
      <c r="B1178">
        <v>2027</v>
      </c>
      <c r="C1178">
        <v>7552.9028261911762</v>
      </c>
    </row>
    <row r="1179" spans="1:3" x14ac:dyDescent="0.35">
      <c r="A1179" t="s">
        <v>41</v>
      </c>
      <c r="B1179">
        <v>2028</v>
      </c>
      <c r="C1179">
        <v>7557.3866305563715</v>
      </c>
    </row>
    <row r="1180" spans="1:3" x14ac:dyDescent="0.35">
      <c r="A1180" t="s">
        <v>41</v>
      </c>
      <c r="B1180">
        <v>2029</v>
      </c>
      <c r="C1180">
        <v>7561.8704349215686</v>
      </c>
    </row>
    <row r="1181" spans="1:3" x14ac:dyDescent="0.35">
      <c r="A1181" t="s">
        <v>41</v>
      </c>
      <c r="B1181">
        <v>2030</v>
      </c>
      <c r="C1181">
        <v>7566.3542392867639</v>
      </c>
    </row>
    <row r="1182" spans="1:3" x14ac:dyDescent="0.35">
      <c r="A1182" t="s">
        <v>41</v>
      </c>
      <c r="B1182">
        <v>2031</v>
      </c>
      <c r="C1182">
        <v>7570.8380436519665</v>
      </c>
    </row>
    <row r="1183" spans="1:3" x14ac:dyDescent="0.35">
      <c r="A1183" t="s">
        <v>41</v>
      </c>
      <c r="B1183">
        <v>2032</v>
      </c>
      <c r="C1183">
        <v>7561.3840549033484</v>
      </c>
    </row>
    <row r="1184" spans="1:3" x14ac:dyDescent="0.35">
      <c r="A1184" t="s">
        <v>41</v>
      </c>
      <c r="B1184">
        <v>2033</v>
      </c>
      <c r="C1184">
        <v>7551.9300661547304</v>
      </c>
    </row>
    <row r="1185" spans="1:3" x14ac:dyDescent="0.35">
      <c r="A1185" t="s">
        <v>41</v>
      </c>
      <c r="B1185">
        <v>2034</v>
      </c>
      <c r="C1185">
        <v>7542.4760774061124</v>
      </c>
    </row>
    <row r="1186" spans="1:3" x14ac:dyDescent="0.35">
      <c r="A1186" t="s">
        <v>41</v>
      </c>
      <c r="B1186">
        <v>2035</v>
      </c>
      <c r="C1186">
        <v>7533.0220886574953</v>
      </c>
    </row>
    <row r="1187" spans="1:3" x14ac:dyDescent="0.35">
      <c r="A1187" t="s">
        <v>41</v>
      </c>
      <c r="B1187">
        <v>2036</v>
      </c>
      <c r="C1187">
        <v>7523.5680999088781</v>
      </c>
    </row>
    <row r="1188" spans="1:3" x14ac:dyDescent="0.35">
      <c r="A1188" t="s">
        <v>41</v>
      </c>
      <c r="B1188">
        <v>2037</v>
      </c>
      <c r="C1188">
        <v>7514.1141111602601</v>
      </c>
    </row>
    <row r="1189" spans="1:3" x14ac:dyDescent="0.35">
      <c r="A1189" t="s">
        <v>41</v>
      </c>
      <c r="B1189">
        <v>2038</v>
      </c>
      <c r="C1189">
        <v>7504.6601224116421</v>
      </c>
    </row>
    <row r="1190" spans="1:3" x14ac:dyDescent="0.35">
      <c r="A1190" t="s">
        <v>41</v>
      </c>
      <c r="B1190">
        <v>2039</v>
      </c>
      <c r="C1190">
        <v>7495.2061336630259</v>
      </c>
    </row>
    <row r="1191" spans="1:3" x14ac:dyDescent="0.35">
      <c r="A1191" t="s">
        <v>41</v>
      </c>
      <c r="B1191">
        <v>2040</v>
      </c>
      <c r="C1191">
        <v>7485.7521449144078</v>
      </c>
    </row>
    <row r="1192" spans="1:3" x14ac:dyDescent="0.35">
      <c r="A1192" t="s">
        <v>41</v>
      </c>
      <c r="B1192">
        <v>2041</v>
      </c>
      <c r="C1192">
        <v>7476.2981561657889</v>
      </c>
    </row>
    <row r="1193" spans="1:3" x14ac:dyDescent="0.35">
      <c r="A1193" t="s">
        <v>41</v>
      </c>
      <c r="B1193">
        <v>2042</v>
      </c>
      <c r="C1193">
        <v>7466.9622229121424</v>
      </c>
    </row>
    <row r="1194" spans="1:3" x14ac:dyDescent="0.35">
      <c r="A1194" t="s">
        <v>41</v>
      </c>
      <c r="B1194">
        <v>2043</v>
      </c>
      <c r="C1194">
        <v>7457.6262896584958</v>
      </c>
    </row>
    <row r="1195" spans="1:3" x14ac:dyDescent="0.35">
      <c r="A1195" t="s">
        <v>41</v>
      </c>
      <c r="B1195">
        <v>2044</v>
      </c>
      <c r="C1195">
        <v>7448.2903564048493</v>
      </c>
    </row>
    <row r="1196" spans="1:3" x14ac:dyDescent="0.35">
      <c r="A1196" t="s">
        <v>41</v>
      </c>
      <c r="B1196">
        <v>2045</v>
      </c>
      <c r="C1196">
        <v>7438.9544231512027</v>
      </c>
    </row>
    <row r="1197" spans="1:3" x14ac:dyDescent="0.35">
      <c r="A1197" t="s">
        <v>41</v>
      </c>
      <c r="B1197">
        <v>2046</v>
      </c>
      <c r="C1197">
        <v>7429.6184898975571</v>
      </c>
    </row>
    <row r="1198" spans="1:3" x14ac:dyDescent="0.35">
      <c r="A1198" t="s">
        <v>41</v>
      </c>
      <c r="B1198">
        <v>2047</v>
      </c>
      <c r="C1198">
        <v>7420.2825566439105</v>
      </c>
    </row>
    <row r="1199" spans="1:3" x14ac:dyDescent="0.35">
      <c r="A1199" t="s">
        <v>41</v>
      </c>
      <c r="B1199">
        <v>2048</v>
      </c>
      <c r="C1199">
        <v>7410.946623390264</v>
      </c>
    </row>
    <row r="1200" spans="1:3" x14ac:dyDescent="0.35">
      <c r="A1200" t="s">
        <v>41</v>
      </c>
      <c r="B1200">
        <v>2049</v>
      </c>
      <c r="C1200">
        <v>7401.6106901366174</v>
      </c>
    </row>
    <row r="1201" spans="1:3" x14ac:dyDescent="0.35">
      <c r="A1201" t="s">
        <v>41</v>
      </c>
      <c r="B1201">
        <v>2050</v>
      </c>
      <c r="C1201">
        <v>7392.2747568829709</v>
      </c>
    </row>
    <row r="1202" spans="1:3" x14ac:dyDescent="0.35">
      <c r="A1202" t="s">
        <v>254</v>
      </c>
      <c r="B1202">
        <v>2021</v>
      </c>
      <c r="C1202">
        <v>57492</v>
      </c>
    </row>
    <row r="1203" spans="1:3" x14ac:dyDescent="0.35">
      <c r="A1203" t="s">
        <v>254</v>
      </c>
      <c r="B1203">
        <v>2022</v>
      </c>
      <c r="C1203">
        <v>58165.863726137752</v>
      </c>
    </row>
    <row r="1204" spans="1:3" x14ac:dyDescent="0.35">
      <c r="A1204" t="s">
        <v>254</v>
      </c>
      <c r="B1204">
        <v>2023</v>
      </c>
      <c r="C1204">
        <v>58839.727452275503</v>
      </c>
    </row>
    <row r="1205" spans="1:3" x14ac:dyDescent="0.35">
      <c r="A1205" t="s">
        <v>254</v>
      </c>
      <c r="B1205">
        <v>2024</v>
      </c>
      <c r="C1205">
        <v>59513.591178413255</v>
      </c>
    </row>
    <row r="1206" spans="1:3" x14ac:dyDescent="0.35">
      <c r="A1206" t="s">
        <v>254</v>
      </c>
      <c r="B1206">
        <v>2025</v>
      </c>
      <c r="C1206">
        <v>60187.454904551014</v>
      </c>
    </row>
    <row r="1207" spans="1:3" x14ac:dyDescent="0.35">
      <c r="A1207" t="s">
        <v>254</v>
      </c>
      <c r="B1207">
        <v>2026</v>
      </c>
      <c r="C1207">
        <v>60861.318630688766</v>
      </c>
    </row>
    <row r="1208" spans="1:3" x14ac:dyDescent="0.35">
      <c r="A1208" t="s">
        <v>254</v>
      </c>
      <c r="B1208">
        <v>2027</v>
      </c>
      <c r="C1208">
        <v>61535.182356826517</v>
      </c>
    </row>
    <row r="1209" spans="1:3" x14ac:dyDescent="0.35">
      <c r="A1209" t="s">
        <v>254</v>
      </c>
      <c r="B1209">
        <v>2028</v>
      </c>
      <c r="C1209">
        <v>62209.046082964269</v>
      </c>
    </row>
    <row r="1210" spans="1:3" x14ac:dyDescent="0.35">
      <c r="A1210" t="s">
        <v>254</v>
      </c>
      <c r="B1210">
        <v>2029</v>
      </c>
      <c r="C1210">
        <v>62882.909809102021</v>
      </c>
    </row>
    <row r="1211" spans="1:3" x14ac:dyDescent="0.35">
      <c r="A1211" t="s">
        <v>254</v>
      </c>
      <c r="B1211">
        <v>2030</v>
      </c>
      <c r="C1211">
        <v>63556.773535239772</v>
      </c>
    </row>
    <row r="1212" spans="1:3" x14ac:dyDescent="0.35">
      <c r="A1212" t="s">
        <v>254</v>
      </c>
      <c r="B1212">
        <v>2031</v>
      </c>
      <c r="C1212">
        <v>64230.637261377538</v>
      </c>
    </row>
    <row r="1213" spans="1:3" x14ac:dyDescent="0.35">
      <c r="A1213" t="s">
        <v>254</v>
      </c>
      <c r="B1213">
        <v>2032</v>
      </c>
      <c r="C1213">
        <v>64851.907869280156</v>
      </c>
    </row>
    <row r="1214" spans="1:3" x14ac:dyDescent="0.35">
      <c r="A1214" t="s">
        <v>254</v>
      </c>
      <c r="B1214">
        <v>2033</v>
      </c>
      <c r="C1214">
        <v>65473.178477182781</v>
      </c>
    </row>
    <row r="1215" spans="1:3" x14ac:dyDescent="0.35">
      <c r="A1215" t="s">
        <v>254</v>
      </c>
      <c r="B1215">
        <v>2034</v>
      </c>
      <c r="C1215">
        <v>66094.449085085391</v>
      </c>
    </row>
    <row r="1216" spans="1:3" x14ac:dyDescent="0.35">
      <c r="A1216" t="s">
        <v>254</v>
      </c>
      <c r="B1216">
        <v>2035</v>
      </c>
      <c r="C1216">
        <v>66715.719692988016</v>
      </c>
    </row>
    <row r="1217" spans="1:3" x14ac:dyDescent="0.35">
      <c r="A1217" t="s">
        <v>254</v>
      </c>
      <c r="B1217">
        <v>2036</v>
      </c>
      <c r="C1217">
        <v>67336.990300890626</v>
      </c>
    </row>
    <row r="1218" spans="1:3" x14ac:dyDescent="0.35">
      <c r="A1218" t="s">
        <v>254</v>
      </c>
      <c r="B1218">
        <v>2037</v>
      </c>
      <c r="C1218">
        <v>67958.260908793236</v>
      </c>
    </row>
    <row r="1219" spans="1:3" x14ac:dyDescent="0.35">
      <c r="A1219" t="s">
        <v>254</v>
      </c>
      <c r="B1219">
        <v>2038</v>
      </c>
      <c r="C1219">
        <v>68579.531516695846</v>
      </c>
    </row>
    <row r="1220" spans="1:3" x14ac:dyDescent="0.35">
      <c r="A1220" t="s">
        <v>254</v>
      </c>
      <c r="B1220">
        <v>2039</v>
      </c>
      <c r="C1220">
        <v>69200.802124598471</v>
      </c>
    </row>
    <row r="1221" spans="1:3" x14ac:dyDescent="0.35">
      <c r="A1221" t="s">
        <v>254</v>
      </c>
      <c r="B1221">
        <v>2040</v>
      </c>
      <c r="C1221">
        <v>69822.072732501096</v>
      </c>
    </row>
    <row r="1222" spans="1:3" x14ac:dyDescent="0.35">
      <c r="A1222" t="s">
        <v>254</v>
      </c>
      <c r="B1222">
        <v>2041</v>
      </c>
      <c r="C1222">
        <v>70443.343340403691</v>
      </c>
    </row>
    <row r="1223" spans="1:3" x14ac:dyDescent="0.35">
      <c r="A1223" t="s">
        <v>254</v>
      </c>
      <c r="B1223">
        <v>2042</v>
      </c>
      <c r="C1223">
        <v>71124.706325511448</v>
      </c>
    </row>
    <row r="1224" spans="1:3" x14ac:dyDescent="0.35">
      <c r="A1224" t="s">
        <v>254</v>
      </c>
      <c r="B1224">
        <v>2043</v>
      </c>
      <c r="C1224">
        <v>71806.069310619205</v>
      </c>
    </row>
    <row r="1225" spans="1:3" x14ac:dyDescent="0.35">
      <c r="A1225" t="s">
        <v>254</v>
      </c>
      <c r="B1225">
        <v>2044</v>
      </c>
      <c r="C1225">
        <v>72487.432295726961</v>
      </c>
    </row>
    <row r="1226" spans="1:3" x14ac:dyDescent="0.35">
      <c r="A1226" t="s">
        <v>254</v>
      </c>
      <c r="B1226">
        <v>2045</v>
      </c>
      <c r="C1226">
        <v>73168.795280834689</v>
      </c>
    </row>
    <row r="1227" spans="1:3" x14ac:dyDescent="0.35">
      <c r="A1227" t="s">
        <v>254</v>
      </c>
      <c r="B1227">
        <v>2046</v>
      </c>
      <c r="C1227">
        <v>73850.158265942446</v>
      </c>
    </row>
    <row r="1228" spans="1:3" x14ac:dyDescent="0.35">
      <c r="A1228" t="s">
        <v>254</v>
      </c>
      <c r="B1228">
        <v>2047</v>
      </c>
      <c r="C1228">
        <v>74531.521251050202</v>
      </c>
    </row>
    <row r="1229" spans="1:3" x14ac:dyDescent="0.35">
      <c r="A1229" t="s">
        <v>254</v>
      </c>
      <c r="B1229">
        <v>2048</v>
      </c>
      <c r="C1229">
        <v>75212.884236157945</v>
      </c>
    </row>
    <row r="1230" spans="1:3" x14ac:dyDescent="0.35">
      <c r="A1230" t="s">
        <v>254</v>
      </c>
      <c r="B1230">
        <v>2049</v>
      </c>
      <c r="C1230">
        <v>75894.247221265701</v>
      </c>
    </row>
    <row r="1231" spans="1:3" x14ac:dyDescent="0.35">
      <c r="A1231" t="s">
        <v>254</v>
      </c>
      <c r="B1231">
        <v>2050</v>
      </c>
      <c r="C1231">
        <v>76575.610206373458</v>
      </c>
    </row>
    <row r="1232" spans="1:3" x14ac:dyDescent="0.35">
      <c r="A1232" t="s">
        <v>42</v>
      </c>
      <c r="B1232">
        <v>2021</v>
      </c>
      <c r="C1232">
        <v>9994</v>
      </c>
    </row>
    <row r="1233" spans="1:3" x14ac:dyDescent="0.35">
      <c r="A1233" t="s">
        <v>42</v>
      </c>
      <c r="B1233">
        <v>2022</v>
      </c>
      <c r="C1233">
        <v>10085.538571551962</v>
      </c>
    </row>
    <row r="1234" spans="1:3" x14ac:dyDescent="0.35">
      <c r="A1234" t="s">
        <v>42</v>
      </c>
      <c r="B1234">
        <v>2023</v>
      </c>
      <c r="C1234">
        <v>10177.077143103925</v>
      </c>
    </row>
    <row r="1235" spans="1:3" x14ac:dyDescent="0.35">
      <c r="A1235" t="s">
        <v>42</v>
      </c>
      <c r="B1235">
        <v>2024</v>
      </c>
      <c r="C1235">
        <v>10268.615714655889</v>
      </c>
    </row>
    <row r="1236" spans="1:3" x14ac:dyDescent="0.35">
      <c r="A1236" t="s">
        <v>42</v>
      </c>
      <c r="B1236">
        <v>2025</v>
      </c>
      <c r="C1236">
        <v>10360.15428620785</v>
      </c>
    </row>
    <row r="1237" spans="1:3" x14ac:dyDescent="0.35">
      <c r="A1237" t="s">
        <v>42</v>
      </c>
      <c r="B1237">
        <v>2026</v>
      </c>
      <c r="C1237">
        <v>10451.692857759812</v>
      </c>
    </row>
    <row r="1238" spans="1:3" x14ac:dyDescent="0.35">
      <c r="A1238" t="s">
        <v>42</v>
      </c>
      <c r="B1238">
        <v>2027</v>
      </c>
      <c r="C1238">
        <v>10543.231429311774</v>
      </c>
    </row>
    <row r="1239" spans="1:3" x14ac:dyDescent="0.35">
      <c r="A1239" t="s">
        <v>42</v>
      </c>
      <c r="B1239">
        <v>2028</v>
      </c>
      <c r="C1239">
        <v>10634.770000863737</v>
      </c>
    </row>
    <row r="1240" spans="1:3" x14ac:dyDescent="0.35">
      <c r="A1240" t="s">
        <v>42</v>
      </c>
      <c r="B1240">
        <v>2029</v>
      </c>
      <c r="C1240">
        <v>10726.308572415701</v>
      </c>
    </row>
    <row r="1241" spans="1:3" x14ac:dyDescent="0.35">
      <c r="A1241" t="s">
        <v>42</v>
      </c>
      <c r="B1241">
        <v>2030</v>
      </c>
      <c r="C1241">
        <v>10817.847143967661</v>
      </c>
    </row>
    <row r="1242" spans="1:3" x14ac:dyDescent="0.35">
      <c r="A1242" t="s">
        <v>42</v>
      </c>
      <c r="B1242">
        <v>2031</v>
      </c>
      <c r="C1242">
        <v>10909.385715519626</v>
      </c>
    </row>
    <row r="1243" spans="1:3" x14ac:dyDescent="0.35">
      <c r="A1243" t="s">
        <v>42</v>
      </c>
      <c r="B1243">
        <v>2032</v>
      </c>
      <c r="C1243">
        <v>10987.473127598236</v>
      </c>
    </row>
    <row r="1244" spans="1:3" x14ac:dyDescent="0.35">
      <c r="A1244" t="s">
        <v>42</v>
      </c>
      <c r="B1244">
        <v>2033</v>
      </c>
      <c r="C1244">
        <v>11065.560539676844</v>
      </c>
    </row>
    <row r="1245" spans="1:3" x14ac:dyDescent="0.35">
      <c r="A1245" t="s">
        <v>42</v>
      </c>
      <c r="B1245">
        <v>2034</v>
      </c>
      <c r="C1245">
        <v>11143.647951755451</v>
      </c>
    </row>
    <row r="1246" spans="1:3" x14ac:dyDescent="0.35">
      <c r="A1246" t="s">
        <v>42</v>
      </c>
      <c r="B1246">
        <v>2035</v>
      </c>
      <c r="C1246">
        <v>11221.735363834061</v>
      </c>
    </row>
    <row r="1247" spans="1:3" x14ac:dyDescent="0.35">
      <c r="A1247" t="s">
        <v>42</v>
      </c>
      <c r="B1247">
        <v>2036</v>
      </c>
      <c r="C1247">
        <v>11299.822775912669</v>
      </c>
    </row>
    <row r="1248" spans="1:3" x14ac:dyDescent="0.35">
      <c r="A1248" t="s">
        <v>42</v>
      </c>
      <c r="B1248">
        <v>2037</v>
      </c>
      <c r="C1248">
        <v>11377.91018799128</v>
      </c>
    </row>
    <row r="1249" spans="1:3" x14ac:dyDescent="0.35">
      <c r="A1249" t="s">
        <v>42</v>
      </c>
      <c r="B1249">
        <v>2038</v>
      </c>
      <c r="C1249">
        <v>11455.997600069888</v>
      </c>
    </row>
    <row r="1250" spans="1:3" x14ac:dyDescent="0.35">
      <c r="A1250" t="s">
        <v>42</v>
      </c>
      <c r="B1250">
        <v>2039</v>
      </c>
      <c r="C1250">
        <v>11534.085012148498</v>
      </c>
    </row>
    <row r="1251" spans="1:3" x14ac:dyDescent="0.35">
      <c r="A1251" t="s">
        <v>42</v>
      </c>
      <c r="B1251">
        <v>2040</v>
      </c>
      <c r="C1251">
        <v>11612.172424227105</v>
      </c>
    </row>
    <row r="1252" spans="1:3" x14ac:dyDescent="0.35">
      <c r="A1252" t="s">
        <v>42</v>
      </c>
      <c r="B1252">
        <v>2041</v>
      </c>
      <c r="C1252">
        <v>11690.259836305719</v>
      </c>
    </row>
    <row r="1253" spans="1:3" x14ac:dyDescent="0.35">
      <c r="A1253" t="s">
        <v>42</v>
      </c>
      <c r="B1253">
        <v>2042</v>
      </c>
      <c r="C1253">
        <v>11773.936604269378</v>
      </c>
    </row>
    <row r="1254" spans="1:3" x14ac:dyDescent="0.35">
      <c r="A1254" t="s">
        <v>42</v>
      </c>
      <c r="B1254">
        <v>2043</v>
      </c>
      <c r="C1254">
        <v>11857.61337223304</v>
      </c>
    </row>
    <row r="1255" spans="1:3" x14ac:dyDescent="0.35">
      <c r="A1255" t="s">
        <v>42</v>
      </c>
      <c r="B1255">
        <v>2044</v>
      </c>
      <c r="C1255">
        <v>11941.290140196701</v>
      </c>
    </row>
    <row r="1256" spans="1:3" x14ac:dyDescent="0.35">
      <c r="A1256" t="s">
        <v>42</v>
      </c>
      <c r="B1256">
        <v>2045</v>
      </c>
      <c r="C1256">
        <v>12024.966908160362</v>
      </c>
    </row>
    <row r="1257" spans="1:3" x14ac:dyDescent="0.35">
      <c r="A1257" t="s">
        <v>42</v>
      </c>
      <c r="B1257">
        <v>2046</v>
      </c>
      <c r="C1257">
        <v>12108.643676124026</v>
      </c>
    </row>
    <row r="1258" spans="1:3" x14ac:dyDescent="0.35">
      <c r="A1258" t="s">
        <v>42</v>
      </c>
      <c r="B1258">
        <v>2047</v>
      </c>
      <c r="C1258">
        <v>12192.320444087687</v>
      </c>
    </row>
    <row r="1259" spans="1:3" x14ac:dyDescent="0.35">
      <c r="A1259" t="s">
        <v>42</v>
      </c>
      <c r="B1259">
        <v>2048</v>
      </c>
      <c r="C1259">
        <v>12275.997212051348</v>
      </c>
    </row>
    <row r="1260" spans="1:3" x14ac:dyDescent="0.35">
      <c r="A1260" t="s">
        <v>42</v>
      </c>
      <c r="B1260">
        <v>2049</v>
      </c>
      <c r="C1260">
        <v>12359.67398001501</v>
      </c>
    </row>
    <row r="1261" spans="1:3" x14ac:dyDescent="0.35">
      <c r="A1261" t="s">
        <v>42</v>
      </c>
      <c r="B1261">
        <v>2050</v>
      </c>
      <c r="C1261">
        <v>12443.350747978671</v>
      </c>
    </row>
    <row r="1262" spans="1:3" x14ac:dyDescent="0.35">
      <c r="A1262" t="s">
        <v>43</v>
      </c>
      <c r="B1262">
        <v>2021</v>
      </c>
      <c r="C1262">
        <v>82596</v>
      </c>
    </row>
    <row r="1263" spans="1:3" x14ac:dyDescent="0.35">
      <c r="A1263" t="s">
        <v>43</v>
      </c>
      <c r="B1263">
        <v>2022</v>
      </c>
      <c r="C1263">
        <v>83237.871645389576</v>
      </c>
    </row>
    <row r="1264" spans="1:3" x14ac:dyDescent="0.35">
      <c r="A1264" t="s">
        <v>43</v>
      </c>
      <c r="B1264">
        <v>2023</v>
      </c>
      <c r="C1264">
        <v>83879.743290779166</v>
      </c>
    </row>
    <row r="1265" spans="1:3" x14ac:dyDescent="0.35">
      <c r="A1265" t="s">
        <v>43</v>
      </c>
      <c r="B1265">
        <v>2024</v>
      </c>
      <c r="C1265">
        <v>84521.614936168757</v>
      </c>
    </row>
    <row r="1266" spans="1:3" x14ac:dyDescent="0.35">
      <c r="A1266" t="s">
        <v>43</v>
      </c>
      <c r="B1266">
        <v>2025</v>
      </c>
      <c r="C1266">
        <v>85163.486581558347</v>
      </c>
    </row>
    <row r="1267" spans="1:3" x14ac:dyDescent="0.35">
      <c r="A1267" t="s">
        <v>43</v>
      </c>
      <c r="B1267">
        <v>2026</v>
      </c>
      <c r="C1267">
        <v>85805.358226947938</v>
      </c>
    </row>
    <row r="1268" spans="1:3" x14ac:dyDescent="0.35">
      <c r="A1268" t="s">
        <v>43</v>
      </c>
      <c r="B1268">
        <v>2027</v>
      </c>
      <c r="C1268">
        <v>86447.229872337528</v>
      </c>
    </row>
    <row r="1269" spans="1:3" x14ac:dyDescent="0.35">
      <c r="A1269" t="s">
        <v>43</v>
      </c>
      <c r="B1269">
        <v>2028</v>
      </c>
      <c r="C1269">
        <v>87089.101517727118</v>
      </c>
    </row>
    <row r="1270" spans="1:3" x14ac:dyDescent="0.35">
      <c r="A1270" t="s">
        <v>43</v>
      </c>
      <c r="B1270">
        <v>2029</v>
      </c>
      <c r="C1270">
        <v>87730.973163116723</v>
      </c>
    </row>
    <row r="1271" spans="1:3" x14ac:dyDescent="0.35">
      <c r="A1271" t="s">
        <v>43</v>
      </c>
      <c r="B1271">
        <v>2030</v>
      </c>
      <c r="C1271">
        <v>88372.844808506314</v>
      </c>
    </row>
    <row r="1272" spans="1:3" x14ac:dyDescent="0.35">
      <c r="A1272" t="s">
        <v>43</v>
      </c>
      <c r="B1272">
        <v>2031</v>
      </c>
      <c r="C1272">
        <v>89014.716453895846</v>
      </c>
    </row>
    <row r="1273" spans="1:3" x14ac:dyDescent="0.35">
      <c r="A1273" t="s">
        <v>43</v>
      </c>
      <c r="B1273">
        <v>2032</v>
      </c>
      <c r="C1273">
        <v>89530.569084095914</v>
      </c>
    </row>
    <row r="1274" spans="1:3" x14ac:dyDescent="0.35">
      <c r="A1274" t="s">
        <v>43</v>
      </c>
      <c r="B1274">
        <v>2033</v>
      </c>
      <c r="C1274">
        <v>90046.421714295982</v>
      </c>
    </row>
    <row r="1275" spans="1:3" x14ac:dyDescent="0.35">
      <c r="A1275" t="s">
        <v>43</v>
      </c>
      <c r="B1275">
        <v>2034</v>
      </c>
      <c r="C1275">
        <v>90562.274344496051</v>
      </c>
    </row>
    <row r="1276" spans="1:3" x14ac:dyDescent="0.35">
      <c r="A1276" t="s">
        <v>43</v>
      </c>
      <c r="B1276">
        <v>2035</v>
      </c>
      <c r="C1276">
        <v>91078.126974696119</v>
      </c>
    </row>
    <row r="1277" spans="1:3" x14ac:dyDescent="0.35">
      <c r="A1277" t="s">
        <v>43</v>
      </c>
      <c r="B1277">
        <v>2036</v>
      </c>
      <c r="C1277">
        <v>91593.979604896158</v>
      </c>
    </row>
    <row r="1278" spans="1:3" x14ac:dyDescent="0.35">
      <c r="A1278" t="s">
        <v>43</v>
      </c>
      <c r="B1278">
        <v>2037</v>
      </c>
      <c r="C1278">
        <v>92109.832235096226</v>
      </c>
    </row>
    <row r="1279" spans="1:3" x14ac:dyDescent="0.35">
      <c r="A1279" t="s">
        <v>43</v>
      </c>
      <c r="B1279">
        <v>2038</v>
      </c>
      <c r="C1279">
        <v>92625.684865296294</v>
      </c>
    </row>
    <row r="1280" spans="1:3" x14ac:dyDescent="0.35">
      <c r="A1280" t="s">
        <v>43</v>
      </c>
      <c r="B1280">
        <v>2039</v>
      </c>
      <c r="C1280">
        <v>93141.537495496348</v>
      </c>
    </row>
    <row r="1281" spans="1:3" x14ac:dyDescent="0.35">
      <c r="A1281" t="s">
        <v>43</v>
      </c>
      <c r="B1281">
        <v>2040</v>
      </c>
      <c r="C1281">
        <v>93657.390125696416</v>
      </c>
    </row>
    <row r="1282" spans="1:3" x14ac:dyDescent="0.35">
      <c r="A1282" t="s">
        <v>43</v>
      </c>
      <c r="B1282">
        <v>2041</v>
      </c>
      <c r="C1282">
        <v>94173.242755896441</v>
      </c>
    </row>
    <row r="1283" spans="1:3" x14ac:dyDescent="0.35">
      <c r="A1283" t="s">
        <v>43</v>
      </c>
      <c r="B1283">
        <v>2042</v>
      </c>
      <c r="C1283">
        <v>94718.989761620585</v>
      </c>
    </row>
    <row r="1284" spans="1:3" x14ac:dyDescent="0.35">
      <c r="A1284" t="s">
        <v>43</v>
      </c>
      <c r="B1284">
        <v>2043</v>
      </c>
      <c r="C1284">
        <v>95264.736767344744</v>
      </c>
    </row>
    <row r="1285" spans="1:3" x14ac:dyDescent="0.35">
      <c r="A1285" t="s">
        <v>43</v>
      </c>
      <c r="B1285">
        <v>2044</v>
      </c>
      <c r="C1285">
        <v>95810.483773068874</v>
      </c>
    </row>
    <row r="1286" spans="1:3" x14ac:dyDescent="0.35">
      <c r="A1286" t="s">
        <v>43</v>
      </c>
      <c r="B1286">
        <v>2045</v>
      </c>
      <c r="C1286">
        <v>96356.230778793019</v>
      </c>
    </row>
    <row r="1287" spans="1:3" x14ac:dyDescent="0.35">
      <c r="A1287" t="s">
        <v>43</v>
      </c>
      <c r="B1287">
        <v>2046</v>
      </c>
      <c r="C1287">
        <v>96901.977784517163</v>
      </c>
    </row>
    <row r="1288" spans="1:3" x14ac:dyDescent="0.35">
      <c r="A1288" t="s">
        <v>43</v>
      </c>
      <c r="B1288">
        <v>2047</v>
      </c>
      <c r="C1288">
        <v>97447.724790241322</v>
      </c>
    </row>
    <row r="1289" spans="1:3" x14ac:dyDescent="0.35">
      <c r="A1289" t="s">
        <v>43</v>
      </c>
      <c r="B1289">
        <v>2048</v>
      </c>
      <c r="C1289">
        <v>97993.471795965452</v>
      </c>
    </row>
    <row r="1290" spans="1:3" x14ac:dyDescent="0.35">
      <c r="A1290" t="s">
        <v>43</v>
      </c>
      <c r="B1290">
        <v>2049</v>
      </c>
      <c r="C1290">
        <v>98539.218801689596</v>
      </c>
    </row>
    <row r="1291" spans="1:3" x14ac:dyDescent="0.35">
      <c r="A1291" t="s">
        <v>43</v>
      </c>
      <c r="B1291">
        <v>2050</v>
      </c>
      <c r="C1291">
        <v>99084.965807413741</v>
      </c>
    </row>
    <row r="1292" spans="1:3" x14ac:dyDescent="0.35">
      <c r="A1292" t="s">
        <v>44</v>
      </c>
      <c r="B1292">
        <v>2021</v>
      </c>
      <c r="C1292">
        <v>285028</v>
      </c>
    </row>
    <row r="1293" spans="1:3" x14ac:dyDescent="0.35">
      <c r="A1293" t="s">
        <v>44</v>
      </c>
      <c r="B1293">
        <v>2022</v>
      </c>
      <c r="C1293">
        <v>289971.37860108737</v>
      </c>
    </row>
    <row r="1294" spans="1:3" x14ac:dyDescent="0.35">
      <c r="A1294" t="s">
        <v>44</v>
      </c>
      <c r="B1294">
        <v>2023</v>
      </c>
      <c r="C1294">
        <v>294914.75720217475</v>
      </c>
    </row>
    <row r="1295" spans="1:3" x14ac:dyDescent="0.35">
      <c r="A1295" t="s">
        <v>44</v>
      </c>
      <c r="B1295">
        <v>2024</v>
      </c>
      <c r="C1295">
        <v>299858.13580326212</v>
      </c>
    </row>
    <row r="1296" spans="1:3" x14ac:dyDescent="0.35">
      <c r="A1296" t="s">
        <v>44</v>
      </c>
      <c r="B1296">
        <v>2025</v>
      </c>
      <c r="C1296">
        <v>304801.51440434949</v>
      </c>
    </row>
    <row r="1297" spans="1:3" x14ac:dyDescent="0.35">
      <c r="A1297" t="s">
        <v>44</v>
      </c>
      <c r="B1297">
        <v>2026</v>
      </c>
      <c r="C1297">
        <v>309744.89300543687</v>
      </c>
    </row>
    <row r="1298" spans="1:3" x14ac:dyDescent="0.35">
      <c r="A1298" t="s">
        <v>44</v>
      </c>
      <c r="B1298">
        <v>2027</v>
      </c>
      <c r="C1298">
        <v>314688.27160652418</v>
      </c>
    </row>
    <row r="1299" spans="1:3" x14ac:dyDescent="0.35">
      <c r="A1299" t="s">
        <v>44</v>
      </c>
      <c r="B1299">
        <v>2028</v>
      </c>
      <c r="C1299">
        <v>319631.65020761156</v>
      </c>
    </row>
    <row r="1300" spans="1:3" x14ac:dyDescent="0.35">
      <c r="A1300" t="s">
        <v>44</v>
      </c>
      <c r="B1300">
        <v>2029</v>
      </c>
      <c r="C1300">
        <v>324575.02880869893</v>
      </c>
    </row>
    <row r="1301" spans="1:3" x14ac:dyDescent="0.35">
      <c r="A1301" t="s">
        <v>44</v>
      </c>
      <c r="B1301">
        <v>2030</v>
      </c>
      <c r="C1301">
        <v>329518.40740978625</v>
      </c>
    </row>
    <row r="1302" spans="1:3" x14ac:dyDescent="0.35">
      <c r="A1302" t="s">
        <v>44</v>
      </c>
      <c r="B1302">
        <v>2031</v>
      </c>
      <c r="C1302">
        <v>334461.78601087362</v>
      </c>
    </row>
    <row r="1303" spans="1:3" x14ac:dyDescent="0.35">
      <c r="A1303" t="s">
        <v>44</v>
      </c>
      <c r="B1303">
        <v>2032</v>
      </c>
      <c r="C1303">
        <v>339542.89181325695</v>
      </c>
    </row>
    <row r="1304" spans="1:3" x14ac:dyDescent="0.35">
      <c r="A1304" t="s">
        <v>44</v>
      </c>
      <c r="B1304">
        <v>2033</v>
      </c>
      <c r="C1304">
        <v>344623.99761564034</v>
      </c>
    </row>
    <row r="1305" spans="1:3" x14ac:dyDescent="0.35">
      <c r="A1305" t="s">
        <v>44</v>
      </c>
      <c r="B1305">
        <v>2034</v>
      </c>
      <c r="C1305">
        <v>349705.10341802367</v>
      </c>
    </row>
    <row r="1306" spans="1:3" x14ac:dyDescent="0.35">
      <c r="A1306" t="s">
        <v>44</v>
      </c>
      <c r="B1306">
        <v>2035</v>
      </c>
      <c r="C1306">
        <v>354786.20922040701</v>
      </c>
    </row>
    <row r="1307" spans="1:3" x14ac:dyDescent="0.35">
      <c r="A1307" t="s">
        <v>44</v>
      </c>
      <c r="B1307">
        <v>2036</v>
      </c>
      <c r="C1307">
        <v>359867.31502279034</v>
      </c>
    </row>
    <row r="1308" spans="1:3" x14ac:dyDescent="0.35">
      <c r="A1308" t="s">
        <v>44</v>
      </c>
      <c r="B1308">
        <v>2037</v>
      </c>
      <c r="C1308">
        <v>364948.42082517367</v>
      </c>
    </row>
    <row r="1309" spans="1:3" x14ac:dyDescent="0.35">
      <c r="A1309" t="s">
        <v>44</v>
      </c>
      <c r="B1309">
        <v>2038</v>
      </c>
      <c r="C1309">
        <v>370029.52662755706</v>
      </c>
    </row>
    <row r="1310" spans="1:3" x14ac:dyDescent="0.35">
      <c r="A1310" t="s">
        <v>44</v>
      </c>
      <c r="B1310">
        <v>2039</v>
      </c>
      <c r="C1310">
        <v>375110.63242994039</v>
      </c>
    </row>
    <row r="1311" spans="1:3" x14ac:dyDescent="0.35">
      <c r="A1311" t="s">
        <v>44</v>
      </c>
      <c r="B1311">
        <v>2040</v>
      </c>
      <c r="C1311">
        <v>380191.73823232373</v>
      </c>
    </row>
    <row r="1312" spans="1:3" x14ac:dyDescent="0.35">
      <c r="A1312" t="s">
        <v>44</v>
      </c>
      <c r="B1312">
        <v>2041</v>
      </c>
      <c r="C1312">
        <v>385272.84403470688</v>
      </c>
    </row>
    <row r="1313" spans="1:3" x14ac:dyDescent="0.35">
      <c r="A1313" t="s">
        <v>44</v>
      </c>
      <c r="B1313">
        <v>2042</v>
      </c>
      <c r="C1313">
        <v>391125.8657107373</v>
      </c>
    </row>
    <row r="1314" spans="1:3" x14ac:dyDescent="0.35">
      <c r="A1314" t="s">
        <v>44</v>
      </c>
      <c r="B1314">
        <v>2043</v>
      </c>
      <c r="C1314">
        <v>396978.88738676772</v>
      </c>
    </row>
    <row r="1315" spans="1:3" x14ac:dyDescent="0.35">
      <c r="A1315" t="s">
        <v>44</v>
      </c>
      <c r="B1315">
        <v>2044</v>
      </c>
      <c r="C1315">
        <v>402831.90906279813</v>
      </c>
    </row>
    <row r="1316" spans="1:3" x14ac:dyDescent="0.35">
      <c r="A1316" t="s">
        <v>44</v>
      </c>
      <c r="B1316">
        <v>2045</v>
      </c>
      <c r="C1316">
        <v>408684.93073882849</v>
      </c>
    </row>
    <row r="1317" spans="1:3" x14ac:dyDescent="0.35">
      <c r="A1317" t="s">
        <v>44</v>
      </c>
      <c r="B1317">
        <v>2046</v>
      </c>
      <c r="C1317">
        <v>414537.95241485891</v>
      </c>
    </row>
    <row r="1318" spans="1:3" x14ac:dyDescent="0.35">
      <c r="A1318" t="s">
        <v>44</v>
      </c>
      <c r="B1318">
        <v>2047</v>
      </c>
      <c r="C1318">
        <v>420390.97409088933</v>
      </c>
    </row>
    <row r="1319" spans="1:3" x14ac:dyDescent="0.35">
      <c r="A1319" t="s">
        <v>44</v>
      </c>
      <c r="B1319">
        <v>2048</v>
      </c>
      <c r="C1319">
        <v>426243.99576691969</v>
      </c>
    </row>
    <row r="1320" spans="1:3" x14ac:dyDescent="0.35">
      <c r="A1320" t="s">
        <v>44</v>
      </c>
      <c r="B1320">
        <v>2049</v>
      </c>
      <c r="C1320">
        <v>432097.01744295016</v>
      </c>
    </row>
    <row r="1321" spans="1:3" x14ac:dyDescent="0.35">
      <c r="A1321" t="s">
        <v>44</v>
      </c>
      <c r="B1321">
        <v>2050</v>
      </c>
      <c r="C1321">
        <v>437950.03911898052</v>
      </c>
    </row>
    <row r="1322" spans="1:3" x14ac:dyDescent="0.35">
      <c r="A1322" t="s">
        <v>45</v>
      </c>
      <c r="B1322">
        <v>2021</v>
      </c>
      <c r="C1322">
        <v>33638</v>
      </c>
    </row>
    <row r="1323" spans="1:3" x14ac:dyDescent="0.35">
      <c r="A1323" t="s">
        <v>45</v>
      </c>
      <c r="B1323">
        <v>2022</v>
      </c>
      <c r="C1323">
        <v>34205.171728706242</v>
      </c>
    </row>
    <row r="1324" spans="1:3" x14ac:dyDescent="0.35">
      <c r="A1324" t="s">
        <v>45</v>
      </c>
      <c r="B1324">
        <v>2023</v>
      </c>
      <c r="C1324">
        <v>34772.343457412499</v>
      </c>
    </row>
    <row r="1325" spans="1:3" x14ac:dyDescent="0.35">
      <c r="A1325" t="s">
        <v>45</v>
      </c>
      <c r="B1325">
        <v>2024</v>
      </c>
      <c r="C1325">
        <v>35339.515186118741</v>
      </c>
    </row>
    <row r="1326" spans="1:3" x14ac:dyDescent="0.35">
      <c r="A1326" t="s">
        <v>45</v>
      </c>
      <c r="B1326">
        <v>2025</v>
      </c>
      <c r="C1326">
        <v>35906.68691482499</v>
      </c>
    </row>
    <row r="1327" spans="1:3" x14ac:dyDescent="0.35">
      <c r="A1327" t="s">
        <v>45</v>
      </c>
      <c r="B1327">
        <v>2026</v>
      </c>
      <c r="C1327">
        <v>36473.858643531246</v>
      </c>
    </row>
    <row r="1328" spans="1:3" x14ac:dyDescent="0.35">
      <c r="A1328" t="s">
        <v>45</v>
      </c>
      <c r="B1328">
        <v>2027</v>
      </c>
      <c r="C1328">
        <v>37041.030372237488</v>
      </c>
    </row>
    <row r="1329" spans="1:3" x14ac:dyDescent="0.35">
      <c r="A1329" t="s">
        <v>45</v>
      </c>
      <c r="B1329">
        <v>2028</v>
      </c>
      <c r="C1329">
        <v>37608.20210094373</v>
      </c>
    </row>
    <row r="1330" spans="1:3" x14ac:dyDescent="0.35">
      <c r="A1330" t="s">
        <v>45</v>
      </c>
      <c r="B1330">
        <v>2029</v>
      </c>
      <c r="C1330">
        <v>38175.37382964998</v>
      </c>
    </row>
    <row r="1331" spans="1:3" x14ac:dyDescent="0.35">
      <c r="A1331" t="s">
        <v>45</v>
      </c>
      <c r="B1331">
        <v>2030</v>
      </c>
      <c r="C1331">
        <v>38742.545558356229</v>
      </c>
    </row>
    <row r="1332" spans="1:3" x14ac:dyDescent="0.35">
      <c r="A1332" t="s">
        <v>45</v>
      </c>
      <c r="B1332">
        <v>2031</v>
      </c>
      <c r="C1332">
        <v>39309.717287062464</v>
      </c>
    </row>
    <row r="1333" spans="1:3" x14ac:dyDescent="0.35">
      <c r="A1333" t="s">
        <v>45</v>
      </c>
      <c r="B1333">
        <v>2032</v>
      </c>
      <c r="C1333">
        <v>39888.289153849604</v>
      </c>
    </row>
    <row r="1334" spans="1:3" x14ac:dyDescent="0.35">
      <c r="A1334" t="s">
        <v>45</v>
      </c>
      <c r="B1334">
        <v>2033</v>
      </c>
      <c r="C1334">
        <v>40466.861020636745</v>
      </c>
    </row>
    <row r="1335" spans="1:3" x14ac:dyDescent="0.35">
      <c r="A1335" t="s">
        <v>45</v>
      </c>
      <c r="B1335">
        <v>2034</v>
      </c>
      <c r="C1335">
        <v>41045.432887423885</v>
      </c>
    </row>
    <row r="1336" spans="1:3" x14ac:dyDescent="0.35">
      <c r="A1336" t="s">
        <v>45</v>
      </c>
      <c r="B1336">
        <v>2035</v>
      </c>
      <c r="C1336">
        <v>41624.004754211033</v>
      </c>
    </row>
    <row r="1337" spans="1:3" x14ac:dyDescent="0.35">
      <c r="A1337" t="s">
        <v>45</v>
      </c>
      <c r="B1337">
        <v>2036</v>
      </c>
      <c r="C1337">
        <v>42202.576620998167</v>
      </c>
    </row>
    <row r="1338" spans="1:3" x14ac:dyDescent="0.35">
      <c r="A1338" t="s">
        <v>45</v>
      </c>
      <c r="B1338">
        <v>2037</v>
      </c>
      <c r="C1338">
        <v>42781.148487785307</v>
      </c>
    </row>
    <row r="1339" spans="1:3" x14ac:dyDescent="0.35">
      <c r="A1339" t="s">
        <v>45</v>
      </c>
      <c r="B1339">
        <v>2038</v>
      </c>
      <c r="C1339">
        <v>43359.720354572448</v>
      </c>
    </row>
    <row r="1340" spans="1:3" x14ac:dyDescent="0.35">
      <c r="A1340" t="s">
        <v>45</v>
      </c>
      <c r="B1340">
        <v>2039</v>
      </c>
      <c r="C1340">
        <v>43938.292221359588</v>
      </c>
    </row>
    <row r="1341" spans="1:3" x14ac:dyDescent="0.35">
      <c r="A1341" t="s">
        <v>45</v>
      </c>
      <c r="B1341">
        <v>2040</v>
      </c>
      <c r="C1341">
        <v>44516.864088146736</v>
      </c>
    </row>
    <row r="1342" spans="1:3" x14ac:dyDescent="0.35">
      <c r="A1342" t="s">
        <v>45</v>
      </c>
      <c r="B1342">
        <v>2041</v>
      </c>
      <c r="C1342">
        <v>45095.435954933891</v>
      </c>
    </row>
    <row r="1343" spans="1:3" x14ac:dyDescent="0.35">
      <c r="A1343" t="s">
        <v>45</v>
      </c>
      <c r="B1343">
        <v>2042</v>
      </c>
      <c r="C1343">
        <v>45759.163713988855</v>
      </c>
    </row>
    <row r="1344" spans="1:3" x14ac:dyDescent="0.35">
      <c r="A1344" t="s">
        <v>45</v>
      </c>
      <c r="B1344">
        <v>2043</v>
      </c>
      <c r="C1344">
        <v>46422.891473043812</v>
      </c>
    </row>
    <row r="1345" spans="1:3" x14ac:dyDescent="0.35">
      <c r="A1345" t="s">
        <v>45</v>
      </c>
      <c r="B1345">
        <v>2044</v>
      </c>
      <c r="C1345">
        <v>47086.619232098783</v>
      </c>
    </row>
    <row r="1346" spans="1:3" x14ac:dyDescent="0.35">
      <c r="A1346" t="s">
        <v>45</v>
      </c>
      <c r="B1346">
        <v>2045</v>
      </c>
      <c r="C1346">
        <v>47750.346991153747</v>
      </c>
    </row>
    <row r="1347" spans="1:3" x14ac:dyDescent="0.35">
      <c r="A1347" t="s">
        <v>45</v>
      </c>
      <c r="B1347">
        <v>2046</v>
      </c>
      <c r="C1347">
        <v>48414.074750208718</v>
      </c>
    </row>
    <row r="1348" spans="1:3" x14ac:dyDescent="0.35">
      <c r="A1348" t="s">
        <v>45</v>
      </c>
      <c r="B1348">
        <v>2047</v>
      </c>
      <c r="C1348">
        <v>49077.802509263674</v>
      </c>
    </row>
    <row r="1349" spans="1:3" x14ac:dyDescent="0.35">
      <c r="A1349" t="s">
        <v>45</v>
      </c>
      <c r="B1349">
        <v>2048</v>
      </c>
      <c r="C1349">
        <v>49741.530268318638</v>
      </c>
    </row>
    <row r="1350" spans="1:3" x14ac:dyDescent="0.35">
      <c r="A1350" t="s">
        <v>45</v>
      </c>
      <c r="B1350">
        <v>2049</v>
      </c>
      <c r="C1350">
        <v>50405.258027373609</v>
      </c>
    </row>
    <row r="1351" spans="1:3" x14ac:dyDescent="0.35">
      <c r="A1351" t="s">
        <v>45</v>
      </c>
      <c r="B1351">
        <v>2050</v>
      </c>
      <c r="C1351">
        <v>51068.985786428573</v>
      </c>
    </row>
    <row r="1352" spans="1:3" x14ac:dyDescent="0.35">
      <c r="A1352" t="s">
        <v>46</v>
      </c>
      <c r="B1352">
        <v>2021</v>
      </c>
      <c r="C1352">
        <v>6625</v>
      </c>
    </row>
    <row r="1353" spans="1:3" x14ac:dyDescent="0.35">
      <c r="A1353" t="s">
        <v>46</v>
      </c>
      <c r="B1353">
        <v>2022</v>
      </c>
      <c r="C1353">
        <v>6619.7884130359516</v>
      </c>
    </row>
    <row r="1354" spans="1:3" x14ac:dyDescent="0.35">
      <c r="A1354" t="s">
        <v>46</v>
      </c>
      <c r="B1354">
        <v>2023</v>
      </c>
      <c r="C1354">
        <v>6614.5768260719042</v>
      </c>
    </row>
    <row r="1355" spans="1:3" x14ac:dyDescent="0.35">
      <c r="A1355" t="s">
        <v>46</v>
      </c>
      <c r="B1355">
        <v>2024</v>
      </c>
      <c r="C1355">
        <v>6609.3652391078567</v>
      </c>
    </row>
    <row r="1356" spans="1:3" x14ac:dyDescent="0.35">
      <c r="A1356" t="s">
        <v>46</v>
      </c>
      <c r="B1356">
        <v>2025</v>
      </c>
      <c r="C1356">
        <v>6604.1536521438093</v>
      </c>
    </row>
    <row r="1357" spans="1:3" x14ac:dyDescent="0.35">
      <c r="A1357" t="s">
        <v>46</v>
      </c>
      <c r="B1357">
        <v>2026</v>
      </c>
      <c r="C1357">
        <v>6598.9420651797609</v>
      </c>
    </row>
    <row r="1358" spans="1:3" x14ac:dyDescent="0.35">
      <c r="A1358" t="s">
        <v>46</v>
      </c>
      <c r="B1358">
        <v>2027</v>
      </c>
      <c r="C1358">
        <v>6593.7304782157134</v>
      </c>
    </row>
    <row r="1359" spans="1:3" x14ac:dyDescent="0.35">
      <c r="A1359" t="s">
        <v>46</v>
      </c>
      <c r="B1359">
        <v>2028</v>
      </c>
      <c r="C1359">
        <v>6588.5188912516651</v>
      </c>
    </row>
    <row r="1360" spans="1:3" x14ac:dyDescent="0.35">
      <c r="A1360" t="s">
        <v>46</v>
      </c>
      <c r="B1360">
        <v>2029</v>
      </c>
      <c r="C1360">
        <v>6583.3073042876176</v>
      </c>
    </row>
    <row r="1361" spans="1:3" x14ac:dyDescent="0.35">
      <c r="A1361" t="s">
        <v>46</v>
      </c>
      <c r="B1361">
        <v>2030</v>
      </c>
      <c r="C1361">
        <v>6578.0957173235693</v>
      </c>
    </row>
    <row r="1362" spans="1:3" x14ac:dyDescent="0.35">
      <c r="A1362" t="s">
        <v>46</v>
      </c>
      <c r="B1362">
        <v>2031</v>
      </c>
      <c r="C1362">
        <v>6572.8841303595254</v>
      </c>
    </row>
    <row r="1363" spans="1:3" x14ac:dyDescent="0.35">
      <c r="A1363" t="s">
        <v>46</v>
      </c>
      <c r="B1363">
        <v>2032</v>
      </c>
      <c r="C1363">
        <v>6555.7563826564046</v>
      </c>
    </row>
    <row r="1364" spans="1:3" x14ac:dyDescent="0.35">
      <c r="A1364" t="s">
        <v>46</v>
      </c>
      <c r="B1364">
        <v>2033</v>
      </c>
      <c r="C1364">
        <v>6538.6286349532838</v>
      </c>
    </row>
    <row r="1365" spans="1:3" x14ac:dyDescent="0.35">
      <c r="A1365" t="s">
        <v>46</v>
      </c>
      <c r="B1365">
        <v>2034</v>
      </c>
      <c r="C1365">
        <v>6521.5008872501639</v>
      </c>
    </row>
    <row r="1366" spans="1:3" x14ac:dyDescent="0.35">
      <c r="A1366" t="s">
        <v>46</v>
      </c>
      <c r="B1366">
        <v>2035</v>
      </c>
      <c r="C1366">
        <v>6504.3731395470431</v>
      </c>
    </row>
    <row r="1367" spans="1:3" x14ac:dyDescent="0.35">
      <c r="A1367" t="s">
        <v>46</v>
      </c>
      <c r="B1367">
        <v>2036</v>
      </c>
      <c r="C1367">
        <v>6487.2453918439232</v>
      </c>
    </row>
    <row r="1368" spans="1:3" x14ac:dyDescent="0.35">
      <c r="A1368" t="s">
        <v>46</v>
      </c>
      <c r="B1368">
        <v>2037</v>
      </c>
      <c r="C1368">
        <v>6470.1176441408024</v>
      </c>
    </row>
    <row r="1369" spans="1:3" x14ac:dyDescent="0.35">
      <c r="A1369" t="s">
        <v>46</v>
      </c>
      <c r="B1369">
        <v>2038</v>
      </c>
      <c r="C1369">
        <v>6452.9898964376825</v>
      </c>
    </row>
    <row r="1370" spans="1:3" x14ac:dyDescent="0.35">
      <c r="A1370" t="s">
        <v>46</v>
      </c>
      <c r="B1370">
        <v>2039</v>
      </c>
      <c r="C1370">
        <v>6435.8621487345617</v>
      </c>
    </row>
    <row r="1371" spans="1:3" x14ac:dyDescent="0.35">
      <c r="A1371" t="s">
        <v>46</v>
      </c>
      <c r="B1371">
        <v>2040</v>
      </c>
      <c r="C1371">
        <v>6418.7344010314409</v>
      </c>
    </row>
    <row r="1372" spans="1:3" x14ac:dyDescent="0.35">
      <c r="A1372" t="s">
        <v>46</v>
      </c>
      <c r="B1372">
        <v>2041</v>
      </c>
      <c r="C1372">
        <v>6401.606653328322</v>
      </c>
    </row>
    <row r="1373" spans="1:3" x14ac:dyDescent="0.35">
      <c r="A1373" t="s">
        <v>46</v>
      </c>
      <c r="B1373">
        <v>2042</v>
      </c>
      <c r="C1373">
        <v>6384.9252237643377</v>
      </c>
    </row>
    <row r="1374" spans="1:3" x14ac:dyDescent="0.35">
      <c r="A1374" t="s">
        <v>46</v>
      </c>
      <c r="B1374">
        <v>2043</v>
      </c>
      <c r="C1374">
        <v>6368.2437942003526</v>
      </c>
    </row>
    <row r="1375" spans="1:3" x14ac:dyDescent="0.35">
      <c r="A1375" t="s">
        <v>46</v>
      </c>
      <c r="B1375">
        <v>2044</v>
      </c>
      <c r="C1375">
        <v>6351.5623646363683</v>
      </c>
    </row>
    <row r="1376" spans="1:3" x14ac:dyDescent="0.35">
      <c r="A1376" t="s">
        <v>46</v>
      </c>
      <c r="B1376">
        <v>2045</v>
      </c>
      <c r="C1376">
        <v>6334.8809350723832</v>
      </c>
    </row>
    <row r="1377" spans="1:3" x14ac:dyDescent="0.35">
      <c r="A1377" t="s">
        <v>46</v>
      </c>
      <c r="B1377">
        <v>2046</v>
      </c>
      <c r="C1377">
        <v>6318.1995055083989</v>
      </c>
    </row>
    <row r="1378" spans="1:3" x14ac:dyDescent="0.35">
      <c r="A1378" t="s">
        <v>46</v>
      </c>
      <c r="B1378">
        <v>2047</v>
      </c>
      <c r="C1378">
        <v>6301.5180759444147</v>
      </c>
    </row>
    <row r="1379" spans="1:3" x14ac:dyDescent="0.35">
      <c r="A1379" t="s">
        <v>46</v>
      </c>
      <c r="B1379">
        <v>2048</v>
      </c>
      <c r="C1379">
        <v>6284.8366463804296</v>
      </c>
    </row>
    <row r="1380" spans="1:3" x14ac:dyDescent="0.35">
      <c r="A1380" t="s">
        <v>46</v>
      </c>
      <c r="B1380">
        <v>2049</v>
      </c>
      <c r="C1380">
        <v>6268.1552168164453</v>
      </c>
    </row>
    <row r="1381" spans="1:3" x14ac:dyDescent="0.35">
      <c r="A1381" t="s">
        <v>46</v>
      </c>
      <c r="B1381">
        <v>2050</v>
      </c>
      <c r="C1381">
        <v>6251.4737872524602</v>
      </c>
    </row>
    <row r="1382" spans="1:3" x14ac:dyDescent="0.35">
      <c r="A1382" t="s">
        <v>47</v>
      </c>
      <c r="B1382">
        <v>2021</v>
      </c>
      <c r="C1382">
        <v>80102</v>
      </c>
    </row>
    <row r="1383" spans="1:3" x14ac:dyDescent="0.35">
      <c r="A1383" t="s">
        <v>47</v>
      </c>
      <c r="B1383">
        <v>2022</v>
      </c>
      <c r="C1383">
        <v>80728.23248431347</v>
      </c>
    </row>
    <row r="1384" spans="1:3" x14ac:dyDescent="0.35">
      <c r="A1384" t="s">
        <v>47</v>
      </c>
      <c r="B1384">
        <v>2023</v>
      </c>
      <c r="C1384">
        <v>81354.46496862694</v>
      </c>
    </row>
    <row r="1385" spans="1:3" x14ac:dyDescent="0.35">
      <c r="A1385" t="s">
        <v>47</v>
      </c>
      <c r="B1385">
        <v>2024</v>
      </c>
      <c r="C1385">
        <v>81980.697452940411</v>
      </c>
    </row>
    <row r="1386" spans="1:3" x14ac:dyDescent="0.35">
      <c r="A1386" t="s">
        <v>47</v>
      </c>
      <c r="B1386">
        <v>2025</v>
      </c>
      <c r="C1386">
        <v>82606.929937253866</v>
      </c>
    </row>
    <row r="1387" spans="1:3" x14ac:dyDescent="0.35">
      <c r="A1387" t="s">
        <v>47</v>
      </c>
      <c r="B1387">
        <v>2026</v>
      </c>
      <c r="C1387">
        <v>83233.162421567351</v>
      </c>
    </row>
    <row r="1388" spans="1:3" x14ac:dyDescent="0.35">
      <c r="A1388" t="s">
        <v>47</v>
      </c>
      <c r="B1388">
        <v>2027</v>
      </c>
      <c r="C1388">
        <v>83859.394905880807</v>
      </c>
    </row>
    <row r="1389" spans="1:3" x14ac:dyDescent="0.35">
      <c r="A1389" t="s">
        <v>47</v>
      </c>
      <c r="B1389">
        <v>2028</v>
      </c>
      <c r="C1389">
        <v>84485.627390194277</v>
      </c>
    </row>
    <row r="1390" spans="1:3" x14ac:dyDescent="0.35">
      <c r="A1390" t="s">
        <v>47</v>
      </c>
      <c r="B1390">
        <v>2029</v>
      </c>
      <c r="C1390">
        <v>85111.859874507732</v>
      </c>
    </row>
    <row r="1391" spans="1:3" x14ac:dyDescent="0.35">
      <c r="A1391" t="s">
        <v>47</v>
      </c>
      <c r="B1391">
        <v>2030</v>
      </c>
      <c r="C1391">
        <v>85738.092358821217</v>
      </c>
    </row>
    <row r="1392" spans="1:3" x14ac:dyDescent="0.35">
      <c r="A1392" t="s">
        <v>47</v>
      </c>
      <c r="B1392">
        <v>2031</v>
      </c>
      <c r="C1392">
        <v>86364.324843134731</v>
      </c>
    </row>
    <row r="1393" spans="1:3" x14ac:dyDescent="0.35">
      <c r="A1393" t="s">
        <v>47</v>
      </c>
      <c r="B1393">
        <v>2032</v>
      </c>
      <c r="C1393">
        <v>86868.77893208107</v>
      </c>
    </row>
    <row r="1394" spans="1:3" x14ac:dyDescent="0.35">
      <c r="A1394" t="s">
        <v>47</v>
      </c>
      <c r="B1394">
        <v>2033</v>
      </c>
      <c r="C1394">
        <v>87373.233021027438</v>
      </c>
    </row>
    <row r="1395" spans="1:3" x14ac:dyDescent="0.35">
      <c r="A1395" t="s">
        <v>47</v>
      </c>
      <c r="B1395">
        <v>2034</v>
      </c>
      <c r="C1395">
        <v>87877.687109973791</v>
      </c>
    </row>
    <row r="1396" spans="1:3" x14ac:dyDescent="0.35">
      <c r="A1396" t="s">
        <v>47</v>
      </c>
      <c r="B1396">
        <v>2035</v>
      </c>
      <c r="C1396">
        <v>88382.141198920144</v>
      </c>
    </row>
    <row r="1397" spans="1:3" x14ac:dyDescent="0.35">
      <c r="A1397" t="s">
        <v>47</v>
      </c>
      <c r="B1397">
        <v>2036</v>
      </c>
      <c r="C1397">
        <v>88886.595287866512</v>
      </c>
    </row>
    <row r="1398" spans="1:3" x14ac:dyDescent="0.35">
      <c r="A1398" t="s">
        <v>47</v>
      </c>
      <c r="B1398">
        <v>2037</v>
      </c>
      <c r="C1398">
        <v>89391.049376812865</v>
      </c>
    </row>
    <row r="1399" spans="1:3" x14ac:dyDescent="0.35">
      <c r="A1399" t="s">
        <v>47</v>
      </c>
      <c r="B1399">
        <v>2038</v>
      </c>
      <c r="C1399">
        <v>89895.503465759219</v>
      </c>
    </row>
    <row r="1400" spans="1:3" x14ac:dyDescent="0.35">
      <c r="A1400" t="s">
        <v>47</v>
      </c>
      <c r="B1400">
        <v>2039</v>
      </c>
      <c r="C1400">
        <v>90399.957554705572</v>
      </c>
    </row>
    <row r="1401" spans="1:3" x14ac:dyDescent="0.35">
      <c r="A1401" t="s">
        <v>47</v>
      </c>
      <c r="B1401">
        <v>2040</v>
      </c>
      <c r="C1401">
        <v>90904.411643651925</v>
      </c>
    </row>
    <row r="1402" spans="1:3" x14ac:dyDescent="0.35">
      <c r="A1402" t="s">
        <v>47</v>
      </c>
      <c r="B1402">
        <v>2041</v>
      </c>
      <c r="C1402">
        <v>91408.865732598264</v>
      </c>
    </row>
    <row r="1403" spans="1:3" x14ac:dyDescent="0.35">
      <c r="A1403" t="s">
        <v>47</v>
      </c>
      <c r="B1403">
        <v>2042</v>
      </c>
      <c r="C1403">
        <v>91942.78498882486</v>
      </c>
    </row>
    <row r="1404" spans="1:3" x14ac:dyDescent="0.35">
      <c r="A1404" t="s">
        <v>47</v>
      </c>
      <c r="B1404">
        <v>2043</v>
      </c>
      <c r="C1404">
        <v>92476.704245051442</v>
      </c>
    </row>
    <row r="1405" spans="1:3" x14ac:dyDescent="0.35">
      <c r="A1405" t="s">
        <v>47</v>
      </c>
      <c r="B1405">
        <v>2044</v>
      </c>
      <c r="C1405">
        <v>93010.623501278038</v>
      </c>
    </row>
    <row r="1406" spans="1:3" x14ac:dyDescent="0.35">
      <c r="A1406" t="s">
        <v>47</v>
      </c>
      <c r="B1406">
        <v>2045</v>
      </c>
      <c r="C1406">
        <v>93544.54275750462</v>
      </c>
    </row>
    <row r="1407" spans="1:3" x14ac:dyDescent="0.35">
      <c r="A1407" t="s">
        <v>47</v>
      </c>
      <c r="B1407">
        <v>2046</v>
      </c>
      <c r="C1407">
        <v>94078.46201373123</v>
      </c>
    </row>
    <row r="1408" spans="1:3" x14ac:dyDescent="0.35">
      <c r="A1408" t="s">
        <v>47</v>
      </c>
      <c r="B1408">
        <v>2047</v>
      </c>
      <c r="C1408">
        <v>94612.381269957797</v>
      </c>
    </row>
    <row r="1409" spans="1:3" x14ac:dyDescent="0.35">
      <c r="A1409" t="s">
        <v>47</v>
      </c>
      <c r="B1409">
        <v>2048</v>
      </c>
      <c r="C1409">
        <v>95146.300526184408</v>
      </c>
    </row>
    <row r="1410" spans="1:3" x14ac:dyDescent="0.35">
      <c r="A1410" t="s">
        <v>47</v>
      </c>
      <c r="B1410">
        <v>2049</v>
      </c>
      <c r="C1410">
        <v>95680.219782410975</v>
      </c>
    </row>
    <row r="1411" spans="1:3" x14ac:dyDescent="0.35">
      <c r="A1411" t="s">
        <v>47</v>
      </c>
      <c r="B1411">
        <v>2050</v>
      </c>
      <c r="C1411">
        <v>96214.139038637586</v>
      </c>
    </row>
    <row r="1412" spans="1:3" x14ac:dyDescent="0.35">
      <c r="A1412" t="s">
        <v>48</v>
      </c>
      <c r="B1412">
        <v>2021</v>
      </c>
      <c r="C1412">
        <v>57797</v>
      </c>
    </row>
    <row r="1413" spans="1:3" x14ac:dyDescent="0.35">
      <c r="A1413" t="s">
        <v>48</v>
      </c>
      <c r="B1413">
        <v>2022</v>
      </c>
      <c r="C1413">
        <v>58598.047170220729</v>
      </c>
    </row>
    <row r="1414" spans="1:3" x14ac:dyDescent="0.35">
      <c r="A1414" t="s">
        <v>48</v>
      </c>
      <c r="B1414">
        <v>2023</v>
      </c>
      <c r="C1414">
        <v>59399.094340441457</v>
      </c>
    </row>
    <row r="1415" spans="1:3" x14ac:dyDescent="0.35">
      <c r="A1415" t="s">
        <v>48</v>
      </c>
      <c r="B1415">
        <v>2024</v>
      </c>
      <c r="C1415">
        <v>60200.141510662186</v>
      </c>
    </row>
    <row r="1416" spans="1:3" x14ac:dyDescent="0.35">
      <c r="A1416" t="s">
        <v>48</v>
      </c>
      <c r="B1416">
        <v>2025</v>
      </c>
      <c r="C1416">
        <v>61001.188680882922</v>
      </c>
    </row>
    <row r="1417" spans="1:3" x14ac:dyDescent="0.35">
      <c r="A1417" t="s">
        <v>48</v>
      </c>
      <c r="B1417">
        <v>2026</v>
      </c>
      <c r="C1417">
        <v>61802.235851103651</v>
      </c>
    </row>
    <row r="1418" spans="1:3" x14ac:dyDescent="0.35">
      <c r="A1418" t="s">
        <v>48</v>
      </c>
      <c r="B1418">
        <v>2027</v>
      </c>
      <c r="C1418">
        <v>62603.28302132438</v>
      </c>
    </row>
    <row r="1419" spans="1:3" x14ac:dyDescent="0.35">
      <c r="A1419" t="s">
        <v>48</v>
      </c>
      <c r="B1419">
        <v>2028</v>
      </c>
      <c r="C1419">
        <v>63404.330191545094</v>
      </c>
    </row>
    <row r="1420" spans="1:3" x14ac:dyDescent="0.35">
      <c r="A1420" t="s">
        <v>48</v>
      </c>
      <c r="B1420">
        <v>2029</v>
      </c>
      <c r="C1420">
        <v>64205.37736176583</v>
      </c>
    </row>
    <row r="1421" spans="1:3" x14ac:dyDescent="0.35">
      <c r="A1421" t="s">
        <v>48</v>
      </c>
      <c r="B1421">
        <v>2030</v>
      </c>
      <c r="C1421">
        <v>65006.424531986559</v>
      </c>
    </row>
    <row r="1422" spans="1:3" x14ac:dyDescent="0.35">
      <c r="A1422" t="s">
        <v>48</v>
      </c>
      <c r="B1422">
        <v>2031</v>
      </c>
      <c r="C1422">
        <v>65807.471702207287</v>
      </c>
    </row>
    <row r="1423" spans="1:3" x14ac:dyDescent="0.35">
      <c r="A1423" t="s">
        <v>48</v>
      </c>
      <c r="B1423">
        <v>2032</v>
      </c>
      <c r="C1423">
        <v>66582.153908980021</v>
      </c>
    </row>
    <row r="1424" spans="1:3" x14ac:dyDescent="0.35">
      <c r="A1424" t="s">
        <v>48</v>
      </c>
      <c r="B1424">
        <v>2033</v>
      </c>
      <c r="C1424">
        <v>67356.83611575274</v>
      </c>
    </row>
    <row r="1425" spans="1:3" x14ac:dyDescent="0.35">
      <c r="A1425" t="s">
        <v>48</v>
      </c>
      <c r="B1425">
        <v>2034</v>
      </c>
      <c r="C1425">
        <v>68131.518322525473</v>
      </c>
    </row>
    <row r="1426" spans="1:3" x14ac:dyDescent="0.35">
      <c r="A1426" t="s">
        <v>48</v>
      </c>
      <c r="B1426">
        <v>2035</v>
      </c>
      <c r="C1426">
        <v>68906.200529298207</v>
      </c>
    </row>
    <row r="1427" spans="1:3" x14ac:dyDescent="0.35">
      <c r="A1427" t="s">
        <v>48</v>
      </c>
      <c r="B1427">
        <v>2036</v>
      </c>
      <c r="C1427">
        <v>69680.88273607094</v>
      </c>
    </row>
    <row r="1428" spans="1:3" x14ac:dyDescent="0.35">
      <c r="A1428" t="s">
        <v>48</v>
      </c>
      <c r="B1428">
        <v>2037</v>
      </c>
      <c r="C1428">
        <v>70455.564942843674</v>
      </c>
    </row>
    <row r="1429" spans="1:3" x14ac:dyDescent="0.35">
      <c r="A1429" t="s">
        <v>48</v>
      </c>
      <c r="B1429">
        <v>2038</v>
      </c>
      <c r="C1429">
        <v>71230.247149616407</v>
      </c>
    </row>
    <row r="1430" spans="1:3" x14ac:dyDescent="0.35">
      <c r="A1430" t="s">
        <v>48</v>
      </c>
      <c r="B1430">
        <v>2039</v>
      </c>
      <c r="C1430">
        <v>72004.929356389141</v>
      </c>
    </row>
    <row r="1431" spans="1:3" x14ac:dyDescent="0.35">
      <c r="A1431" t="s">
        <v>48</v>
      </c>
      <c r="B1431">
        <v>2040</v>
      </c>
      <c r="C1431">
        <v>72779.611563161874</v>
      </c>
    </row>
    <row r="1432" spans="1:3" x14ac:dyDescent="0.35">
      <c r="A1432" t="s">
        <v>48</v>
      </c>
      <c r="B1432">
        <v>2041</v>
      </c>
      <c r="C1432">
        <v>73554.293769934651</v>
      </c>
    </row>
    <row r="1433" spans="1:3" x14ac:dyDescent="0.35">
      <c r="A1433" t="s">
        <v>48</v>
      </c>
      <c r="B1433">
        <v>2042</v>
      </c>
      <c r="C1433">
        <v>74420.171171715934</v>
      </c>
    </row>
    <row r="1434" spans="1:3" x14ac:dyDescent="0.35">
      <c r="A1434" t="s">
        <v>48</v>
      </c>
      <c r="B1434">
        <v>2043</v>
      </c>
      <c r="C1434">
        <v>75286.048573497232</v>
      </c>
    </row>
    <row r="1435" spans="1:3" x14ac:dyDescent="0.35">
      <c r="A1435" t="s">
        <v>48</v>
      </c>
      <c r="B1435">
        <v>2044</v>
      </c>
      <c r="C1435">
        <v>76151.925975278515</v>
      </c>
    </row>
    <row r="1436" spans="1:3" x14ac:dyDescent="0.35">
      <c r="A1436" t="s">
        <v>48</v>
      </c>
      <c r="B1436">
        <v>2045</v>
      </c>
      <c r="C1436">
        <v>77017.803377059812</v>
      </c>
    </row>
    <row r="1437" spans="1:3" x14ac:dyDescent="0.35">
      <c r="A1437" t="s">
        <v>48</v>
      </c>
      <c r="B1437">
        <v>2046</v>
      </c>
      <c r="C1437">
        <v>77883.68077884111</v>
      </c>
    </row>
    <row r="1438" spans="1:3" x14ac:dyDescent="0.35">
      <c r="A1438" t="s">
        <v>48</v>
      </c>
      <c r="B1438">
        <v>2047</v>
      </c>
      <c r="C1438">
        <v>78749.558180622393</v>
      </c>
    </row>
    <row r="1439" spans="1:3" x14ac:dyDescent="0.35">
      <c r="A1439" t="s">
        <v>48</v>
      </c>
      <c r="B1439">
        <v>2048</v>
      </c>
      <c r="C1439">
        <v>79615.435582403676</v>
      </c>
    </row>
    <row r="1440" spans="1:3" x14ac:dyDescent="0.35">
      <c r="A1440" t="s">
        <v>48</v>
      </c>
      <c r="B1440">
        <v>2049</v>
      </c>
      <c r="C1440">
        <v>80481.312984184973</v>
      </c>
    </row>
    <row r="1441" spans="1:3" x14ac:dyDescent="0.35">
      <c r="A1441" t="s">
        <v>48</v>
      </c>
      <c r="B1441">
        <v>2050</v>
      </c>
      <c r="C1441">
        <v>81347.190385966271</v>
      </c>
    </row>
    <row r="1442" spans="1:3" x14ac:dyDescent="0.35">
      <c r="A1442" t="s">
        <v>49</v>
      </c>
      <c r="B1442">
        <v>2021</v>
      </c>
      <c r="C1442">
        <v>16079</v>
      </c>
    </row>
    <row r="1443" spans="1:3" x14ac:dyDescent="0.35">
      <c r="A1443" t="s">
        <v>49</v>
      </c>
      <c r="B1443">
        <v>2022</v>
      </c>
      <c r="C1443">
        <v>16029.575874142631</v>
      </c>
    </row>
    <row r="1444" spans="1:3" x14ac:dyDescent="0.35">
      <c r="A1444" t="s">
        <v>49</v>
      </c>
      <c r="B1444">
        <v>2023</v>
      </c>
      <c r="C1444">
        <v>15980.151748285261</v>
      </c>
    </row>
    <row r="1445" spans="1:3" x14ac:dyDescent="0.35">
      <c r="A1445" t="s">
        <v>49</v>
      </c>
      <c r="B1445">
        <v>2024</v>
      </c>
      <c r="C1445">
        <v>15930.727622427888</v>
      </c>
    </row>
    <row r="1446" spans="1:3" x14ac:dyDescent="0.35">
      <c r="A1446" t="s">
        <v>49</v>
      </c>
      <c r="B1446">
        <v>2025</v>
      </c>
      <c r="C1446">
        <v>15881.303496570519</v>
      </c>
    </row>
    <row r="1447" spans="1:3" x14ac:dyDescent="0.35">
      <c r="A1447" t="s">
        <v>49</v>
      </c>
      <c r="B1447">
        <v>2026</v>
      </c>
      <c r="C1447">
        <v>15831.87937071315</v>
      </c>
    </row>
    <row r="1448" spans="1:3" x14ac:dyDescent="0.35">
      <c r="A1448" t="s">
        <v>49</v>
      </c>
      <c r="B1448">
        <v>2027</v>
      </c>
      <c r="C1448">
        <v>15782.455244855781</v>
      </c>
    </row>
    <row r="1449" spans="1:3" x14ac:dyDescent="0.35">
      <c r="A1449" t="s">
        <v>49</v>
      </c>
      <c r="B1449">
        <v>2028</v>
      </c>
      <c r="C1449">
        <v>15733.03111899841</v>
      </c>
    </row>
    <row r="1450" spans="1:3" x14ac:dyDescent="0.35">
      <c r="A1450" t="s">
        <v>49</v>
      </c>
      <c r="B1450">
        <v>2029</v>
      </c>
      <c r="C1450">
        <v>15683.606993141038</v>
      </c>
    </row>
    <row r="1451" spans="1:3" x14ac:dyDescent="0.35">
      <c r="A1451" t="s">
        <v>49</v>
      </c>
      <c r="B1451">
        <v>2030</v>
      </c>
      <c r="C1451">
        <v>15634.182867283669</v>
      </c>
    </row>
    <row r="1452" spans="1:3" x14ac:dyDescent="0.35">
      <c r="A1452" t="s">
        <v>49</v>
      </c>
      <c r="B1452">
        <v>2031</v>
      </c>
      <c r="C1452">
        <v>15584.758741426305</v>
      </c>
    </row>
    <row r="1453" spans="1:3" x14ac:dyDescent="0.35">
      <c r="A1453" t="s">
        <v>49</v>
      </c>
      <c r="B1453">
        <v>2032</v>
      </c>
      <c r="C1453">
        <v>15509.156172941422</v>
      </c>
    </row>
    <row r="1454" spans="1:3" x14ac:dyDescent="0.35">
      <c r="A1454" t="s">
        <v>49</v>
      </c>
      <c r="B1454">
        <v>2033</v>
      </c>
      <c r="C1454">
        <v>15433.553604456538</v>
      </c>
    </row>
    <row r="1455" spans="1:3" x14ac:dyDescent="0.35">
      <c r="A1455" t="s">
        <v>49</v>
      </c>
      <c r="B1455">
        <v>2034</v>
      </c>
      <c r="C1455">
        <v>15357.951035971653</v>
      </c>
    </row>
    <row r="1456" spans="1:3" x14ac:dyDescent="0.35">
      <c r="A1456" t="s">
        <v>49</v>
      </c>
      <c r="B1456">
        <v>2035</v>
      </c>
      <c r="C1456">
        <v>15282.348467486769</v>
      </c>
    </row>
    <row r="1457" spans="1:3" x14ac:dyDescent="0.35">
      <c r="A1457" t="s">
        <v>49</v>
      </c>
      <c r="B1457">
        <v>2036</v>
      </c>
      <c r="C1457">
        <v>15206.745899001884</v>
      </c>
    </row>
    <row r="1458" spans="1:3" x14ac:dyDescent="0.35">
      <c r="A1458" t="s">
        <v>49</v>
      </c>
      <c r="B1458">
        <v>2037</v>
      </c>
      <c r="C1458">
        <v>15131.143330516999</v>
      </c>
    </row>
    <row r="1459" spans="1:3" x14ac:dyDescent="0.35">
      <c r="A1459" t="s">
        <v>49</v>
      </c>
      <c r="B1459">
        <v>2038</v>
      </c>
      <c r="C1459">
        <v>15055.540762032115</v>
      </c>
    </row>
    <row r="1460" spans="1:3" x14ac:dyDescent="0.35">
      <c r="A1460" t="s">
        <v>49</v>
      </c>
      <c r="B1460">
        <v>2039</v>
      </c>
      <c r="C1460">
        <v>14979.93819354723</v>
      </c>
    </row>
    <row r="1461" spans="1:3" x14ac:dyDescent="0.35">
      <c r="A1461" t="s">
        <v>49</v>
      </c>
      <c r="B1461">
        <v>2040</v>
      </c>
      <c r="C1461">
        <v>14904.335625062347</v>
      </c>
    </row>
    <row r="1462" spans="1:3" x14ac:dyDescent="0.35">
      <c r="A1462" t="s">
        <v>49</v>
      </c>
      <c r="B1462">
        <v>2041</v>
      </c>
      <c r="C1462">
        <v>14828.733056577466</v>
      </c>
    </row>
    <row r="1463" spans="1:3" x14ac:dyDescent="0.35">
      <c r="A1463" t="s">
        <v>49</v>
      </c>
      <c r="B1463">
        <v>2042</v>
      </c>
      <c r="C1463">
        <v>14756.798012535111</v>
      </c>
    </row>
    <row r="1464" spans="1:3" x14ac:dyDescent="0.35">
      <c r="A1464" t="s">
        <v>49</v>
      </c>
      <c r="B1464">
        <v>2043</v>
      </c>
      <c r="C1464">
        <v>14684.862968492756</v>
      </c>
    </row>
    <row r="1465" spans="1:3" x14ac:dyDescent="0.35">
      <c r="A1465" t="s">
        <v>49</v>
      </c>
      <c r="B1465">
        <v>2044</v>
      </c>
      <c r="C1465">
        <v>14612.927924450401</v>
      </c>
    </row>
    <row r="1466" spans="1:3" x14ac:dyDescent="0.35">
      <c r="A1466" t="s">
        <v>49</v>
      </c>
      <c r="B1466">
        <v>2045</v>
      </c>
      <c r="C1466">
        <v>14540.992880408046</v>
      </c>
    </row>
    <row r="1467" spans="1:3" x14ac:dyDescent="0.35">
      <c r="A1467" t="s">
        <v>49</v>
      </c>
      <c r="B1467">
        <v>2046</v>
      </c>
      <c r="C1467">
        <v>14469.057836365693</v>
      </c>
    </row>
    <row r="1468" spans="1:3" x14ac:dyDescent="0.35">
      <c r="A1468" t="s">
        <v>49</v>
      </c>
      <c r="B1468">
        <v>2047</v>
      </c>
      <c r="C1468">
        <v>14397.122792323338</v>
      </c>
    </row>
    <row r="1469" spans="1:3" x14ac:dyDescent="0.35">
      <c r="A1469" t="s">
        <v>49</v>
      </c>
      <c r="B1469">
        <v>2048</v>
      </c>
      <c r="C1469">
        <v>14325.187748280983</v>
      </c>
    </row>
    <row r="1470" spans="1:3" x14ac:dyDescent="0.35">
      <c r="A1470" t="s">
        <v>49</v>
      </c>
      <c r="B1470">
        <v>2049</v>
      </c>
      <c r="C1470">
        <v>14253.25270423863</v>
      </c>
    </row>
    <row r="1471" spans="1:3" x14ac:dyDescent="0.35">
      <c r="A1471" t="s">
        <v>49</v>
      </c>
      <c r="B1471">
        <v>2050</v>
      </c>
      <c r="C1471">
        <v>14181.317660196275</v>
      </c>
    </row>
    <row r="1472" spans="1:3" x14ac:dyDescent="0.35">
      <c r="A1472" t="s">
        <v>50</v>
      </c>
      <c r="B1472">
        <v>2021</v>
      </c>
      <c r="C1472">
        <v>64983</v>
      </c>
    </row>
    <row r="1473" spans="1:3" x14ac:dyDescent="0.35">
      <c r="A1473" t="s">
        <v>50</v>
      </c>
      <c r="B1473">
        <v>2022</v>
      </c>
      <c r="C1473">
        <v>65132.667206128557</v>
      </c>
    </row>
    <row r="1474" spans="1:3" x14ac:dyDescent="0.35">
      <c r="A1474" t="s">
        <v>50</v>
      </c>
      <c r="B1474">
        <v>2023</v>
      </c>
      <c r="C1474">
        <v>65282.3344122571</v>
      </c>
    </row>
    <row r="1475" spans="1:3" x14ac:dyDescent="0.35">
      <c r="A1475" t="s">
        <v>50</v>
      </c>
      <c r="B1475">
        <v>2024</v>
      </c>
      <c r="C1475">
        <v>65432.001618385664</v>
      </c>
    </row>
    <row r="1476" spans="1:3" x14ac:dyDescent="0.35">
      <c r="A1476" t="s">
        <v>50</v>
      </c>
      <c r="B1476">
        <v>2025</v>
      </c>
      <c r="C1476">
        <v>65581.668824514214</v>
      </c>
    </row>
    <row r="1477" spans="1:3" x14ac:dyDescent="0.35">
      <c r="A1477" t="s">
        <v>50</v>
      </c>
      <c r="B1477">
        <v>2026</v>
      </c>
      <c r="C1477">
        <v>65731.336030642764</v>
      </c>
    </row>
    <row r="1478" spans="1:3" x14ac:dyDescent="0.35">
      <c r="A1478" t="s">
        <v>50</v>
      </c>
      <c r="B1478">
        <v>2027</v>
      </c>
      <c r="C1478">
        <v>65881.003236771328</v>
      </c>
    </row>
    <row r="1479" spans="1:3" x14ac:dyDescent="0.35">
      <c r="A1479" t="s">
        <v>50</v>
      </c>
      <c r="B1479">
        <v>2028</v>
      </c>
      <c r="C1479">
        <v>66030.670442899878</v>
      </c>
    </row>
    <row r="1480" spans="1:3" x14ac:dyDescent="0.35">
      <c r="A1480" t="s">
        <v>50</v>
      </c>
      <c r="B1480">
        <v>2029</v>
      </c>
      <c r="C1480">
        <v>66180.337649028428</v>
      </c>
    </row>
    <row r="1481" spans="1:3" x14ac:dyDescent="0.35">
      <c r="A1481" t="s">
        <v>50</v>
      </c>
      <c r="B1481">
        <v>2030</v>
      </c>
      <c r="C1481">
        <v>66330.004855156993</v>
      </c>
    </row>
    <row r="1482" spans="1:3" x14ac:dyDescent="0.35">
      <c r="A1482" t="s">
        <v>50</v>
      </c>
      <c r="B1482">
        <v>2031</v>
      </c>
      <c r="C1482">
        <v>66479.672061285542</v>
      </c>
    </row>
    <row r="1483" spans="1:3" x14ac:dyDescent="0.35">
      <c r="A1483" t="s">
        <v>50</v>
      </c>
      <c r="B1483">
        <v>2032</v>
      </c>
      <c r="C1483">
        <v>66508.082510931432</v>
      </c>
    </row>
    <row r="1484" spans="1:3" x14ac:dyDescent="0.35">
      <c r="A1484" t="s">
        <v>50</v>
      </c>
      <c r="B1484">
        <v>2033</v>
      </c>
      <c r="C1484">
        <v>66536.492960577321</v>
      </c>
    </row>
    <row r="1485" spans="1:3" x14ac:dyDescent="0.35">
      <c r="A1485" t="s">
        <v>50</v>
      </c>
      <c r="B1485">
        <v>2034</v>
      </c>
      <c r="C1485">
        <v>66564.903410223211</v>
      </c>
    </row>
    <row r="1486" spans="1:3" x14ac:dyDescent="0.35">
      <c r="A1486" t="s">
        <v>50</v>
      </c>
      <c r="B1486">
        <v>2035</v>
      </c>
      <c r="C1486">
        <v>66593.313859869115</v>
      </c>
    </row>
    <row r="1487" spans="1:3" x14ac:dyDescent="0.35">
      <c r="A1487" t="s">
        <v>50</v>
      </c>
      <c r="B1487">
        <v>2036</v>
      </c>
      <c r="C1487">
        <v>66621.724309515004</v>
      </c>
    </row>
    <row r="1488" spans="1:3" x14ac:dyDescent="0.35">
      <c r="A1488" t="s">
        <v>50</v>
      </c>
      <c r="B1488">
        <v>2037</v>
      </c>
      <c r="C1488">
        <v>66650.134759160894</v>
      </c>
    </row>
    <row r="1489" spans="1:3" x14ac:dyDescent="0.35">
      <c r="A1489" t="s">
        <v>50</v>
      </c>
      <c r="B1489">
        <v>2038</v>
      </c>
      <c r="C1489">
        <v>66678.545208806783</v>
      </c>
    </row>
    <row r="1490" spans="1:3" x14ac:dyDescent="0.35">
      <c r="A1490" t="s">
        <v>50</v>
      </c>
      <c r="B1490">
        <v>2039</v>
      </c>
      <c r="C1490">
        <v>66706.955658452673</v>
      </c>
    </row>
    <row r="1491" spans="1:3" x14ac:dyDescent="0.35">
      <c r="A1491" t="s">
        <v>50</v>
      </c>
      <c r="B1491">
        <v>2040</v>
      </c>
      <c r="C1491">
        <v>66735.366108098577</v>
      </c>
    </row>
    <row r="1492" spans="1:3" x14ac:dyDescent="0.35">
      <c r="A1492" t="s">
        <v>50</v>
      </c>
      <c r="B1492">
        <v>2041</v>
      </c>
      <c r="C1492">
        <v>66763.77655774451</v>
      </c>
    </row>
    <row r="1493" spans="1:3" x14ac:dyDescent="0.35">
      <c r="A1493" t="s">
        <v>50</v>
      </c>
      <c r="B1493">
        <v>2042</v>
      </c>
      <c r="C1493">
        <v>66792.308420993111</v>
      </c>
    </row>
    <row r="1494" spans="1:3" x14ac:dyDescent="0.35">
      <c r="A1494" t="s">
        <v>50</v>
      </c>
      <c r="B1494">
        <v>2043</v>
      </c>
      <c r="C1494">
        <v>66820.840284241684</v>
      </c>
    </row>
    <row r="1495" spans="1:3" x14ac:dyDescent="0.35">
      <c r="A1495" t="s">
        <v>50</v>
      </c>
      <c r="B1495">
        <v>2044</v>
      </c>
      <c r="C1495">
        <v>66849.372147490285</v>
      </c>
    </row>
    <row r="1496" spans="1:3" x14ac:dyDescent="0.35">
      <c r="A1496" t="s">
        <v>50</v>
      </c>
      <c r="B1496">
        <v>2045</v>
      </c>
      <c r="C1496">
        <v>66877.904010738857</v>
      </c>
    </row>
    <row r="1497" spans="1:3" x14ac:dyDescent="0.35">
      <c r="A1497" t="s">
        <v>50</v>
      </c>
      <c r="B1497">
        <v>2046</v>
      </c>
      <c r="C1497">
        <v>66906.435873987444</v>
      </c>
    </row>
    <row r="1498" spans="1:3" x14ac:dyDescent="0.35">
      <c r="A1498" t="s">
        <v>50</v>
      </c>
      <c r="B1498">
        <v>2047</v>
      </c>
      <c r="C1498">
        <v>66934.967737236031</v>
      </c>
    </row>
    <row r="1499" spans="1:3" x14ac:dyDescent="0.35">
      <c r="A1499" t="s">
        <v>50</v>
      </c>
      <c r="B1499">
        <v>2048</v>
      </c>
      <c r="C1499">
        <v>66963.499600484618</v>
      </c>
    </row>
    <row r="1500" spans="1:3" x14ac:dyDescent="0.35">
      <c r="A1500" t="s">
        <v>50</v>
      </c>
      <c r="B1500">
        <v>2049</v>
      </c>
      <c r="C1500">
        <v>66992.031463733219</v>
      </c>
    </row>
    <row r="1501" spans="1:3" x14ac:dyDescent="0.35">
      <c r="A1501" t="s">
        <v>50</v>
      </c>
      <c r="B1501">
        <v>2050</v>
      </c>
      <c r="C1501">
        <v>67020.563326981792</v>
      </c>
    </row>
    <row r="1502" spans="1:3" x14ac:dyDescent="0.35">
      <c r="A1502" t="s">
        <v>51</v>
      </c>
      <c r="B1502">
        <v>2021</v>
      </c>
      <c r="C1502">
        <v>11097</v>
      </c>
    </row>
    <row r="1503" spans="1:3" x14ac:dyDescent="0.35">
      <c r="A1503" t="s">
        <v>51</v>
      </c>
      <c r="B1503">
        <v>2022</v>
      </c>
      <c r="C1503">
        <v>11136.036968472039</v>
      </c>
    </row>
    <row r="1504" spans="1:3" x14ac:dyDescent="0.35">
      <c r="A1504" t="s">
        <v>51</v>
      </c>
      <c r="B1504">
        <v>2023</v>
      </c>
      <c r="C1504">
        <v>11175.07393694408</v>
      </c>
    </row>
    <row r="1505" spans="1:3" x14ac:dyDescent="0.35">
      <c r="A1505" t="s">
        <v>51</v>
      </c>
      <c r="B1505">
        <v>2024</v>
      </c>
      <c r="C1505">
        <v>11214.110905416119</v>
      </c>
    </row>
    <row r="1506" spans="1:3" x14ac:dyDescent="0.35">
      <c r="A1506" t="s">
        <v>51</v>
      </c>
      <c r="B1506">
        <v>2025</v>
      </c>
      <c r="C1506">
        <v>11253.14787388816</v>
      </c>
    </row>
    <row r="1507" spans="1:3" x14ac:dyDescent="0.35">
      <c r="A1507" t="s">
        <v>51</v>
      </c>
      <c r="B1507">
        <v>2026</v>
      </c>
      <c r="C1507">
        <v>11292.184842360199</v>
      </c>
    </row>
    <row r="1508" spans="1:3" x14ac:dyDescent="0.35">
      <c r="A1508" t="s">
        <v>51</v>
      </c>
      <c r="B1508">
        <v>2027</v>
      </c>
      <c r="C1508">
        <v>11331.221810832239</v>
      </c>
    </row>
    <row r="1509" spans="1:3" x14ac:dyDescent="0.35">
      <c r="A1509" t="s">
        <v>51</v>
      </c>
      <c r="B1509">
        <v>2028</v>
      </c>
      <c r="C1509">
        <v>11370.258779304279</v>
      </c>
    </row>
    <row r="1510" spans="1:3" x14ac:dyDescent="0.35">
      <c r="A1510" t="s">
        <v>51</v>
      </c>
      <c r="B1510">
        <v>2029</v>
      </c>
      <c r="C1510">
        <v>11409.295747776319</v>
      </c>
    </row>
    <row r="1511" spans="1:3" x14ac:dyDescent="0.35">
      <c r="A1511" t="s">
        <v>51</v>
      </c>
      <c r="B1511">
        <v>2030</v>
      </c>
      <c r="C1511">
        <v>11448.332716248358</v>
      </c>
    </row>
    <row r="1512" spans="1:3" x14ac:dyDescent="0.35">
      <c r="A1512" t="s">
        <v>51</v>
      </c>
      <c r="B1512">
        <v>2031</v>
      </c>
      <c r="C1512">
        <v>11487.369684720405</v>
      </c>
    </row>
    <row r="1513" spans="1:3" x14ac:dyDescent="0.35">
      <c r="A1513" t="s">
        <v>51</v>
      </c>
      <c r="B1513">
        <v>2032</v>
      </c>
      <c r="C1513">
        <v>11505.97582679161</v>
      </c>
    </row>
    <row r="1514" spans="1:3" x14ac:dyDescent="0.35">
      <c r="A1514" t="s">
        <v>51</v>
      </c>
      <c r="B1514">
        <v>2033</v>
      </c>
      <c r="C1514">
        <v>11524.581968862813</v>
      </c>
    </row>
    <row r="1515" spans="1:3" x14ac:dyDescent="0.35">
      <c r="A1515" t="s">
        <v>51</v>
      </c>
      <c r="B1515">
        <v>2034</v>
      </c>
      <c r="C1515">
        <v>11543.188110934021</v>
      </c>
    </row>
    <row r="1516" spans="1:3" x14ac:dyDescent="0.35">
      <c r="A1516" t="s">
        <v>51</v>
      </c>
      <c r="B1516">
        <v>2035</v>
      </c>
      <c r="C1516">
        <v>11561.794253005226</v>
      </c>
    </row>
    <row r="1517" spans="1:3" x14ac:dyDescent="0.35">
      <c r="A1517" t="s">
        <v>51</v>
      </c>
      <c r="B1517">
        <v>2036</v>
      </c>
      <c r="C1517">
        <v>11580.400395076433</v>
      </c>
    </row>
    <row r="1518" spans="1:3" x14ac:dyDescent="0.35">
      <c r="A1518" t="s">
        <v>51</v>
      </c>
      <c r="B1518">
        <v>2037</v>
      </c>
      <c r="C1518">
        <v>11599.006537147638</v>
      </c>
    </row>
    <row r="1519" spans="1:3" x14ac:dyDescent="0.35">
      <c r="A1519" t="s">
        <v>51</v>
      </c>
      <c r="B1519">
        <v>2038</v>
      </c>
      <c r="C1519">
        <v>11617.612679218842</v>
      </c>
    </row>
    <row r="1520" spans="1:3" x14ac:dyDescent="0.35">
      <c r="A1520" t="s">
        <v>51</v>
      </c>
      <c r="B1520">
        <v>2039</v>
      </c>
      <c r="C1520">
        <v>11636.218821290049</v>
      </c>
    </row>
    <row r="1521" spans="1:3" x14ac:dyDescent="0.35">
      <c r="A1521" t="s">
        <v>51</v>
      </c>
      <c r="B1521">
        <v>2040</v>
      </c>
      <c r="C1521">
        <v>11654.824963361254</v>
      </c>
    </row>
    <row r="1522" spans="1:3" x14ac:dyDescent="0.35">
      <c r="A1522" t="s">
        <v>51</v>
      </c>
      <c r="B1522">
        <v>2041</v>
      </c>
      <c r="C1522">
        <v>11673.431105432459</v>
      </c>
    </row>
    <row r="1523" spans="1:3" x14ac:dyDescent="0.35">
      <c r="A1523" t="s">
        <v>51</v>
      </c>
      <c r="B1523">
        <v>2042</v>
      </c>
      <c r="C1523">
        <v>11692.338611986806</v>
      </c>
    </row>
    <row r="1524" spans="1:3" x14ac:dyDescent="0.35">
      <c r="A1524" t="s">
        <v>51</v>
      </c>
      <c r="B1524">
        <v>2043</v>
      </c>
      <c r="C1524">
        <v>11711.246118541158</v>
      </c>
    </row>
    <row r="1525" spans="1:3" x14ac:dyDescent="0.35">
      <c r="A1525" t="s">
        <v>51</v>
      </c>
      <c r="B1525">
        <v>2044</v>
      </c>
      <c r="C1525">
        <v>11730.153625095507</v>
      </c>
    </row>
    <row r="1526" spans="1:3" x14ac:dyDescent="0.35">
      <c r="A1526" t="s">
        <v>51</v>
      </c>
      <c r="B1526">
        <v>2045</v>
      </c>
      <c r="C1526">
        <v>11749.061131649858</v>
      </c>
    </row>
    <row r="1527" spans="1:3" x14ac:dyDescent="0.35">
      <c r="A1527" t="s">
        <v>51</v>
      </c>
      <c r="B1527">
        <v>2046</v>
      </c>
      <c r="C1527">
        <v>11767.968638204209</v>
      </c>
    </row>
    <row r="1528" spans="1:3" x14ac:dyDescent="0.35">
      <c r="A1528" t="s">
        <v>51</v>
      </c>
      <c r="B1528">
        <v>2047</v>
      </c>
      <c r="C1528">
        <v>11786.876144758558</v>
      </c>
    </row>
    <row r="1529" spans="1:3" x14ac:dyDescent="0.35">
      <c r="A1529" t="s">
        <v>51</v>
      </c>
      <c r="B1529">
        <v>2048</v>
      </c>
      <c r="C1529">
        <v>11805.78365131291</v>
      </c>
    </row>
    <row r="1530" spans="1:3" x14ac:dyDescent="0.35">
      <c r="A1530" t="s">
        <v>51</v>
      </c>
      <c r="B1530">
        <v>2049</v>
      </c>
      <c r="C1530">
        <v>11824.691157867261</v>
      </c>
    </row>
    <row r="1531" spans="1:3" x14ac:dyDescent="0.35">
      <c r="A1531" t="s">
        <v>51</v>
      </c>
      <c r="B1531">
        <v>2050</v>
      </c>
      <c r="C1531">
        <v>11843.598664421608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1F6A-6185-4EB9-A55F-8C1688B3E5F8}">
  <dimension ref="A1:J52"/>
  <sheetViews>
    <sheetView workbookViewId="0">
      <selection activeCell="F13" sqref="F13"/>
    </sheetView>
  </sheetViews>
  <sheetFormatPr defaultRowHeight="14.5" x14ac:dyDescent="0.35"/>
  <cols>
    <col min="3" max="3" width="9.08984375" customWidth="1"/>
    <col min="4" max="4" width="11.81640625" customWidth="1"/>
    <col min="5" max="5" width="10.453125" customWidth="1"/>
    <col min="8" max="8" width="27" bestFit="1" customWidth="1"/>
    <col min="9" max="9" width="23" bestFit="1" customWidth="1"/>
    <col min="10" max="10" width="24" bestFit="1" customWidth="1"/>
  </cols>
  <sheetData>
    <row r="1" spans="1:10" x14ac:dyDescent="0.35">
      <c r="A1" s="10" t="s">
        <v>93</v>
      </c>
      <c r="B1" s="10" t="s">
        <v>166</v>
      </c>
      <c r="C1" s="10" t="s">
        <v>209</v>
      </c>
      <c r="D1" s="10" t="s">
        <v>210</v>
      </c>
      <c r="E1" s="10" t="s">
        <v>211</v>
      </c>
      <c r="F1" s="10" t="s">
        <v>212</v>
      </c>
      <c r="G1" s="10" t="s">
        <v>213</v>
      </c>
      <c r="H1" s="10" t="s">
        <v>214</v>
      </c>
      <c r="I1" s="10" t="s">
        <v>215</v>
      </c>
      <c r="J1" s="10" t="s">
        <v>216</v>
      </c>
    </row>
    <row r="2" spans="1:10" x14ac:dyDescent="0.35">
      <c r="A2" s="2" t="s">
        <v>94</v>
      </c>
      <c r="B2" s="2" t="s">
        <v>4</v>
      </c>
      <c r="C2" s="3">
        <v>3.93</v>
      </c>
      <c r="D2" s="3">
        <v>4.12</v>
      </c>
      <c r="E2" s="3">
        <v>4.3099999999999996</v>
      </c>
      <c r="F2" s="3">
        <v>4.1900000000000004</v>
      </c>
      <c r="G2" s="2">
        <v>10.18</v>
      </c>
      <c r="H2" s="2">
        <v>28911</v>
      </c>
      <c r="I2" s="13">
        <v>142733330</v>
      </c>
      <c r="J2" s="13">
        <v>85585166</v>
      </c>
    </row>
    <row r="3" spans="1:10" x14ac:dyDescent="0.35">
      <c r="A3" s="2" t="s">
        <v>94</v>
      </c>
      <c r="B3" s="2" t="s">
        <v>3</v>
      </c>
      <c r="C3" s="3">
        <v>3.1</v>
      </c>
      <c r="D3" s="3">
        <v>3.48</v>
      </c>
      <c r="E3" s="3">
        <v>3.84</v>
      </c>
      <c r="F3" s="3">
        <v>3.74</v>
      </c>
      <c r="G3" s="2">
        <v>20.02</v>
      </c>
      <c r="H3" s="2">
        <v>2774</v>
      </c>
      <c r="I3" s="13">
        <v>6595818</v>
      </c>
      <c r="J3" s="13">
        <v>5969339</v>
      </c>
    </row>
    <row r="4" spans="1:10" x14ac:dyDescent="0.35">
      <c r="A4" s="2" t="s">
        <v>94</v>
      </c>
      <c r="B4" s="2" t="s">
        <v>6</v>
      </c>
      <c r="C4" s="3">
        <v>3.09</v>
      </c>
      <c r="D4" s="3">
        <v>3.46</v>
      </c>
      <c r="E4" s="3">
        <v>3.83</v>
      </c>
      <c r="F4" s="3">
        <v>3.73</v>
      </c>
      <c r="G4" s="2">
        <v>10.73</v>
      </c>
      <c r="H4" s="2">
        <v>27596</v>
      </c>
      <c r="I4" s="13">
        <v>108604620</v>
      </c>
      <c r="J4" s="13">
        <v>81219990</v>
      </c>
    </row>
    <row r="5" spans="1:10" x14ac:dyDescent="0.35">
      <c r="A5" s="2" t="s">
        <v>94</v>
      </c>
      <c r="B5" s="2" t="s">
        <v>5</v>
      </c>
      <c r="C5" s="3">
        <v>4.62</v>
      </c>
      <c r="D5" s="3">
        <v>4.95</v>
      </c>
      <c r="E5" s="3">
        <v>5.22</v>
      </c>
      <c r="F5" s="3">
        <v>4.54</v>
      </c>
      <c r="G5" s="2">
        <v>9.1</v>
      </c>
      <c r="H5" s="2">
        <v>14832</v>
      </c>
      <c r="I5" s="13">
        <v>61100068</v>
      </c>
      <c r="J5" s="13">
        <v>48663142</v>
      </c>
    </row>
    <row r="6" spans="1:10" x14ac:dyDescent="0.35">
      <c r="A6" s="2" t="s">
        <v>94</v>
      </c>
      <c r="B6" s="2" t="s">
        <v>7</v>
      </c>
      <c r="C6" s="3">
        <v>4.8099999999999996</v>
      </c>
      <c r="D6" s="3">
        <v>5.0199999999999996</v>
      </c>
      <c r="E6" s="3">
        <v>5.17</v>
      </c>
      <c r="F6" s="3">
        <v>5.13</v>
      </c>
      <c r="G6" s="2">
        <v>19.649999999999999</v>
      </c>
      <c r="H6" s="2">
        <v>81184</v>
      </c>
      <c r="I6" s="13">
        <v>197165106</v>
      </c>
      <c r="J6" s="13">
        <v>247249865</v>
      </c>
    </row>
    <row r="7" spans="1:10" x14ac:dyDescent="0.35">
      <c r="A7" s="2" t="s">
        <v>94</v>
      </c>
      <c r="B7" s="2" t="s">
        <v>8</v>
      </c>
      <c r="C7" s="3">
        <v>3.36</v>
      </c>
      <c r="D7" s="3">
        <v>3.7</v>
      </c>
      <c r="E7" s="3">
        <v>4</v>
      </c>
      <c r="F7" s="3">
        <v>3.98</v>
      </c>
      <c r="G7" s="2">
        <v>10.9</v>
      </c>
      <c r="H7" s="2">
        <v>18296</v>
      </c>
      <c r="I7" s="13">
        <v>56838472</v>
      </c>
      <c r="J7" s="13">
        <v>56351209</v>
      </c>
    </row>
    <row r="8" spans="1:10" x14ac:dyDescent="0.35">
      <c r="A8" s="2" t="s">
        <v>94</v>
      </c>
      <c r="B8" s="2" t="s">
        <v>9</v>
      </c>
      <c r="C8" s="3">
        <v>3.54</v>
      </c>
      <c r="D8" s="3">
        <v>4</v>
      </c>
      <c r="E8" s="3">
        <v>4.4000000000000004</v>
      </c>
      <c r="F8" s="3">
        <v>4.18</v>
      </c>
      <c r="G8" s="2">
        <v>18.32</v>
      </c>
      <c r="H8" s="2">
        <v>10112</v>
      </c>
      <c r="I8" s="13">
        <v>44079943</v>
      </c>
      <c r="J8" s="13">
        <v>27737606</v>
      </c>
    </row>
    <row r="9" spans="1:10" x14ac:dyDescent="0.35">
      <c r="A9" s="2" t="s">
        <v>94</v>
      </c>
      <c r="B9" s="2" t="s">
        <v>11</v>
      </c>
      <c r="C9" s="3">
        <v>3.64</v>
      </c>
      <c r="D9" s="3">
        <v>4.1399999999999997</v>
      </c>
      <c r="E9" s="3">
        <v>4.57</v>
      </c>
      <c r="F9" s="3">
        <v>4.45</v>
      </c>
      <c r="G9" s="2">
        <v>10.5</v>
      </c>
      <c r="H9" s="2">
        <v>3273</v>
      </c>
      <c r="I9" s="13">
        <v>4305126</v>
      </c>
      <c r="J9" s="13">
        <v>11479655</v>
      </c>
    </row>
    <row r="10" spans="1:10" x14ac:dyDescent="0.35">
      <c r="A10" s="2" t="s">
        <v>94</v>
      </c>
      <c r="B10" s="2" t="s">
        <v>10</v>
      </c>
      <c r="C10" s="3">
        <v>3.44</v>
      </c>
      <c r="D10" s="3">
        <v>3.89</v>
      </c>
      <c r="E10" s="3">
        <v>4.16</v>
      </c>
      <c r="F10" s="3">
        <v>3.79</v>
      </c>
      <c r="G10" s="2">
        <v>12.81</v>
      </c>
      <c r="H10" s="2">
        <v>48</v>
      </c>
      <c r="I10" s="13">
        <v>211067</v>
      </c>
      <c r="J10" s="13">
        <v>10083372</v>
      </c>
    </row>
    <row r="11" spans="1:10" x14ac:dyDescent="0.35">
      <c r="A11" s="2" t="s">
        <v>94</v>
      </c>
      <c r="B11" s="2" t="s">
        <v>12</v>
      </c>
      <c r="C11" s="3">
        <v>3.4</v>
      </c>
      <c r="D11" s="3">
        <v>3.79</v>
      </c>
      <c r="E11" s="3">
        <v>4.1100000000000003</v>
      </c>
      <c r="F11" s="3">
        <v>3.8</v>
      </c>
      <c r="G11" s="2">
        <v>10.67</v>
      </c>
      <c r="H11" s="2">
        <v>64610</v>
      </c>
      <c r="I11" s="13">
        <v>246450375</v>
      </c>
      <c r="J11" s="13">
        <v>241562082</v>
      </c>
    </row>
    <row r="12" spans="1:10" x14ac:dyDescent="0.35">
      <c r="A12" s="2" t="s">
        <v>94</v>
      </c>
      <c r="B12" s="2" t="s">
        <v>13</v>
      </c>
      <c r="C12" s="3">
        <v>3.26</v>
      </c>
      <c r="D12" s="3">
        <v>3.64</v>
      </c>
      <c r="E12" s="3">
        <v>4.0199999999999996</v>
      </c>
      <c r="F12" s="3">
        <v>3.84</v>
      </c>
      <c r="G12" s="2">
        <v>10.43</v>
      </c>
      <c r="H12" s="2">
        <v>38250</v>
      </c>
      <c r="I12" s="13">
        <v>124200528</v>
      </c>
      <c r="J12" s="13">
        <v>137363952</v>
      </c>
    </row>
    <row r="13" spans="1:10" x14ac:dyDescent="0.35">
      <c r="A13" s="2" t="s">
        <v>94</v>
      </c>
      <c r="B13" s="2" t="s">
        <v>14</v>
      </c>
      <c r="C13" s="3">
        <v>4.75</v>
      </c>
      <c r="D13" s="3">
        <v>4.9800000000000004</v>
      </c>
      <c r="E13" s="3">
        <v>5.25</v>
      </c>
      <c r="F13" s="3">
        <v>5.81</v>
      </c>
      <c r="G13" s="2">
        <v>30.31</v>
      </c>
      <c r="H13" s="2">
        <v>3013</v>
      </c>
      <c r="I13" s="13">
        <v>9181831</v>
      </c>
      <c r="J13" s="13">
        <v>8936482</v>
      </c>
    </row>
    <row r="14" spans="1:10" x14ac:dyDescent="0.35">
      <c r="A14" s="2" t="s">
        <v>94</v>
      </c>
      <c r="B14" s="2" t="s">
        <v>18</v>
      </c>
      <c r="C14" s="3">
        <v>3.4</v>
      </c>
      <c r="D14" s="3">
        <v>3.7</v>
      </c>
      <c r="E14" s="3">
        <v>4.16</v>
      </c>
      <c r="F14" s="3">
        <v>3.74</v>
      </c>
      <c r="G14" s="2">
        <v>8.17</v>
      </c>
      <c r="H14" s="2">
        <v>5076</v>
      </c>
      <c r="I14" s="13">
        <v>16836473</v>
      </c>
      <c r="J14" s="13">
        <v>25285616</v>
      </c>
    </row>
    <row r="15" spans="1:10" x14ac:dyDescent="0.35">
      <c r="A15" s="2" t="s">
        <v>94</v>
      </c>
      <c r="B15" s="2" t="s">
        <v>15</v>
      </c>
      <c r="C15" s="3">
        <v>3.76</v>
      </c>
      <c r="D15" s="3">
        <v>3.96</v>
      </c>
      <c r="E15" s="3">
        <v>4.2</v>
      </c>
      <c r="F15" s="3">
        <v>4.05</v>
      </c>
      <c r="G15" s="2">
        <v>10.14</v>
      </c>
      <c r="H15" s="2">
        <v>45879</v>
      </c>
      <c r="I15" s="13">
        <v>181524459</v>
      </c>
      <c r="J15" s="13">
        <v>135688833</v>
      </c>
    </row>
    <row r="16" spans="1:10" x14ac:dyDescent="0.35">
      <c r="A16" s="2" t="s">
        <v>94</v>
      </c>
      <c r="B16" s="2" t="s">
        <v>16</v>
      </c>
      <c r="C16" s="3">
        <v>3.93</v>
      </c>
      <c r="D16" s="3">
        <v>4.42</v>
      </c>
      <c r="E16" s="3">
        <v>4.83</v>
      </c>
      <c r="F16" s="3">
        <v>4.04</v>
      </c>
      <c r="G16" s="2">
        <v>10.36</v>
      </c>
      <c r="H16" s="2">
        <v>26842</v>
      </c>
      <c r="I16" s="13">
        <v>94164796</v>
      </c>
      <c r="J16" s="13">
        <v>99740046</v>
      </c>
    </row>
    <row r="17" spans="1:10" x14ac:dyDescent="0.35">
      <c r="A17" s="2" t="s">
        <v>94</v>
      </c>
      <c r="B17" s="2" t="s">
        <v>17</v>
      </c>
      <c r="C17" s="3">
        <v>3.5</v>
      </c>
      <c r="D17" s="3">
        <v>3.98</v>
      </c>
      <c r="E17" s="3">
        <v>4.42</v>
      </c>
      <c r="F17" s="3">
        <v>4.09</v>
      </c>
      <c r="G17" s="2">
        <v>9.1300000000000008</v>
      </c>
      <c r="H17" s="2">
        <v>21771</v>
      </c>
      <c r="I17" s="13">
        <v>67207008</v>
      </c>
      <c r="J17" s="13">
        <v>52893269</v>
      </c>
    </row>
    <row r="18" spans="1:10" x14ac:dyDescent="0.35">
      <c r="A18" s="2" t="s">
        <v>94</v>
      </c>
      <c r="B18" s="2" t="s">
        <v>19</v>
      </c>
      <c r="C18" s="3">
        <v>3.24</v>
      </c>
      <c r="D18" s="3">
        <v>3.53</v>
      </c>
      <c r="E18" s="3">
        <v>3.84</v>
      </c>
      <c r="F18" s="3">
        <v>3.69</v>
      </c>
      <c r="G18" s="2">
        <v>10.47</v>
      </c>
      <c r="H18" s="2">
        <v>18432</v>
      </c>
      <c r="I18" s="13">
        <v>56630703</v>
      </c>
      <c r="J18" s="13">
        <v>40491786</v>
      </c>
    </row>
    <row r="19" spans="1:10" x14ac:dyDescent="0.35">
      <c r="A19" s="2" t="s">
        <v>94</v>
      </c>
      <c r="B19" s="2" t="s">
        <v>20</v>
      </c>
      <c r="C19" s="3">
        <v>3.34</v>
      </c>
      <c r="D19" s="3">
        <v>3.78</v>
      </c>
      <c r="E19" s="3">
        <v>4.16</v>
      </c>
      <c r="F19" s="3">
        <v>3.87</v>
      </c>
      <c r="G19" s="2">
        <v>9.1199999999999992</v>
      </c>
      <c r="H19" s="2">
        <v>17583</v>
      </c>
      <c r="I19" s="13">
        <v>69908411</v>
      </c>
      <c r="J19" s="13">
        <v>74516986</v>
      </c>
    </row>
    <row r="20" spans="1:10" x14ac:dyDescent="0.35">
      <c r="A20" s="2" t="s">
        <v>94</v>
      </c>
      <c r="B20" s="2" t="s">
        <v>21</v>
      </c>
      <c r="C20" s="3">
        <v>3.08</v>
      </c>
      <c r="D20" s="3">
        <v>3.45</v>
      </c>
      <c r="E20" s="3">
        <v>3.82</v>
      </c>
      <c r="F20" s="3">
        <v>3.58</v>
      </c>
      <c r="G20" s="2">
        <v>8.82</v>
      </c>
      <c r="H20" s="2">
        <v>24866</v>
      </c>
      <c r="I20" s="13">
        <v>98715313</v>
      </c>
      <c r="J20" s="13">
        <v>90819346</v>
      </c>
    </row>
    <row r="21" spans="1:10" x14ac:dyDescent="0.35">
      <c r="A21" s="2" t="s">
        <v>94</v>
      </c>
      <c r="B21" s="2" t="s">
        <v>24</v>
      </c>
      <c r="C21" s="3">
        <v>3.44</v>
      </c>
      <c r="D21" s="3">
        <v>3.96</v>
      </c>
      <c r="E21" s="3">
        <v>4.3099999999999996</v>
      </c>
      <c r="F21" s="3">
        <v>4.34</v>
      </c>
      <c r="G21" s="2">
        <v>13.96</v>
      </c>
      <c r="H21" s="2">
        <v>5026</v>
      </c>
      <c r="I21" s="13">
        <v>10908144</v>
      </c>
      <c r="J21" s="13">
        <v>11584674</v>
      </c>
    </row>
    <row r="22" spans="1:10" x14ac:dyDescent="0.35">
      <c r="A22" s="2" t="s">
        <v>94</v>
      </c>
      <c r="B22" s="2" t="s">
        <v>23</v>
      </c>
      <c r="C22" s="3">
        <v>3.47</v>
      </c>
      <c r="D22" s="3">
        <v>3.98</v>
      </c>
      <c r="E22" s="3">
        <v>4.25</v>
      </c>
      <c r="F22" s="3">
        <v>3.88</v>
      </c>
      <c r="G22" s="2">
        <v>11.48</v>
      </c>
      <c r="H22" s="2">
        <v>13006</v>
      </c>
      <c r="I22" s="13">
        <v>38235713</v>
      </c>
      <c r="J22" s="13">
        <v>59303974</v>
      </c>
    </row>
    <row r="23" spans="1:10" x14ac:dyDescent="0.35">
      <c r="A23" s="2" t="s">
        <v>94</v>
      </c>
      <c r="B23" s="2" t="s">
        <v>22</v>
      </c>
      <c r="C23" s="3">
        <v>3.46</v>
      </c>
      <c r="D23" s="3">
        <v>3.87</v>
      </c>
      <c r="E23" s="3">
        <v>4.28</v>
      </c>
      <c r="F23" s="3">
        <v>4.37</v>
      </c>
      <c r="G23" s="2">
        <v>19.059999999999999</v>
      </c>
      <c r="H23" s="2">
        <v>12747</v>
      </c>
      <c r="I23" s="13">
        <v>19477347</v>
      </c>
      <c r="J23" s="13">
        <v>50798388</v>
      </c>
    </row>
    <row r="24" spans="1:10" x14ac:dyDescent="0.35">
      <c r="A24" s="2" t="s">
        <v>94</v>
      </c>
      <c r="B24" s="2" t="s">
        <v>25</v>
      </c>
      <c r="C24" s="3">
        <v>3.57</v>
      </c>
      <c r="D24" s="3">
        <v>4.04</v>
      </c>
      <c r="E24" s="3">
        <v>4.5</v>
      </c>
      <c r="F24" s="3">
        <v>4.01</v>
      </c>
      <c r="G24" s="2">
        <v>12.93</v>
      </c>
      <c r="H24" s="2">
        <v>30141</v>
      </c>
      <c r="I24" s="13">
        <v>115513130</v>
      </c>
      <c r="J24" s="13">
        <v>99813281</v>
      </c>
    </row>
    <row r="25" spans="1:10" x14ac:dyDescent="0.35">
      <c r="A25" s="2" t="s">
        <v>94</v>
      </c>
      <c r="B25" s="2" t="s">
        <v>26</v>
      </c>
      <c r="C25" s="3">
        <v>3.49</v>
      </c>
      <c r="D25" s="3">
        <v>3.8</v>
      </c>
      <c r="E25" s="3">
        <v>4.18</v>
      </c>
      <c r="F25" s="3">
        <v>3.93</v>
      </c>
      <c r="G25" s="2">
        <v>11.08</v>
      </c>
      <c r="H25" s="2">
        <v>18286</v>
      </c>
      <c r="I25" s="13">
        <v>59195769</v>
      </c>
      <c r="J25" s="13">
        <v>66589168</v>
      </c>
    </row>
    <row r="26" spans="1:10" x14ac:dyDescent="0.35">
      <c r="A26" s="2" t="s">
        <v>94</v>
      </c>
      <c r="B26" s="2" t="s">
        <v>28</v>
      </c>
      <c r="C26" s="3">
        <v>3.21</v>
      </c>
      <c r="D26" s="3">
        <v>3.52</v>
      </c>
      <c r="E26" s="3">
        <v>3.83</v>
      </c>
      <c r="F26" s="3">
        <v>3.65</v>
      </c>
      <c r="G26" s="2">
        <v>9.5</v>
      </c>
      <c r="H26" s="2">
        <v>14605</v>
      </c>
      <c r="I26" s="13">
        <v>67723497</v>
      </c>
      <c r="J26" s="13">
        <v>48015364</v>
      </c>
    </row>
    <row r="27" spans="1:10" x14ac:dyDescent="0.35">
      <c r="A27" s="2" t="s">
        <v>94</v>
      </c>
      <c r="B27" s="2" t="s">
        <v>27</v>
      </c>
      <c r="C27" s="3">
        <v>2.98</v>
      </c>
      <c r="D27" s="3">
        <v>3.34</v>
      </c>
      <c r="E27" s="3">
        <v>3.7</v>
      </c>
      <c r="F27" s="3">
        <v>3.6</v>
      </c>
      <c r="G27" s="2">
        <v>9.85</v>
      </c>
      <c r="H27" s="2">
        <v>21835</v>
      </c>
      <c r="I27" s="13">
        <v>76941410</v>
      </c>
      <c r="J27" s="13">
        <v>77763041</v>
      </c>
    </row>
    <row r="28" spans="1:10" x14ac:dyDescent="0.35">
      <c r="A28" s="2" t="s">
        <v>94</v>
      </c>
      <c r="B28" s="2" t="s">
        <v>29</v>
      </c>
      <c r="C28" s="3">
        <v>3.55</v>
      </c>
      <c r="D28" s="3">
        <v>3.83</v>
      </c>
      <c r="E28" s="3">
        <v>4.1100000000000003</v>
      </c>
      <c r="F28" s="3">
        <v>4.08</v>
      </c>
      <c r="G28" s="2">
        <v>9.5</v>
      </c>
      <c r="H28" s="2">
        <v>6067</v>
      </c>
      <c r="I28" s="13">
        <v>24947923</v>
      </c>
      <c r="J28" s="13">
        <v>14961561</v>
      </c>
    </row>
    <row r="29" spans="1:10" x14ac:dyDescent="0.35">
      <c r="A29" s="2" t="s">
        <v>94</v>
      </c>
      <c r="B29" s="2" t="s">
        <v>253</v>
      </c>
      <c r="C29" s="3">
        <v>3.28</v>
      </c>
      <c r="D29" s="3">
        <v>3.66</v>
      </c>
      <c r="E29" s="3">
        <v>4.0199999999999996</v>
      </c>
      <c r="F29" s="3">
        <v>3.82</v>
      </c>
      <c r="G29" s="2">
        <v>8.84</v>
      </c>
      <c r="H29" s="2">
        <v>10256</v>
      </c>
      <c r="I29" s="13">
        <v>37910898</v>
      </c>
      <c r="J29" s="13">
        <v>32341170</v>
      </c>
    </row>
    <row r="30" spans="1:10" x14ac:dyDescent="0.35">
      <c r="A30" s="2" t="s">
        <v>94</v>
      </c>
      <c r="B30" s="2" t="s">
        <v>36</v>
      </c>
      <c r="C30" s="3">
        <v>3.4</v>
      </c>
      <c r="D30" s="3">
        <v>3.69</v>
      </c>
      <c r="E30" s="3">
        <v>4.04</v>
      </c>
      <c r="F30" s="3">
        <v>3.94</v>
      </c>
      <c r="G30" s="2">
        <v>8.58</v>
      </c>
      <c r="H30" s="2">
        <v>12863</v>
      </c>
      <c r="I30" s="13">
        <v>41754584</v>
      </c>
      <c r="J30" s="13">
        <v>39032042</v>
      </c>
    </row>
    <row r="31" spans="1:10" x14ac:dyDescent="0.35">
      <c r="A31" s="2" t="s">
        <v>94</v>
      </c>
      <c r="B31" s="2" t="s">
        <v>30</v>
      </c>
      <c r="C31" s="3">
        <v>3.36</v>
      </c>
      <c r="D31" s="3">
        <v>3.55</v>
      </c>
      <c r="E31" s="3">
        <v>4.07</v>
      </c>
      <c r="F31" s="3">
        <v>3.73</v>
      </c>
      <c r="G31" s="2">
        <v>17.37</v>
      </c>
      <c r="H31" s="2">
        <v>4463</v>
      </c>
      <c r="I31" s="13">
        <v>17193254</v>
      </c>
      <c r="J31" s="13">
        <v>10867268</v>
      </c>
    </row>
    <row r="32" spans="1:10" x14ac:dyDescent="0.35">
      <c r="A32" s="2" t="s">
        <v>94</v>
      </c>
      <c r="B32" s="2" t="s">
        <v>32</v>
      </c>
      <c r="C32" s="3">
        <v>3.36</v>
      </c>
      <c r="D32" s="3">
        <v>3.81</v>
      </c>
      <c r="E32" s="3">
        <v>4.21</v>
      </c>
      <c r="F32" s="3">
        <v>4.2699999999999996</v>
      </c>
      <c r="G32" s="2">
        <v>14.01</v>
      </c>
      <c r="H32" s="2">
        <v>17471</v>
      </c>
      <c r="I32" s="13">
        <v>61433792</v>
      </c>
      <c r="J32" s="13">
        <v>73070466</v>
      </c>
    </row>
    <row r="33" spans="1:10" x14ac:dyDescent="0.35">
      <c r="A33" s="2" t="s">
        <v>94</v>
      </c>
      <c r="B33" s="2" t="s">
        <v>33</v>
      </c>
      <c r="C33" s="3">
        <v>3.41</v>
      </c>
      <c r="D33" s="3">
        <v>3.92</v>
      </c>
      <c r="E33" s="3">
        <v>4.18</v>
      </c>
      <c r="F33" s="3">
        <v>3.78</v>
      </c>
      <c r="G33" s="2">
        <v>9.7899999999999991</v>
      </c>
      <c r="H33" s="2">
        <v>10806</v>
      </c>
      <c r="I33" s="13">
        <v>35192365</v>
      </c>
      <c r="J33" s="13">
        <v>25393743</v>
      </c>
    </row>
    <row r="34" spans="1:10" x14ac:dyDescent="0.35">
      <c r="A34" s="2" t="s">
        <v>94</v>
      </c>
      <c r="B34" s="2" t="s">
        <v>34</v>
      </c>
      <c r="C34" s="3">
        <v>3.52</v>
      </c>
      <c r="D34" s="3">
        <v>3.85</v>
      </c>
      <c r="E34" s="3">
        <v>4.1399999999999997</v>
      </c>
      <c r="F34" s="3">
        <v>4.21</v>
      </c>
      <c r="G34" s="2">
        <v>16.11</v>
      </c>
      <c r="H34" s="2">
        <v>39890</v>
      </c>
      <c r="I34" s="13">
        <v>124944935</v>
      </c>
      <c r="J34" s="13">
        <v>141423778</v>
      </c>
    </row>
    <row r="35" spans="1:10" x14ac:dyDescent="0.35">
      <c r="A35" s="2" t="s">
        <v>94</v>
      </c>
      <c r="B35" s="2" t="s">
        <v>31</v>
      </c>
      <c r="C35" s="3">
        <v>4.24</v>
      </c>
      <c r="D35" s="3">
        <v>4.49</v>
      </c>
      <c r="E35" s="3">
        <v>4.72</v>
      </c>
      <c r="F35" s="3">
        <v>4.46</v>
      </c>
      <c r="G35" s="2">
        <v>9.2899999999999991</v>
      </c>
      <c r="H35" s="2">
        <v>35020</v>
      </c>
      <c r="I35" s="13">
        <v>129923364</v>
      </c>
      <c r="J35" s="13">
        <v>135693077</v>
      </c>
    </row>
    <row r="36" spans="1:10" x14ac:dyDescent="0.35">
      <c r="A36" s="2" t="s">
        <v>94</v>
      </c>
      <c r="B36" s="2" t="s">
        <v>35</v>
      </c>
      <c r="C36" s="3">
        <v>3.66</v>
      </c>
      <c r="D36" s="3">
        <v>4.0999999999999996</v>
      </c>
      <c r="E36" s="3">
        <v>4.46</v>
      </c>
      <c r="F36" s="3">
        <v>4.59</v>
      </c>
      <c r="G36" s="2">
        <v>8.65</v>
      </c>
      <c r="H36" s="2">
        <v>9503</v>
      </c>
      <c r="I36" s="13">
        <v>43032378</v>
      </c>
      <c r="J36" s="13">
        <v>22863107</v>
      </c>
    </row>
    <row r="37" spans="1:10" x14ac:dyDescent="0.35">
      <c r="A37" s="2" t="s">
        <v>94</v>
      </c>
      <c r="B37" s="2" t="s">
        <v>37</v>
      </c>
      <c r="C37" s="3">
        <v>3.49</v>
      </c>
      <c r="D37" s="3">
        <v>3.94</v>
      </c>
      <c r="E37" s="3">
        <v>4.38</v>
      </c>
      <c r="F37" s="3">
        <v>3.97</v>
      </c>
      <c r="G37" s="2">
        <v>9.76</v>
      </c>
      <c r="H37" s="2">
        <v>29283</v>
      </c>
      <c r="I37" s="13">
        <v>125948008</v>
      </c>
      <c r="J37" s="13">
        <v>147717865</v>
      </c>
    </row>
    <row r="38" spans="1:10" x14ac:dyDescent="0.35">
      <c r="A38" s="2" t="s">
        <v>94</v>
      </c>
      <c r="B38" s="2" t="s">
        <v>38</v>
      </c>
      <c r="C38" s="3">
        <v>3.18</v>
      </c>
      <c r="D38" s="3">
        <v>3.51</v>
      </c>
      <c r="E38" s="3">
        <v>3.77</v>
      </c>
      <c r="F38" s="3">
        <v>3.58</v>
      </c>
      <c r="G38" s="2">
        <v>8.52</v>
      </c>
      <c r="H38" s="2">
        <v>29824</v>
      </c>
      <c r="I38" s="13">
        <v>80754586</v>
      </c>
      <c r="J38" s="13">
        <v>64525137</v>
      </c>
    </row>
    <row r="39" spans="1:10" x14ac:dyDescent="0.35">
      <c r="A39" s="2" t="s">
        <v>94</v>
      </c>
      <c r="B39" s="2" t="s">
        <v>39</v>
      </c>
      <c r="C39" s="3">
        <v>4.17</v>
      </c>
      <c r="D39" s="3">
        <v>4.37</v>
      </c>
      <c r="E39" s="3">
        <v>4.5599999999999996</v>
      </c>
      <c r="F39" s="3">
        <v>4.47</v>
      </c>
      <c r="G39" s="2">
        <v>8.9499999999999993</v>
      </c>
      <c r="H39" s="2">
        <v>16917</v>
      </c>
      <c r="I39" s="13">
        <v>61016874</v>
      </c>
      <c r="J39" s="13">
        <v>54135205</v>
      </c>
    </row>
    <row r="40" spans="1:10" x14ac:dyDescent="0.35">
      <c r="A40" s="2" t="s">
        <v>94</v>
      </c>
      <c r="B40" s="2" t="s">
        <v>40</v>
      </c>
      <c r="C40" s="3">
        <v>3.65</v>
      </c>
      <c r="D40" s="3">
        <v>4.03</v>
      </c>
      <c r="E40" s="3">
        <v>4.33</v>
      </c>
      <c r="F40" s="3">
        <v>4.46</v>
      </c>
      <c r="G40" s="2">
        <v>9.9700000000000006</v>
      </c>
      <c r="H40" s="2">
        <v>49766</v>
      </c>
      <c r="I40" s="13">
        <v>241331434</v>
      </c>
      <c r="J40" s="13">
        <v>143340154</v>
      </c>
    </row>
    <row r="41" spans="1:10" x14ac:dyDescent="0.35">
      <c r="A41" s="2" t="s">
        <v>94</v>
      </c>
      <c r="B41" s="2" t="s">
        <v>41</v>
      </c>
      <c r="C41" s="3">
        <v>3.41</v>
      </c>
      <c r="D41" s="3">
        <v>4.01</v>
      </c>
      <c r="E41" s="3">
        <v>4.34</v>
      </c>
      <c r="F41" s="3">
        <v>4.34</v>
      </c>
      <c r="G41" s="2">
        <v>18.440000000000001</v>
      </c>
      <c r="H41" s="2">
        <v>2131</v>
      </c>
      <c r="I41" s="13">
        <v>9322451</v>
      </c>
      <c r="J41" s="13">
        <v>7398004</v>
      </c>
    </row>
    <row r="42" spans="1:10" x14ac:dyDescent="0.35">
      <c r="A42" s="2" t="s">
        <v>94</v>
      </c>
      <c r="B42" s="2" t="s">
        <v>254</v>
      </c>
      <c r="C42" s="3">
        <v>3.17</v>
      </c>
      <c r="D42" s="3">
        <v>3.54</v>
      </c>
      <c r="E42" s="3">
        <v>3.91</v>
      </c>
      <c r="F42" s="3">
        <v>3.69</v>
      </c>
      <c r="G42" s="2">
        <v>9.9600000000000009</v>
      </c>
      <c r="H42" s="2">
        <v>24268</v>
      </c>
      <c r="I42" s="13">
        <v>98390441</v>
      </c>
      <c r="J42" s="13">
        <v>79792136</v>
      </c>
    </row>
    <row r="43" spans="1:10" x14ac:dyDescent="0.35">
      <c r="A43" s="2" t="s">
        <v>94</v>
      </c>
      <c r="B43" s="2" t="s">
        <v>42</v>
      </c>
      <c r="C43" s="3">
        <v>3.42</v>
      </c>
      <c r="D43" s="3">
        <v>3.6</v>
      </c>
      <c r="E43" s="3">
        <v>4.08</v>
      </c>
      <c r="F43" s="3">
        <v>3.81</v>
      </c>
      <c r="G43" s="2">
        <v>10.43</v>
      </c>
      <c r="H43" s="2">
        <v>6280</v>
      </c>
      <c r="I43" s="13">
        <v>17322409</v>
      </c>
      <c r="J43" s="13">
        <v>13041391</v>
      </c>
    </row>
    <row r="44" spans="1:10" x14ac:dyDescent="0.35">
      <c r="A44" s="2" t="s">
        <v>94</v>
      </c>
      <c r="B44" s="2" t="s">
        <v>43</v>
      </c>
      <c r="C44" s="3">
        <v>3.13</v>
      </c>
      <c r="D44" s="3">
        <v>3.5</v>
      </c>
      <c r="E44" s="3">
        <v>3.85</v>
      </c>
      <c r="F44" s="3">
        <v>3.69</v>
      </c>
      <c r="G44" s="2">
        <v>9.7799999999999994</v>
      </c>
      <c r="H44" s="2">
        <v>21401</v>
      </c>
      <c r="I44" s="13">
        <v>79057209</v>
      </c>
      <c r="J44" s="13">
        <v>99621137</v>
      </c>
    </row>
    <row r="45" spans="1:10" x14ac:dyDescent="0.35">
      <c r="A45" s="2" t="s">
        <v>94</v>
      </c>
      <c r="B45" s="2" t="s">
        <v>44</v>
      </c>
      <c r="C45" s="3">
        <v>3.06</v>
      </c>
      <c r="D45" s="3">
        <v>3.44</v>
      </c>
      <c r="E45" s="3">
        <v>3.78</v>
      </c>
      <c r="F45" s="3">
        <v>3.41</v>
      </c>
      <c r="G45" s="2">
        <v>9.14</v>
      </c>
      <c r="H45" s="2">
        <v>139751</v>
      </c>
      <c r="I45" s="13">
        <v>481844256</v>
      </c>
      <c r="J45" s="13">
        <v>435627878</v>
      </c>
    </row>
    <row r="46" spans="1:10" x14ac:dyDescent="0.35">
      <c r="A46" s="2" t="s">
        <v>94</v>
      </c>
      <c r="B46" s="2" t="s">
        <v>45</v>
      </c>
      <c r="C46" s="3">
        <v>4.0999999999999996</v>
      </c>
      <c r="D46" s="3">
        <v>4.33</v>
      </c>
      <c r="E46" s="3">
        <v>4.54</v>
      </c>
      <c r="F46" s="3">
        <v>4.07</v>
      </c>
      <c r="G46" s="2">
        <v>8.34</v>
      </c>
      <c r="H46" s="2">
        <v>9518</v>
      </c>
      <c r="I46" s="13">
        <v>42565645</v>
      </c>
      <c r="J46" s="13">
        <v>32677627</v>
      </c>
    </row>
    <row r="47" spans="1:10" x14ac:dyDescent="0.35">
      <c r="A47" s="2" t="s">
        <v>94</v>
      </c>
      <c r="B47" s="2" t="s">
        <v>47</v>
      </c>
      <c r="C47" s="3">
        <v>3.31</v>
      </c>
      <c r="D47" s="3">
        <v>3.73</v>
      </c>
      <c r="E47" s="3">
        <v>4.0599999999999996</v>
      </c>
      <c r="F47" s="3">
        <v>3.86</v>
      </c>
      <c r="G47" s="2">
        <v>16.34</v>
      </c>
      <c r="H47" s="2">
        <v>834</v>
      </c>
      <c r="I47" s="13">
        <v>2107703</v>
      </c>
      <c r="J47" s="13">
        <v>5412696</v>
      </c>
    </row>
    <row r="48" spans="1:10" x14ac:dyDescent="0.35">
      <c r="A48" s="2" t="s">
        <v>94</v>
      </c>
      <c r="B48" s="2" t="s">
        <v>46</v>
      </c>
      <c r="C48" s="3">
        <v>3.48</v>
      </c>
      <c r="D48" s="3">
        <v>3.94</v>
      </c>
      <c r="E48" s="3">
        <v>4.34</v>
      </c>
      <c r="F48" s="3">
        <v>4</v>
      </c>
      <c r="G48" s="2">
        <v>9.14</v>
      </c>
      <c r="H48" s="2">
        <v>28515</v>
      </c>
      <c r="I48" s="13">
        <v>93478182</v>
      </c>
      <c r="J48" s="13">
        <v>125245196</v>
      </c>
    </row>
    <row r="49" spans="1:10" x14ac:dyDescent="0.35">
      <c r="A49" s="2" t="s">
        <v>94</v>
      </c>
      <c r="B49" s="2" t="s">
        <v>48</v>
      </c>
      <c r="C49" s="3">
        <v>4.6100000000000003</v>
      </c>
      <c r="D49" s="3">
        <v>4.8099999999999996</v>
      </c>
      <c r="E49" s="3">
        <v>5</v>
      </c>
      <c r="F49" s="3">
        <v>4.93</v>
      </c>
      <c r="G49" s="2">
        <v>8.75</v>
      </c>
      <c r="H49" s="2">
        <v>30609</v>
      </c>
      <c r="I49" s="13">
        <v>110808401</v>
      </c>
      <c r="J49" s="13">
        <v>88198668</v>
      </c>
    </row>
    <row r="50" spans="1:10" x14ac:dyDescent="0.35">
      <c r="A50" s="2" t="s">
        <v>94</v>
      </c>
      <c r="B50" s="2" t="s">
        <v>50</v>
      </c>
      <c r="C50" s="3">
        <v>3.47</v>
      </c>
      <c r="D50" s="3">
        <v>3.89</v>
      </c>
      <c r="E50" s="3">
        <v>4.33</v>
      </c>
      <c r="F50" s="3">
        <v>3.72</v>
      </c>
      <c r="G50" s="2">
        <v>8.8699999999999992</v>
      </c>
      <c r="H50" s="2">
        <v>14907</v>
      </c>
      <c r="I50" s="13">
        <v>65836063</v>
      </c>
      <c r="J50" s="13">
        <v>32777988</v>
      </c>
    </row>
    <row r="51" spans="1:10" x14ac:dyDescent="0.35">
      <c r="A51" s="2" t="s">
        <v>94</v>
      </c>
      <c r="B51" s="2" t="s">
        <v>49</v>
      </c>
      <c r="C51" s="3">
        <v>3.39</v>
      </c>
      <c r="D51" s="3">
        <v>3.71</v>
      </c>
      <c r="E51" s="3">
        <v>4.05</v>
      </c>
      <c r="F51" s="3">
        <v>4</v>
      </c>
      <c r="G51" s="2">
        <v>11.01</v>
      </c>
      <c r="H51" s="2">
        <v>16428</v>
      </c>
      <c r="I51" s="13">
        <v>64276480</v>
      </c>
      <c r="J51" s="13">
        <v>69426615</v>
      </c>
    </row>
    <row r="52" spans="1:10" x14ac:dyDescent="0.35">
      <c r="A52" s="2" t="s">
        <v>94</v>
      </c>
      <c r="B52" s="2" t="s">
        <v>51</v>
      </c>
      <c r="C52" s="3">
        <v>3.4</v>
      </c>
      <c r="D52" s="3">
        <v>3.65</v>
      </c>
      <c r="E52" s="3">
        <v>3.93</v>
      </c>
      <c r="F52" s="3">
        <v>4.16</v>
      </c>
      <c r="G52" s="2">
        <v>8.25</v>
      </c>
      <c r="H52" s="2">
        <v>10096</v>
      </c>
      <c r="I52" s="13">
        <v>43460744</v>
      </c>
      <c r="J52" s="13">
        <v>15784712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EFA6-DA0A-4000-9EE1-D3D7EA087354}">
  <dimension ref="A1:E22"/>
  <sheetViews>
    <sheetView workbookViewId="0">
      <selection activeCell="B14" sqref="B14"/>
    </sheetView>
  </sheetViews>
  <sheetFormatPr defaultRowHeight="14.5" x14ac:dyDescent="0.35"/>
  <cols>
    <col min="1" max="2" width="42.1796875" customWidth="1"/>
    <col min="3" max="3" width="19.6328125" customWidth="1"/>
    <col min="4" max="4" width="18.7265625" customWidth="1"/>
    <col min="5" max="5" width="27.6328125" customWidth="1"/>
  </cols>
  <sheetData>
    <row r="1" spans="1:5" x14ac:dyDescent="0.35">
      <c r="A1" s="4" t="s">
        <v>165</v>
      </c>
      <c r="B1" s="4" t="s">
        <v>78</v>
      </c>
      <c r="C1" s="4" t="s">
        <v>153</v>
      </c>
      <c r="D1" s="4" t="s">
        <v>154</v>
      </c>
      <c r="E1" s="4" t="s">
        <v>155</v>
      </c>
    </row>
    <row r="2" spans="1:5" x14ac:dyDescent="0.35">
      <c r="A2" t="s">
        <v>159</v>
      </c>
      <c r="B2" t="s">
        <v>158</v>
      </c>
      <c r="C2">
        <v>327</v>
      </c>
      <c r="D2">
        <v>798</v>
      </c>
      <c r="E2">
        <v>0</v>
      </c>
    </row>
    <row r="3" spans="1:5" x14ac:dyDescent="0.35">
      <c r="A3" t="s">
        <v>159</v>
      </c>
      <c r="B3" t="s">
        <v>90</v>
      </c>
      <c r="C3">
        <v>174.4</v>
      </c>
      <c r="D3">
        <v>247</v>
      </c>
      <c r="E3">
        <v>0</v>
      </c>
    </row>
    <row r="4" spans="1:5" x14ac:dyDescent="0.35">
      <c r="A4" t="s">
        <v>159</v>
      </c>
      <c r="B4" t="s">
        <v>157</v>
      </c>
      <c r="C4">
        <v>54.5</v>
      </c>
      <c r="D4">
        <v>13</v>
      </c>
      <c r="E4">
        <v>0</v>
      </c>
    </row>
    <row r="5" spans="1:5" x14ac:dyDescent="0.35">
      <c r="A5" t="s">
        <v>159</v>
      </c>
      <c r="B5" t="s">
        <v>80</v>
      </c>
      <c r="C5">
        <v>10.9</v>
      </c>
      <c r="D5">
        <v>2</v>
      </c>
      <c r="E5">
        <v>0</v>
      </c>
    </row>
    <row r="6" spans="1:5" x14ac:dyDescent="0.35">
      <c r="A6" t="s">
        <v>160</v>
      </c>
      <c r="B6" t="s">
        <v>158</v>
      </c>
      <c r="C6">
        <v>150</v>
      </c>
      <c r="D6">
        <v>0</v>
      </c>
      <c r="E6">
        <v>0</v>
      </c>
    </row>
    <row r="7" spans="1:5" x14ac:dyDescent="0.35">
      <c r="A7" t="s">
        <v>160</v>
      </c>
      <c r="B7" t="s">
        <v>90</v>
      </c>
      <c r="C7">
        <v>80</v>
      </c>
      <c r="D7">
        <v>0</v>
      </c>
      <c r="E7">
        <v>0</v>
      </c>
    </row>
    <row r="8" spans="1:5" x14ac:dyDescent="0.35">
      <c r="A8" t="s">
        <v>160</v>
      </c>
      <c r="B8" t="s">
        <v>157</v>
      </c>
      <c r="C8">
        <v>25</v>
      </c>
      <c r="D8">
        <v>0</v>
      </c>
      <c r="E8">
        <v>0</v>
      </c>
    </row>
    <row r="9" spans="1:5" x14ac:dyDescent="0.35">
      <c r="A9" t="s">
        <v>160</v>
      </c>
      <c r="B9" t="s">
        <v>80</v>
      </c>
      <c r="C9">
        <v>5</v>
      </c>
      <c r="D9">
        <v>0</v>
      </c>
      <c r="E9">
        <v>0</v>
      </c>
    </row>
    <row r="10" spans="1:5" x14ac:dyDescent="0.35">
      <c r="A10" t="s">
        <v>161</v>
      </c>
      <c r="B10" t="s">
        <v>158</v>
      </c>
      <c r="C10">
        <v>203.25</v>
      </c>
      <c r="D10">
        <v>0</v>
      </c>
      <c r="E10">
        <v>0</v>
      </c>
    </row>
    <row r="11" spans="1:5" x14ac:dyDescent="0.35">
      <c r="A11" t="s">
        <v>161</v>
      </c>
      <c r="B11" t="s">
        <v>90</v>
      </c>
      <c r="C11">
        <v>108.4</v>
      </c>
      <c r="D11">
        <v>0</v>
      </c>
      <c r="E11">
        <v>0</v>
      </c>
    </row>
    <row r="12" spans="1:5" x14ac:dyDescent="0.35">
      <c r="A12" t="s">
        <v>161</v>
      </c>
      <c r="B12" t="s">
        <v>157</v>
      </c>
      <c r="C12">
        <v>33.875</v>
      </c>
      <c r="D12">
        <v>0</v>
      </c>
      <c r="E12">
        <v>0</v>
      </c>
    </row>
    <row r="13" spans="1:5" x14ac:dyDescent="0.35">
      <c r="A13" t="s">
        <v>161</v>
      </c>
      <c r="B13" t="s">
        <v>80</v>
      </c>
      <c r="C13">
        <v>6.7750000000000004</v>
      </c>
      <c r="D13">
        <v>0</v>
      </c>
      <c r="E13">
        <v>0</v>
      </c>
    </row>
    <row r="14" spans="1:5" x14ac:dyDescent="0.35">
      <c r="A14" t="s">
        <v>162</v>
      </c>
      <c r="B14" t="s">
        <v>158</v>
      </c>
      <c r="C14">
        <v>0</v>
      </c>
      <c r="D14">
        <v>798</v>
      </c>
      <c r="E14">
        <v>0</v>
      </c>
    </row>
    <row r="15" spans="1:5" x14ac:dyDescent="0.35">
      <c r="A15" t="s">
        <v>162</v>
      </c>
      <c r="B15" t="s">
        <v>90</v>
      </c>
      <c r="C15">
        <v>0</v>
      </c>
      <c r="D15">
        <v>247</v>
      </c>
      <c r="E15">
        <v>0</v>
      </c>
    </row>
    <row r="16" spans="1:5" x14ac:dyDescent="0.35">
      <c r="A16" t="s">
        <v>162</v>
      </c>
      <c r="B16" t="s">
        <v>157</v>
      </c>
      <c r="C16">
        <v>0</v>
      </c>
      <c r="D16">
        <v>13</v>
      </c>
      <c r="E16">
        <v>0</v>
      </c>
    </row>
    <row r="17" spans="1:5" x14ac:dyDescent="0.35">
      <c r="A17" t="s">
        <v>162</v>
      </c>
      <c r="B17" t="s">
        <v>80</v>
      </c>
      <c r="C17">
        <v>0</v>
      </c>
      <c r="D17">
        <v>2</v>
      </c>
      <c r="E17">
        <v>0</v>
      </c>
    </row>
    <row r="18" spans="1:5" x14ac:dyDescent="0.35">
      <c r="A18" t="s">
        <v>163</v>
      </c>
      <c r="B18" t="s">
        <v>158</v>
      </c>
      <c r="C18">
        <v>150</v>
      </c>
      <c r="D18">
        <v>798</v>
      </c>
      <c r="E18">
        <v>0</v>
      </c>
    </row>
    <row r="19" spans="1:5" x14ac:dyDescent="0.35">
      <c r="A19" t="s">
        <v>163</v>
      </c>
      <c r="B19" t="s">
        <v>90</v>
      </c>
      <c r="C19">
        <v>80</v>
      </c>
      <c r="D19">
        <v>247</v>
      </c>
      <c r="E19">
        <v>0</v>
      </c>
    </row>
    <row r="20" spans="1:5" x14ac:dyDescent="0.35">
      <c r="A20" t="s">
        <v>163</v>
      </c>
      <c r="B20" t="s">
        <v>157</v>
      </c>
      <c r="C20">
        <v>25</v>
      </c>
      <c r="D20">
        <v>798</v>
      </c>
      <c r="E20">
        <v>0</v>
      </c>
    </row>
    <row r="21" spans="1:5" x14ac:dyDescent="0.35">
      <c r="A21" t="s">
        <v>164</v>
      </c>
      <c r="B21" t="s">
        <v>157</v>
      </c>
      <c r="C21">
        <v>25</v>
      </c>
      <c r="D21">
        <v>0</v>
      </c>
      <c r="E21">
        <v>0</v>
      </c>
    </row>
    <row r="22" spans="1:5" x14ac:dyDescent="0.35">
      <c r="A22" t="s">
        <v>164</v>
      </c>
      <c r="B22" t="s">
        <v>80</v>
      </c>
      <c r="C22">
        <v>5</v>
      </c>
      <c r="D22">
        <v>0</v>
      </c>
      <c r="E22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1DFA-9E2C-4448-870F-F154C3791536}">
  <dimension ref="A1:F194"/>
  <sheetViews>
    <sheetView workbookViewId="0">
      <selection activeCell="E21" sqref="E21"/>
    </sheetView>
  </sheetViews>
  <sheetFormatPr defaultRowHeight="14.5" x14ac:dyDescent="0.35"/>
  <cols>
    <col min="1" max="1" width="12.08984375" customWidth="1"/>
    <col min="2" max="2" width="16.453125" bestFit="1" customWidth="1"/>
    <col min="3" max="3" width="25.36328125" customWidth="1"/>
    <col min="4" max="4" width="27.6328125" customWidth="1"/>
    <col min="5" max="5" width="20.08984375" customWidth="1"/>
    <col min="6" max="6" width="15" customWidth="1"/>
  </cols>
  <sheetData>
    <row r="1" spans="1:6" x14ac:dyDescent="0.35">
      <c r="A1" s="4" t="s">
        <v>95</v>
      </c>
      <c r="B1" s="4" t="s">
        <v>174</v>
      </c>
      <c r="C1" s="11" t="s">
        <v>188</v>
      </c>
      <c r="D1" s="11" t="s">
        <v>189</v>
      </c>
      <c r="E1" s="11" t="s">
        <v>191</v>
      </c>
      <c r="F1" s="4" t="s">
        <v>190</v>
      </c>
    </row>
    <row r="2" spans="1:6" x14ac:dyDescent="0.35">
      <c r="A2" t="s">
        <v>96</v>
      </c>
      <c r="B2" t="s">
        <v>175</v>
      </c>
      <c r="C2" s="12">
        <v>14963837</v>
      </c>
      <c r="D2" s="12">
        <v>5312838</v>
      </c>
      <c r="E2">
        <v>1235379</v>
      </c>
      <c r="F2" s="12" cm="1">
        <f t="array" ref="F2">SUM(C2:D2-E2)</f>
        <v>17805917</v>
      </c>
    </row>
    <row r="3" spans="1:6" x14ac:dyDescent="0.35">
      <c r="A3" t="s">
        <v>97</v>
      </c>
      <c r="B3" t="s">
        <v>175</v>
      </c>
      <c r="C3" s="12">
        <v>22056821</v>
      </c>
      <c r="D3" s="12">
        <v>8527983</v>
      </c>
      <c r="E3">
        <v>2120500</v>
      </c>
      <c r="F3" s="12" cm="1">
        <f t="array" ref="F3">SUM(C3:D3-E3)</f>
        <v>26343804</v>
      </c>
    </row>
    <row r="4" spans="1:6" x14ac:dyDescent="0.35">
      <c r="A4" t="s">
        <v>98</v>
      </c>
      <c r="B4" t="s">
        <v>175</v>
      </c>
      <c r="C4" s="12">
        <v>8833429</v>
      </c>
      <c r="D4" s="12">
        <v>3181718</v>
      </c>
      <c r="E4">
        <v>1247691</v>
      </c>
      <c r="F4" s="12" cm="1">
        <f t="array" ref="F4">SUM(C4:D4-E4)</f>
        <v>9519765</v>
      </c>
    </row>
    <row r="5" spans="1:6" x14ac:dyDescent="0.35">
      <c r="A5" t="s">
        <v>101</v>
      </c>
      <c r="B5" t="s">
        <v>175</v>
      </c>
      <c r="C5" s="12">
        <v>240437914</v>
      </c>
      <c r="D5" s="12">
        <v>54995643</v>
      </c>
      <c r="E5">
        <v>17941180</v>
      </c>
      <c r="F5" s="12" cm="1">
        <f t="array" ref="F5">SUM(C5:D5-E5)</f>
        <v>259551197</v>
      </c>
    </row>
    <row r="6" spans="1:6" x14ac:dyDescent="0.35">
      <c r="A6" t="s">
        <v>102</v>
      </c>
      <c r="B6" t="s">
        <v>175</v>
      </c>
      <c r="C6" s="12">
        <v>2335604780</v>
      </c>
      <c r="D6" s="12">
        <v>773468590</v>
      </c>
      <c r="E6">
        <v>153313887</v>
      </c>
      <c r="F6" s="12" cm="1">
        <f t="array" ref="F6">SUM(C6:D6-E6)</f>
        <v>2802445596</v>
      </c>
    </row>
    <row r="7" spans="1:6" x14ac:dyDescent="0.35">
      <c r="A7" t="s">
        <v>103</v>
      </c>
      <c r="B7" t="s">
        <v>175</v>
      </c>
      <c r="C7" s="12">
        <v>213507851</v>
      </c>
      <c r="D7" s="12">
        <v>67459947</v>
      </c>
      <c r="E7">
        <v>16113225</v>
      </c>
      <c r="F7" s="12" cm="1">
        <f t="array" ref="F7">SUM(C7:D7-E7)</f>
        <v>248741348</v>
      </c>
    </row>
    <row r="8" spans="1:6" x14ac:dyDescent="0.35">
      <c r="A8" t="s">
        <v>104</v>
      </c>
      <c r="B8" t="s">
        <v>175</v>
      </c>
      <c r="C8" s="12">
        <v>135470465</v>
      </c>
      <c r="D8" s="12">
        <v>41967864</v>
      </c>
      <c r="E8">
        <v>11368526</v>
      </c>
      <c r="F8" s="12" cm="1">
        <f t="array" ref="F8">SUM(C8:D8-E8)</f>
        <v>154701277</v>
      </c>
    </row>
    <row r="9" spans="1:6" x14ac:dyDescent="0.35">
      <c r="A9" t="s">
        <v>105</v>
      </c>
      <c r="B9" t="s">
        <v>175</v>
      </c>
      <c r="C9" s="12">
        <v>442987207</v>
      </c>
      <c r="D9" s="12">
        <v>154650903</v>
      </c>
      <c r="E9">
        <v>25151574</v>
      </c>
      <c r="F9" s="12" cm="1">
        <f t="array" ref="F9">SUM(C9:D9-E9)</f>
        <v>547334962</v>
      </c>
    </row>
    <row r="10" spans="1:6" x14ac:dyDescent="0.35">
      <c r="A10" t="s">
        <v>106</v>
      </c>
      <c r="B10" t="s">
        <v>175</v>
      </c>
      <c r="C10" s="12">
        <v>41486625</v>
      </c>
      <c r="D10" s="12">
        <v>15062944</v>
      </c>
      <c r="E10">
        <v>5034879</v>
      </c>
      <c r="F10" s="12" cm="1">
        <f t="array" ref="F10">SUM(C10:D10-E10)</f>
        <v>46479811</v>
      </c>
    </row>
    <row r="11" spans="1:6" x14ac:dyDescent="0.35">
      <c r="A11" t="s">
        <v>107</v>
      </c>
      <c r="B11" t="s">
        <v>175</v>
      </c>
      <c r="C11" s="12">
        <v>606945195</v>
      </c>
      <c r="D11" s="12">
        <v>212050049</v>
      </c>
      <c r="E11">
        <v>77565967</v>
      </c>
      <c r="F11" s="12" cm="1">
        <f t="array" ref="F11">SUM(C11:D11-E11)</f>
        <v>663863310</v>
      </c>
    </row>
    <row r="12" spans="1:6" x14ac:dyDescent="0.35">
      <c r="A12" t="s">
        <v>108</v>
      </c>
      <c r="B12" t="s">
        <v>175</v>
      </c>
      <c r="C12" s="12">
        <v>177209013</v>
      </c>
      <c r="D12" s="12">
        <v>53261514</v>
      </c>
      <c r="E12">
        <v>16104354</v>
      </c>
      <c r="F12" s="12" cm="1">
        <f t="array" ref="F12">SUM(C12:D12-E12)</f>
        <v>198261819</v>
      </c>
    </row>
    <row r="13" spans="1:6" x14ac:dyDescent="0.35">
      <c r="A13" t="s">
        <v>109</v>
      </c>
      <c r="B13" t="s">
        <v>175</v>
      </c>
      <c r="C13" s="12">
        <v>0</v>
      </c>
      <c r="D13" s="12">
        <v>0</v>
      </c>
      <c r="E13">
        <v>0</v>
      </c>
      <c r="F13" s="12" cm="1">
        <f t="array" ref="F13">SUM(C13:D13-E13)</f>
        <v>0</v>
      </c>
    </row>
    <row r="14" spans="1:6" x14ac:dyDescent="0.35">
      <c r="A14" t="s">
        <v>111</v>
      </c>
      <c r="B14" t="s">
        <v>175</v>
      </c>
      <c r="C14" s="12">
        <v>135065882</v>
      </c>
      <c r="D14" s="12">
        <v>45050285</v>
      </c>
      <c r="E14">
        <v>0</v>
      </c>
      <c r="F14" s="12" cm="1">
        <f t="array" ref="F14">SUM(C14:D14-E14)</f>
        <v>180116167</v>
      </c>
    </row>
    <row r="15" spans="1:6" x14ac:dyDescent="0.35">
      <c r="A15" t="s">
        <v>112</v>
      </c>
      <c r="B15" t="s">
        <v>175</v>
      </c>
      <c r="C15" s="12">
        <v>35376099</v>
      </c>
      <c r="D15" s="12">
        <v>10436410</v>
      </c>
      <c r="E15">
        <v>4436498</v>
      </c>
      <c r="F15" s="12" cm="1">
        <f t="array" ref="F15">SUM(C15:D15-E15)</f>
        <v>36939513</v>
      </c>
    </row>
    <row r="16" spans="1:6" x14ac:dyDescent="0.35">
      <c r="A16" t="s">
        <v>113</v>
      </c>
      <c r="B16" t="s">
        <v>175</v>
      </c>
      <c r="C16" s="12">
        <v>5415875</v>
      </c>
      <c r="D16" s="12">
        <v>2082042</v>
      </c>
      <c r="E16">
        <v>314936</v>
      </c>
      <c r="F16" s="12" cm="1">
        <f t="array" ref="F16">SUM(C16:D16-E16)</f>
        <v>6868045</v>
      </c>
    </row>
    <row r="17" spans="1:6" x14ac:dyDescent="0.35">
      <c r="A17" t="s">
        <v>114</v>
      </c>
      <c r="B17" t="s">
        <v>175</v>
      </c>
      <c r="C17" s="12">
        <v>813782661</v>
      </c>
      <c r="D17" s="12">
        <v>198038855</v>
      </c>
      <c r="E17">
        <v>65399900</v>
      </c>
      <c r="F17" s="12" cm="1">
        <f t="array" ref="F17">SUM(C17:D17-E17)</f>
        <v>881021716</v>
      </c>
    </row>
    <row r="18" spans="1:6" x14ac:dyDescent="0.35">
      <c r="A18" t="s">
        <v>115</v>
      </c>
      <c r="B18" t="s">
        <v>175</v>
      </c>
      <c r="C18" s="12">
        <v>80670414</v>
      </c>
      <c r="D18" s="12">
        <v>24283758</v>
      </c>
      <c r="E18">
        <v>8141013</v>
      </c>
      <c r="F18" s="12" cm="1">
        <f t="array" ref="F18">SUM(C18:D18-E18)</f>
        <v>88672146</v>
      </c>
    </row>
    <row r="19" spans="1:6" x14ac:dyDescent="0.35">
      <c r="A19" t="s">
        <v>116</v>
      </c>
      <c r="B19" t="s">
        <v>175</v>
      </c>
      <c r="C19" s="12">
        <v>19585765</v>
      </c>
      <c r="D19" s="12">
        <v>5249967</v>
      </c>
      <c r="E19">
        <v>2478875</v>
      </c>
      <c r="F19" s="12" cm="1">
        <f t="array" ref="F19">SUM(C19:D19-E19)</f>
        <v>19877982</v>
      </c>
    </row>
    <row r="20" spans="1:6" x14ac:dyDescent="0.35">
      <c r="A20" t="s">
        <v>117</v>
      </c>
      <c r="B20" t="s">
        <v>175</v>
      </c>
      <c r="C20" s="12">
        <v>65893049</v>
      </c>
      <c r="D20" s="12">
        <v>20885716</v>
      </c>
      <c r="E20">
        <v>6812662</v>
      </c>
      <c r="F20" s="12" cm="1">
        <f t="array" ref="F20">SUM(C20:D20-E20)</f>
        <v>73153441</v>
      </c>
    </row>
    <row r="21" spans="1:6" x14ac:dyDescent="0.35">
      <c r="A21" t="s">
        <v>118</v>
      </c>
      <c r="B21" t="s">
        <v>175</v>
      </c>
      <c r="C21" s="12">
        <v>64980367</v>
      </c>
      <c r="D21" s="12">
        <v>20259373</v>
      </c>
      <c r="E21">
        <v>7524748</v>
      </c>
      <c r="F21" s="12" cm="1">
        <f t="array" ref="F21">SUM(C21:D21-E21)</f>
        <v>70190244</v>
      </c>
    </row>
    <row r="22" spans="1:6" x14ac:dyDescent="0.35">
      <c r="A22" t="s">
        <v>119</v>
      </c>
      <c r="B22" t="s">
        <v>175</v>
      </c>
      <c r="C22" s="12">
        <v>329748071</v>
      </c>
      <c r="D22" s="12">
        <v>109201898</v>
      </c>
      <c r="E22">
        <v>18544122</v>
      </c>
      <c r="F22" s="12" cm="1">
        <f t="array" ref="F22">SUM(C22:D22-E22)</f>
        <v>401861725</v>
      </c>
    </row>
    <row r="23" spans="1:6" x14ac:dyDescent="0.35">
      <c r="A23" t="s">
        <v>120</v>
      </c>
      <c r="B23" t="s">
        <v>175</v>
      </c>
      <c r="C23" s="12">
        <v>333920631</v>
      </c>
      <c r="D23" s="12">
        <v>98261957</v>
      </c>
      <c r="E23">
        <v>27012793</v>
      </c>
      <c r="F23" s="12" cm="1">
        <f t="array" ref="F23">SUM(C23:D23-E23)</f>
        <v>378157002</v>
      </c>
    </row>
    <row r="24" spans="1:6" x14ac:dyDescent="0.35">
      <c r="A24" t="s">
        <v>121</v>
      </c>
      <c r="B24" t="s">
        <v>175</v>
      </c>
      <c r="C24" s="12">
        <v>7645925</v>
      </c>
      <c r="D24" s="12">
        <v>1566222</v>
      </c>
      <c r="E24">
        <v>745412</v>
      </c>
      <c r="F24" s="12" cm="1">
        <f t="array" ref="F24">SUM(C24:D24-E24)</f>
        <v>7721323</v>
      </c>
    </row>
    <row r="25" spans="1:6" x14ac:dyDescent="0.35">
      <c r="A25" t="s">
        <v>122</v>
      </c>
      <c r="B25" t="s">
        <v>175</v>
      </c>
      <c r="C25" s="12">
        <v>211234205</v>
      </c>
      <c r="D25" s="12">
        <v>73006147</v>
      </c>
      <c r="E25">
        <v>25420916</v>
      </c>
      <c r="F25" s="12" cm="1">
        <f t="array" ref="F25">SUM(C25:D25-E25)</f>
        <v>233398520</v>
      </c>
    </row>
    <row r="26" spans="1:6" x14ac:dyDescent="0.35">
      <c r="A26" t="s">
        <v>123</v>
      </c>
      <c r="B26" t="s">
        <v>175</v>
      </c>
      <c r="C26" s="12">
        <v>253038762</v>
      </c>
      <c r="D26" s="12">
        <v>79208731</v>
      </c>
      <c r="E26">
        <v>19954343</v>
      </c>
      <c r="F26" s="12" cm="1">
        <f t="array" ref="F26">SUM(C26:D26-E26)</f>
        <v>292338807</v>
      </c>
    </row>
    <row r="27" spans="1:6" x14ac:dyDescent="0.35">
      <c r="A27" t="s">
        <v>124</v>
      </c>
      <c r="B27" t="s">
        <v>175</v>
      </c>
      <c r="C27" s="12">
        <v>145211409</v>
      </c>
      <c r="D27" s="12">
        <v>49155320</v>
      </c>
      <c r="E27">
        <v>13877099</v>
      </c>
      <c r="F27" s="12" cm="1">
        <f t="array" ref="F27">SUM(C27:D27-E27)</f>
        <v>166612531</v>
      </c>
    </row>
    <row r="28" spans="1:6" x14ac:dyDescent="0.35">
      <c r="A28" t="s">
        <v>125</v>
      </c>
      <c r="B28" t="s">
        <v>175</v>
      </c>
      <c r="C28" s="12">
        <v>4788899</v>
      </c>
      <c r="D28" s="12">
        <v>1632294</v>
      </c>
      <c r="E28">
        <v>892951</v>
      </c>
      <c r="F28" s="12" cm="1">
        <f t="array" ref="F28">SUM(C28:D28-E28)</f>
        <v>4635291</v>
      </c>
    </row>
    <row r="29" spans="1:6" x14ac:dyDescent="0.35">
      <c r="A29" t="s">
        <v>126</v>
      </c>
      <c r="B29" t="s">
        <v>175</v>
      </c>
      <c r="C29" s="12">
        <v>7512311</v>
      </c>
      <c r="D29" s="12">
        <v>2038127</v>
      </c>
      <c r="E29">
        <v>988243</v>
      </c>
      <c r="F29" s="12" cm="1">
        <f t="array" ref="F29">SUM(C29:D29-E29)</f>
        <v>7573952</v>
      </c>
    </row>
    <row r="30" spans="1:6" x14ac:dyDescent="0.35">
      <c r="A30" t="s">
        <v>127</v>
      </c>
      <c r="B30" t="s">
        <v>175</v>
      </c>
      <c r="C30" s="12">
        <v>133736223</v>
      </c>
      <c r="D30" s="12">
        <v>40204296</v>
      </c>
      <c r="E30">
        <v>16361992</v>
      </c>
      <c r="F30" s="12" cm="1">
        <f t="array" ref="F30">SUM(C30:D30-E30)</f>
        <v>141216535</v>
      </c>
    </row>
    <row r="31" spans="1:6" x14ac:dyDescent="0.35">
      <c r="A31" t="s">
        <v>128</v>
      </c>
      <c r="B31" t="s">
        <v>175</v>
      </c>
      <c r="C31" s="12">
        <v>4730342</v>
      </c>
      <c r="D31" s="12">
        <v>1844291</v>
      </c>
      <c r="E31">
        <v>867488</v>
      </c>
      <c r="F31" s="12" cm="1">
        <f t="array" ref="F31">SUM(C31:D31-E31)</f>
        <v>4839657</v>
      </c>
    </row>
    <row r="32" spans="1:6" x14ac:dyDescent="0.35">
      <c r="A32" t="s">
        <v>129</v>
      </c>
      <c r="B32" t="s">
        <v>175</v>
      </c>
      <c r="C32" s="12">
        <v>24021702</v>
      </c>
      <c r="D32" s="12">
        <v>5597118</v>
      </c>
      <c r="E32">
        <v>2495588</v>
      </c>
      <c r="F32" s="12" cm="1">
        <f t="array" ref="F32">SUM(C32:D32-E32)</f>
        <v>24627644</v>
      </c>
    </row>
    <row r="33" spans="1:6" x14ac:dyDescent="0.35">
      <c r="A33" t="s">
        <v>130</v>
      </c>
      <c r="B33" t="s">
        <v>175</v>
      </c>
      <c r="C33" s="12">
        <v>3935744</v>
      </c>
      <c r="D33" s="12">
        <v>632649</v>
      </c>
      <c r="E33">
        <v>559824</v>
      </c>
      <c r="F33" s="12" cm="1">
        <f t="array" ref="F33">SUM(C33:D33-E33)</f>
        <v>3448745</v>
      </c>
    </row>
    <row r="34" spans="1:6" x14ac:dyDescent="0.35">
      <c r="A34" t="s">
        <v>131</v>
      </c>
      <c r="B34" t="s">
        <v>175</v>
      </c>
      <c r="C34" s="12">
        <v>557472361</v>
      </c>
      <c r="D34" s="12">
        <v>215784320</v>
      </c>
      <c r="E34">
        <v>38337647</v>
      </c>
      <c r="F34" s="12" cm="1">
        <f t="array" ref="F34">SUM(C34:D34-E34)</f>
        <v>696581387</v>
      </c>
    </row>
    <row r="35" spans="1:6" x14ac:dyDescent="0.35">
      <c r="A35" t="s">
        <v>132</v>
      </c>
      <c r="B35" t="s">
        <v>175</v>
      </c>
      <c r="C35" s="12">
        <v>29049326</v>
      </c>
      <c r="D35" s="12">
        <v>11535143</v>
      </c>
      <c r="E35">
        <v>4077444</v>
      </c>
      <c r="F35" s="12" cm="1">
        <f t="array" ref="F35">SUM(C35:D35-E35)</f>
        <v>32429581</v>
      </c>
    </row>
    <row r="36" spans="1:6" x14ac:dyDescent="0.35">
      <c r="A36" t="s">
        <v>133</v>
      </c>
      <c r="B36" t="s">
        <v>175</v>
      </c>
      <c r="C36" s="12">
        <v>89482929</v>
      </c>
      <c r="D36" s="12">
        <v>43556692</v>
      </c>
      <c r="E36">
        <v>9480329</v>
      </c>
      <c r="F36" s="12" cm="1">
        <f t="array" ref="F36">SUM(C36:D36-E36)</f>
        <v>114078963</v>
      </c>
    </row>
    <row r="37" spans="1:6" x14ac:dyDescent="0.35">
      <c r="A37" t="s">
        <v>134</v>
      </c>
      <c r="B37" t="s">
        <v>175</v>
      </c>
      <c r="C37" s="12">
        <v>2543181640</v>
      </c>
      <c r="D37" s="12">
        <v>815696297</v>
      </c>
      <c r="E37">
        <v>111487838</v>
      </c>
      <c r="F37" s="12" cm="1">
        <f t="array" ref="F37">SUM(C37:D37-E37)</f>
        <v>3135902261</v>
      </c>
    </row>
    <row r="38" spans="1:6" x14ac:dyDescent="0.35">
      <c r="A38" t="s">
        <v>135</v>
      </c>
      <c r="B38" t="s">
        <v>175</v>
      </c>
      <c r="C38" s="12">
        <v>325211129</v>
      </c>
      <c r="D38" s="12">
        <v>115751942</v>
      </c>
      <c r="E38">
        <v>22532677</v>
      </c>
      <c r="F38" s="12" cm="1">
        <f t="array" ref="F38">SUM(C38:D38-E38)</f>
        <v>395897717</v>
      </c>
    </row>
    <row r="39" spans="1:6" x14ac:dyDescent="0.35">
      <c r="A39" t="s">
        <v>136</v>
      </c>
      <c r="B39" t="s">
        <v>175</v>
      </c>
      <c r="C39" s="12">
        <v>19320413</v>
      </c>
      <c r="D39" s="12">
        <v>6556404</v>
      </c>
      <c r="E39">
        <v>1978276</v>
      </c>
      <c r="F39" s="12" cm="1">
        <f t="array" ref="F39">SUM(C39:D39-E39)</f>
        <v>21920265</v>
      </c>
    </row>
    <row r="40" spans="1:6" x14ac:dyDescent="0.35">
      <c r="A40" t="s">
        <v>137</v>
      </c>
      <c r="B40" t="s">
        <v>175</v>
      </c>
      <c r="C40" s="12">
        <v>229760926</v>
      </c>
      <c r="D40" s="12">
        <v>59476605</v>
      </c>
      <c r="E40">
        <v>15492362</v>
      </c>
      <c r="F40" s="12" cm="1">
        <f t="array" ref="F40">SUM(C40:D40-E40)</f>
        <v>258252807</v>
      </c>
    </row>
    <row r="41" spans="1:6" x14ac:dyDescent="0.35">
      <c r="A41" t="s">
        <v>138</v>
      </c>
      <c r="B41" t="s">
        <v>175</v>
      </c>
      <c r="C41" s="12">
        <v>647283728</v>
      </c>
      <c r="D41" s="12">
        <v>218056719</v>
      </c>
      <c r="E41">
        <v>55595047</v>
      </c>
      <c r="F41" s="12" cm="1">
        <f t="array" ref="F41">SUM(C41:D41-E41)</f>
        <v>754150353</v>
      </c>
    </row>
    <row r="42" spans="1:6" x14ac:dyDescent="0.35">
      <c r="A42" t="s">
        <v>139</v>
      </c>
      <c r="B42" t="s">
        <v>175</v>
      </c>
      <c r="C42" s="12">
        <v>24399425</v>
      </c>
      <c r="D42" s="12">
        <v>9640186</v>
      </c>
      <c r="E42">
        <v>3054576</v>
      </c>
      <c r="F42" s="12" cm="1">
        <f t="array" ref="F42">SUM(C42:D42-E42)</f>
        <v>27930459</v>
      </c>
    </row>
    <row r="43" spans="1:6" x14ac:dyDescent="0.35">
      <c r="A43" t="s">
        <v>140</v>
      </c>
      <c r="B43" t="s">
        <v>175</v>
      </c>
      <c r="C43" s="12">
        <v>59946581</v>
      </c>
      <c r="D43" s="12">
        <v>17070464</v>
      </c>
      <c r="E43">
        <v>4443897</v>
      </c>
      <c r="F43" s="12" cm="1">
        <f t="array" ref="F43">SUM(C43:D43-E43)</f>
        <v>68129251</v>
      </c>
    </row>
    <row r="44" spans="1:6" x14ac:dyDescent="0.35">
      <c r="A44" t="s">
        <v>141</v>
      </c>
      <c r="B44" t="s">
        <v>175</v>
      </c>
      <c r="C44" s="12">
        <v>25269272</v>
      </c>
      <c r="D44" s="12">
        <v>6851024</v>
      </c>
      <c r="E44">
        <v>3337250</v>
      </c>
      <c r="F44" s="12" cm="1">
        <f t="array" ref="F44">SUM(C44:D44-E44)</f>
        <v>25445796</v>
      </c>
    </row>
    <row r="45" spans="1:6" x14ac:dyDescent="0.35">
      <c r="A45" t="s">
        <v>142</v>
      </c>
      <c r="B45" t="s">
        <v>175</v>
      </c>
      <c r="C45" s="12">
        <v>3266283</v>
      </c>
      <c r="D45" s="12">
        <v>629603</v>
      </c>
      <c r="E45">
        <v>367097</v>
      </c>
      <c r="F45" s="12" cm="1">
        <f t="array" ref="F45">SUM(C45:D45-E45)</f>
        <v>3161692</v>
      </c>
    </row>
    <row r="46" spans="1:6" x14ac:dyDescent="0.35">
      <c r="A46" t="s">
        <v>143</v>
      </c>
      <c r="B46" t="s">
        <v>175</v>
      </c>
      <c r="C46" s="12">
        <v>89359038</v>
      </c>
      <c r="D46" s="12">
        <v>27111135</v>
      </c>
      <c r="E46">
        <v>9309252</v>
      </c>
      <c r="F46" s="12" cm="1">
        <f t="array" ref="F46">SUM(C46:D46-E46)</f>
        <v>97851669</v>
      </c>
    </row>
    <row r="47" spans="1:6" x14ac:dyDescent="0.35">
      <c r="A47" t="s">
        <v>144</v>
      </c>
      <c r="B47" t="s">
        <v>175</v>
      </c>
      <c r="C47" s="12">
        <v>657722156</v>
      </c>
      <c r="D47" s="12">
        <v>228457432</v>
      </c>
      <c r="E47">
        <v>55535532</v>
      </c>
      <c r="F47" s="12" cm="1">
        <f t="array" ref="F47">SUM(C47:D47-E47)</f>
        <v>775108524</v>
      </c>
    </row>
    <row r="48" spans="1:6" x14ac:dyDescent="0.35">
      <c r="A48" t="s">
        <v>145</v>
      </c>
      <c r="B48" t="s">
        <v>175</v>
      </c>
      <c r="C48" s="5">
        <v>85889077</v>
      </c>
      <c r="D48" s="5">
        <v>29372249</v>
      </c>
      <c r="E48">
        <v>9201989</v>
      </c>
      <c r="F48" s="12" cm="1">
        <f t="array" ref="F48">SUM(C48:D48-E48)</f>
        <v>96857348</v>
      </c>
    </row>
    <row r="49" spans="1:6" x14ac:dyDescent="0.35">
      <c r="A49" t="s">
        <v>146</v>
      </c>
      <c r="B49" t="s">
        <v>175</v>
      </c>
      <c r="C49" s="5">
        <v>170995603</v>
      </c>
      <c r="D49" s="5">
        <v>54284614</v>
      </c>
      <c r="E49">
        <v>19403102</v>
      </c>
      <c r="F49" s="12" cm="1">
        <f t="array" ref="F49">SUM(C49:D49-E49)</f>
        <v>186474013</v>
      </c>
    </row>
    <row r="50" spans="1:6" x14ac:dyDescent="0.35">
      <c r="A50" t="s">
        <v>147</v>
      </c>
      <c r="B50" t="s">
        <v>175</v>
      </c>
      <c r="C50" s="5">
        <v>0</v>
      </c>
      <c r="D50" s="5">
        <v>0</v>
      </c>
      <c r="E50">
        <v>0</v>
      </c>
      <c r="F50" s="12" cm="1">
        <f t="array" ref="F50">SUM(C50:D50-E50)</f>
        <v>0</v>
      </c>
    </row>
    <row r="51" spans="1:6" x14ac:dyDescent="0.35">
      <c r="A51" t="s">
        <v>148</v>
      </c>
      <c r="B51" t="s">
        <v>175</v>
      </c>
      <c r="C51" s="5">
        <v>8216932</v>
      </c>
      <c r="D51" s="5">
        <v>1558099</v>
      </c>
      <c r="E51">
        <v>827122</v>
      </c>
      <c r="F51" s="12" cm="1">
        <f t="array" ref="F51">SUM(C51:D51-E51)</f>
        <v>8120787</v>
      </c>
    </row>
    <row r="52" spans="1:6" x14ac:dyDescent="0.35">
      <c r="A52" t="s">
        <v>149</v>
      </c>
      <c r="B52" t="s">
        <v>175</v>
      </c>
      <c r="C52" s="5">
        <v>596988520</v>
      </c>
      <c r="D52" s="5">
        <v>166052440</v>
      </c>
      <c r="E52">
        <v>40308315</v>
      </c>
      <c r="F52" s="12" cm="1">
        <f t="array" ref="F52">SUM(C52:D52-E52)</f>
        <v>682424330</v>
      </c>
    </row>
    <row r="53" spans="1:6" x14ac:dyDescent="0.35">
      <c r="A53" t="s">
        <v>150</v>
      </c>
      <c r="B53" t="s">
        <v>175</v>
      </c>
      <c r="C53" s="5">
        <v>151236562</v>
      </c>
      <c r="D53" s="5">
        <v>38335850</v>
      </c>
      <c r="E53">
        <v>6204771</v>
      </c>
      <c r="F53" s="12" cm="1">
        <f t="array" ref="F53">SUM(C53:D53-E53)</f>
        <v>177162870</v>
      </c>
    </row>
    <row r="54" spans="1:6" x14ac:dyDescent="0.35">
      <c r="A54" t="s">
        <v>151</v>
      </c>
      <c r="B54" t="s">
        <v>175</v>
      </c>
      <c r="C54" s="5">
        <v>12158269</v>
      </c>
      <c r="D54" s="5">
        <v>3855316</v>
      </c>
      <c r="E54">
        <v>1586612</v>
      </c>
      <c r="F54" s="12" cm="1">
        <f t="array" ref="F54">SUM(C54:D54-E54)</f>
        <v>12840361</v>
      </c>
    </row>
    <row r="55" spans="1:6" x14ac:dyDescent="0.35">
      <c r="A55" t="s">
        <v>152</v>
      </c>
      <c r="B55" t="s">
        <v>175</v>
      </c>
      <c r="C55" s="5">
        <v>0</v>
      </c>
      <c r="D55" s="5">
        <v>0</v>
      </c>
      <c r="E55">
        <v>0</v>
      </c>
      <c r="F55" s="12" cm="1">
        <f t="array" ref="F55">SUM(C55:D55-E55)</f>
        <v>0</v>
      </c>
    </row>
    <row r="56" spans="1:6" x14ac:dyDescent="0.35">
      <c r="A56" t="s">
        <v>96</v>
      </c>
      <c r="B56" t="s">
        <v>176</v>
      </c>
      <c r="C56">
        <v>3743937</v>
      </c>
      <c r="D56">
        <v>389169</v>
      </c>
      <c r="E56">
        <v>446081</v>
      </c>
      <c r="F56" s="12" cm="1">
        <f t="array" ref="F56">SUM(C56:D56-E56)</f>
        <v>3240944</v>
      </c>
    </row>
    <row r="57" spans="1:6" x14ac:dyDescent="0.35">
      <c r="A57" t="s">
        <v>97</v>
      </c>
      <c r="B57" t="s">
        <v>176</v>
      </c>
      <c r="C57">
        <v>11601142</v>
      </c>
      <c r="D57">
        <v>2742838</v>
      </c>
      <c r="E57">
        <v>1281229</v>
      </c>
      <c r="F57" s="12" cm="1">
        <f t="array" ref="F57">SUM(C57:D57-E57)</f>
        <v>11781522</v>
      </c>
    </row>
    <row r="58" spans="1:6" x14ac:dyDescent="0.35">
      <c r="A58" t="s">
        <v>98</v>
      </c>
      <c r="B58" t="s">
        <v>176</v>
      </c>
      <c r="C58">
        <v>2085150</v>
      </c>
      <c r="D58">
        <v>92100</v>
      </c>
      <c r="E58">
        <v>255550</v>
      </c>
      <c r="F58" s="12" cm="1">
        <f t="array" ref="F58">SUM(C58:D58-E58)</f>
        <v>1666150</v>
      </c>
    </row>
    <row r="59" spans="1:6" x14ac:dyDescent="0.35">
      <c r="A59" t="s">
        <v>99</v>
      </c>
      <c r="B59" t="s">
        <v>176</v>
      </c>
      <c r="C59">
        <v>0</v>
      </c>
      <c r="D59">
        <v>0</v>
      </c>
      <c r="E59">
        <v>0</v>
      </c>
      <c r="F59" s="12" cm="1">
        <f t="array" ref="F59">SUM(C59:D59-E59)</f>
        <v>0</v>
      </c>
    </row>
    <row r="60" spans="1:6" x14ac:dyDescent="0.35">
      <c r="A60" t="s">
        <v>101</v>
      </c>
      <c r="B60" t="s">
        <v>176</v>
      </c>
      <c r="C60">
        <v>26915267</v>
      </c>
      <c r="D60">
        <v>3749670</v>
      </c>
      <c r="E60">
        <v>1647337</v>
      </c>
      <c r="F60" s="12" cm="1">
        <f t="array" ref="F60">SUM(C60:D60-E60)</f>
        <v>27370263</v>
      </c>
    </row>
    <row r="61" spans="1:6" x14ac:dyDescent="0.35">
      <c r="A61" t="s">
        <v>102</v>
      </c>
      <c r="B61" t="s">
        <v>176</v>
      </c>
      <c r="C61">
        <v>277676704</v>
      </c>
      <c r="D61">
        <v>50993594</v>
      </c>
      <c r="E61">
        <v>15494672</v>
      </c>
      <c r="F61" s="12" cm="1">
        <f t="array" ref="F61">SUM(C61:D61-E61)</f>
        <v>297680954</v>
      </c>
    </row>
    <row r="62" spans="1:6" x14ac:dyDescent="0.35">
      <c r="A62" t="s">
        <v>103</v>
      </c>
      <c r="B62" t="s">
        <v>176</v>
      </c>
      <c r="C62">
        <v>31675045</v>
      </c>
      <c r="D62">
        <v>9526744</v>
      </c>
      <c r="E62">
        <v>304176</v>
      </c>
      <c r="F62" s="12" cm="1">
        <f t="array" ref="F62">SUM(C62:D62-E62)</f>
        <v>40593437</v>
      </c>
    </row>
    <row r="63" spans="1:6" x14ac:dyDescent="0.35">
      <c r="A63" t="s">
        <v>104</v>
      </c>
      <c r="B63" t="s">
        <v>176</v>
      </c>
      <c r="C63">
        <v>33997711</v>
      </c>
      <c r="D63">
        <v>3086874</v>
      </c>
      <c r="E63">
        <v>3244151</v>
      </c>
      <c r="F63" s="12" cm="1">
        <f t="array" ref="F63">SUM(C63:D63-E63)</f>
        <v>30596283</v>
      </c>
    </row>
    <row r="64" spans="1:6" x14ac:dyDescent="0.35">
      <c r="A64" t="s">
        <v>105</v>
      </c>
      <c r="B64" t="s">
        <v>176</v>
      </c>
      <c r="C64">
        <v>117293449</v>
      </c>
      <c r="D64">
        <v>9426578</v>
      </c>
      <c r="E64">
        <v>5740262</v>
      </c>
      <c r="F64" s="12" cm="1">
        <f t="array" ref="F64">SUM(C64:D64-E64)</f>
        <v>115239503</v>
      </c>
    </row>
    <row r="65" spans="1:6" x14ac:dyDescent="0.35">
      <c r="A65" t="s">
        <v>106</v>
      </c>
      <c r="B65" t="s">
        <v>176</v>
      </c>
      <c r="C65">
        <v>35857453</v>
      </c>
      <c r="D65">
        <v>5682386</v>
      </c>
      <c r="E65">
        <v>2539614</v>
      </c>
      <c r="F65" s="12" cm="1">
        <f t="array" ref="F65">SUM(C65:D65-E65)</f>
        <v>36460611</v>
      </c>
    </row>
    <row r="66" spans="1:6" x14ac:dyDescent="0.35">
      <c r="A66" t="s">
        <v>107</v>
      </c>
      <c r="B66" t="s">
        <v>176</v>
      </c>
      <c r="C66">
        <v>167551143</v>
      </c>
      <c r="D66">
        <v>27845661</v>
      </c>
      <c r="E66">
        <v>11350647</v>
      </c>
      <c r="F66" s="12" cm="1">
        <f t="array" ref="F66">SUM(C66:D66-E66)</f>
        <v>172695510</v>
      </c>
    </row>
    <row r="67" spans="1:6" x14ac:dyDescent="0.35">
      <c r="A67" t="s">
        <v>108</v>
      </c>
      <c r="B67" t="s">
        <v>176</v>
      </c>
      <c r="C67">
        <v>29601199</v>
      </c>
      <c r="D67">
        <v>9402496</v>
      </c>
      <c r="E67">
        <v>3849187</v>
      </c>
      <c r="F67" s="12" cm="1">
        <f t="array" ref="F67">SUM(C67:D67-E67)</f>
        <v>31305321</v>
      </c>
    </row>
    <row r="68" spans="1:6" x14ac:dyDescent="0.35">
      <c r="A68" t="s">
        <v>109</v>
      </c>
      <c r="B68" t="s">
        <v>176</v>
      </c>
      <c r="C68">
        <v>0</v>
      </c>
      <c r="D68">
        <v>0</v>
      </c>
      <c r="E68">
        <v>0</v>
      </c>
      <c r="F68" s="12" cm="1">
        <f t="array" ref="F68">SUM(C68:D68-E68)</f>
        <v>0</v>
      </c>
    </row>
    <row r="69" spans="1:6" x14ac:dyDescent="0.35">
      <c r="A69" t="s">
        <v>111</v>
      </c>
      <c r="B69" t="s">
        <v>176</v>
      </c>
      <c r="C69">
        <v>37618245</v>
      </c>
      <c r="D69">
        <v>7195510</v>
      </c>
      <c r="E69">
        <v>0</v>
      </c>
      <c r="F69" s="12" cm="1">
        <f t="array" ref="F69">SUM(C69:D69-E69)</f>
        <v>44813755</v>
      </c>
    </row>
    <row r="70" spans="1:6" x14ac:dyDescent="0.35">
      <c r="A70" t="s">
        <v>112</v>
      </c>
      <c r="B70" t="s">
        <v>176</v>
      </c>
      <c r="C70">
        <v>8280174</v>
      </c>
      <c r="D70">
        <v>1193666</v>
      </c>
      <c r="E70">
        <v>666973</v>
      </c>
      <c r="F70" s="12" cm="1">
        <f t="array" ref="F70">SUM(C70:D70-E70)</f>
        <v>8139894</v>
      </c>
    </row>
    <row r="71" spans="1:6" x14ac:dyDescent="0.35">
      <c r="A71" t="s">
        <v>113</v>
      </c>
      <c r="B71" t="s">
        <v>176</v>
      </c>
      <c r="C71">
        <v>2438532</v>
      </c>
      <c r="D71">
        <v>358882</v>
      </c>
      <c r="E71">
        <v>88566</v>
      </c>
      <c r="F71" s="12" cm="1">
        <f t="array" ref="F71">SUM(C71:D71-E71)</f>
        <v>2620282</v>
      </c>
    </row>
    <row r="72" spans="1:6" x14ac:dyDescent="0.35">
      <c r="A72" t="s">
        <v>114</v>
      </c>
      <c r="B72" t="s">
        <v>176</v>
      </c>
      <c r="C72">
        <v>124903434</v>
      </c>
      <c r="D72">
        <v>30007058</v>
      </c>
      <c r="E72">
        <v>4581514</v>
      </c>
      <c r="F72" s="12" cm="1">
        <f t="array" ref="F72">SUM(C72:D72-E72)</f>
        <v>145747464</v>
      </c>
    </row>
    <row r="73" spans="1:6" x14ac:dyDescent="0.35">
      <c r="A73" t="s">
        <v>115</v>
      </c>
      <c r="B73" t="s">
        <v>176</v>
      </c>
      <c r="C73">
        <v>18866689</v>
      </c>
      <c r="D73">
        <v>3228044</v>
      </c>
      <c r="E73">
        <v>1339719</v>
      </c>
      <c r="F73" s="12" cm="1">
        <f t="array" ref="F73">SUM(C73:D73-E73)</f>
        <v>19415295</v>
      </c>
    </row>
    <row r="74" spans="1:6" x14ac:dyDescent="0.35">
      <c r="A74" t="s">
        <v>116</v>
      </c>
      <c r="B74" t="s">
        <v>176</v>
      </c>
      <c r="C74">
        <v>5777857</v>
      </c>
      <c r="D74">
        <v>1040556</v>
      </c>
      <c r="E74">
        <v>801559</v>
      </c>
      <c r="F74" s="12" cm="1">
        <f t="array" ref="F74">SUM(C74:D74-E74)</f>
        <v>5215295</v>
      </c>
    </row>
    <row r="75" spans="1:6" x14ac:dyDescent="0.35">
      <c r="A75" t="s">
        <v>117</v>
      </c>
      <c r="B75" t="s">
        <v>176</v>
      </c>
      <c r="C75">
        <v>20035779</v>
      </c>
      <c r="D75">
        <v>2362457</v>
      </c>
      <c r="E75">
        <v>2144572</v>
      </c>
      <c r="F75" s="12" cm="1">
        <f t="array" ref="F75">SUM(C75:D75-E75)</f>
        <v>18109092</v>
      </c>
    </row>
    <row r="76" spans="1:6" x14ac:dyDescent="0.35">
      <c r="A76" t="s">
        <v>118</v>
      </c>
      <c r="B76" t="s">
        <v>176</v>
      </c>
      <c r="C76">
        <v>13274493</v>
      </c>
      <c r="D76">
        <v>2501130</v>
      </c>
      <c r="E76">
        <v>886092</v>
      </c>
      <c r="F76" s="12" cm="1">
        <f t="array" ref="F76">SUM(C76:D76-E76)</f>
        <v>14003439</v>
      </c>
    </row>
    <row r="77" spans="1:6" x14ac:dyDescent="0.35">
      <c r="A77" t="s">
        <v>119</v>
      </c>
      <c r="B77" t="s">
        <v>176</v>
      </c>
      <c r="C77">
        <v>133038125</v>
      </c>
      <c r="D77">
        <v>16191969</v>
      </c>
      <c r="E77">
        <v>6114739</v>
      </c>
      <c r="F77" s="12" cm="1">
        <f t="array" ref="F77">SUM(C77:D77-E77)</f>
        <v>137000616</v>
      </c>
    </row>
    <row r="78" spans="1:6" x14ac:dyDescent="0.35">
      <c r="A78" t="s">
        <v>120</v>
      </c>
      <c r="B78" t="s">
        <v>176</v>
      </c>
      <c r="C78">
        <v>71883509</v>
      </c>
      <c r="D78">
        <v>24090557</v>
      </c>
      <c r="E78">
        <v>742334</v>
      </c>
      <c r="F78" s="12" cm="1">
        <f t="array" ref="F78">SUM(C78:D78-E78)</f>
        <v>94489398</v>
      </c>
    </row>
    <row r="79" spans="1:6" x14ac:dyDescent="0.35">
      <c r="A79" t="s">
        <v>121</v>
      </c>
      <c r="B79" t="s">
        <v>176</v>
      </c>
      <c r="C79">
        <v>840170</v>
      </c>
      <c r="D79">
        <v>168284</v>
      </c>
      <c r="E79">
        <v>78791</v>
      </c>
      <c r="F79" s="12" cm="1">
        <f t="array" ref="F79">SUM(C79:D79-E79)</f>
        <v>850872</v>
      </c>
    </row>
    <row r="80" spans="1:6" x14ac:dyDescent="0.35">
      <c r="A80" t="s">
        <v>122</v>
      </c>
      <c r="B80" t="s">
        <v>176</v>
      </c>
      <c r="C80">
        <v>62205651</v>
      </c>
      <c r="D80">
        <v>12000976</v>
      </c>
      <c r="E80">
        <v>3085031</v>
      </c>
      <c r="F80" s="12" cm="1">
        <f t="array" ref="F80">SUM(C80:D80-E80)</f>
        <v>68036565</v>
      </c>
    </row>
    <row r="81" spans="1:6" x14ac:dyDescent="0.35">
      <c r="A81" t="s">
        <v>123</v>
      </c>
      <c r="B81" t="s">
        <v>176</v>
      </c>
      <c r="C81">
        <v>67306260</v>
      </c>
      <c r="D81">
        <v>7147655</v>
      </c>
      <c r="E81">
        <v>6704430</v>
      </c>
      <c r="F81" s="12" cm="1">
        <f t="array" ref="F81">SUM(C81:D81-E81)</f>
        <v>61045055</v>
      </c>
    </row>
    <row r="82" spans="1:6" x14ac:dyDescent="0.35">
      <c r="A82" t="s">
        <v>124</v>
      </c>
      <c r="B82" t="s">
        <v>176</v>
      </c>
      <c r="C82">
        <v>26106263</v>
      </c>
      <c r="D82">
        <v>6704448</v>
      </c>
      <c r="E82">
        <v>1870466</v>
      </c>
      <c r="F82" s="12" cm="1">
        <f t="array" ref="F82">SUM(C82:D82-E82)</f>
        <v>29069779</v>
      </c>
    </row>
    <row r="83" spans="1:6" x14ac:dyDescent="0.35">
      <c r="A83" t="s">
        <v>125</v>
      </c>
      <c r="B83" t="s">
        <v>176</v>
      </c>
      <c r="C83">
        <v>2092871</v>
      </c>
      <c r="D83">
        <v>719639</v>
      </c>
      <c r="E83">
        <v>225322</v>
      </c>
      <c r="F83" s="12" cm="1">
        <f t="array" ref="F83">SUM(C83:D83-E83)</f>
        <v>2361866</v>
      </c>
    </row>
    <row r="84" spans="1:6" x14ac:dyDescent="0.35">
      <c r="A84" t="s">
        <v>126</v>
      </c>
      <c r="B84" t="s">
        <v>176</v>
      </c>
      <c r="C84">
        <v>2655888</v>
      </c>
      <c r="D84">
        <v>160604</v>
      </c>
      <c r="E84">
        <v>166988</v>
      </c>
      <c r="F84" s="12" cm="1">
        <f t="array" ref="F84">SUM(C84:D84-E84)</f>
        <v>2482516</v>
      </c>
    </row>
    <row r="85" spans="1:6" x14ac:dyDescent="0.35">
      <c r="A85" t="s">
        <v>127</v>
      </c>
      <c r="B85" t="s">
        <v>176</v>
      </c>
      <c r="C85">
        <v>37064364</v>
      </c>
      <c r="D85">
        <v>5920413</v>
      </c>
      <c r="E85">
        <v>3743205</v>
      </c>
      <c r="F85" s="12" cm="1">
        <f t="array" ref="F85">SUM(C85:D85-E85)</f>
        <v>35498367</v>
      </c>
    </row>
    <row r="86" spans="1:6" x14ac:dyDescent="0.35">
      <c r="A86" t="s">
        <v>128</v>
      </c>
      <c r="B86" t="s">
        <v>176</v>
      </c>
      <c r="C86">
        <v>1613261</v>
      </c>
      <c r="D86">
        <v>392809</v>
      </c>
      <c r="E86">
        <v>140569</v>
      </c>
      <c r="F86" s="12" cm="1">
        <f t="array" ref="F86">SUM(C86:D86-E86)</f>
        <v>1724932</v>
      </c>
    </row>
    <row r="87" spans="1:6" x14ac:dyDescent="0.35">
      <c r="A87" t="s">
        <v>129</v>
      </c>
      <c r="B87" t="s">
        <v>176</v>
      </c>
      <c r="C87">
        <v>3682224</v>
      </c>
      <c r="D87">
        <v>496481</v>
      </c>
      <c r="E87">
        <v>369766</v>
      </c>
      <c r="F87" s="12" cm="1">
        <f t="array" ref="F87">SUM(C87:D87-E87)</f>
        <v>3439173</v>
      </c>
    </row>
    <row r="88" spans="1:6" x14ac:dyDescent="0.35">
      <c r="A88" t="s">
        <v>130</v>
      </c>
      <c r="B88" t="s">
        <v>176</v>
      </c>
      <c r="C88">
        <v>1468046</v>
      </c>
      <c r="D88">
        <v>291974</v>
      </c>
      <c r="E88">
        <v>167518</v>
      </c>
      <c r="F88" s="12" cm="1">
        <f t="array" ref="F88">SUM(C88:D88-E88)</f>
        <v>1424984</v>
      </c>
    </row>
    <row r="89" spans="1:6" x14ac:dyDescent="0.35">
      <c r="A89" t="s">
        <v>131</v>
      </c>
      <c r="B89" t="s">
        <v>176</v>
      </c>
      <c r="C89">
        <v>63663247</v>
      </c>
      <c r="D89">
        <v>16290541</v>
      </c>
      <c r="E89">
        <v>930825</v>
      </c>
      <c r="F89" s="12" cm="1">
        <f t="array" ref="F89">SUM(C89:D89-E89)</f>
        <v>78092138</v>
      </c>
    </row>
    <row r="90" spans="1:6" x14ac:dyDescent="0.35">
      <c r="A90" t="s">
        <v>132</v>
      </c>
      <c r="B90" t="s">
        <v>176</v>
      </c>
      <c r="C90">
        <v>9345435</v>
      </c>
      <c r="D90">
        <v>1167463</v>
      </c>
      <c r="E90">
        <v>1156662</v>
      </c>
      <c r="F90" s="12" cm="1">
        <f t="array" ref="F90">SUM(C90:D90-E90)</f>
        <v>8199574</v>
      </c>
    </row>
    <row r="91" spans="1:6" x14ac:dyDescent="0.35">
      <c r="A91" t="s">
        <v>133</v>
      </c>
      <c r="B91" t="s">
        <v>176</v>
      </c>
      <c r="C91">
        <v>39506034</v>
      </c>
      <c r="D91">
        <v>8454159</v>
      </c>
      <c r="E91">
        <v>1686196</v>
      </c>
      <c r="F91" s="12" cm="1">
        <f t="array" ref="F91">SUM(C91:D91-E91)</f>
        <v>44587801</v>
      </c>
    </row>
    <row r="92" spans="1:6" x14ac:dyDescent="0.35">
      <c r="A92" t="s">
        <v>134</v>
      </c>
      <c r="B92" t="s">
        <v>176</v>
      </c>
      <c r="C92">
        <v>388197270</v>
      </c>
      <c r="D92">
        <v>54589855</v>
      </c>
      <c r="E92">
        <v>14823963</v>
      </c>
      <c r="F92" s="12" cm="1">
        <f t="array" ref="F92">SUM(C92:D92-E92)</f>
        <v>413139199</v>
      </c>
    </row>
    <row r="93" spans="1:6" x14ac:dyDescent="0.35">
      <c r="A93" t="s">
        <v>135</v>
      </c>
      <c r="B93" t="s">
        <v>176</v>
      </c>
      <c r="C93">
        <v>83678399</v>
      </c>
      <c r="D93">
        <v>18131020</v>
      </c>
      <c r="E93">
        <v>5196939</v>
      </c>
      <c r="F93" s="12" cm="1">
        <f t="array" ref="F93">SUM(C93:D93-E93)</f>
        <v>91415541</v>
      </c>
    </row>
    <row r="94" spans="1:6" x14ac:dyDescent="0.35">
      <c r="A94" t="s">
        <v>136</v>
      </c>
      <c r="B94" t="s">
        <v>176</v>
      </c>
      <c r="C94">
        <v>3400458</v>
      </c>
      <c r="D94">
        <v>1413072</v>
      </c>
      <c r="E94">
        <v>300642</v>
      </c>
      <c r="F94" s="12" cm="1">
        <f t="array" ref="F94">SUM(C94:D94-E94)</f>
        <v>4212246</v>
      </c>
    </row>
    <row r="95" spans="1:6" x14ac:dyDescent="0.35">
      <c r="A95" t="s">
        <v>137</v>
      </c>
      <c r="B95" t="s">
        <v>176</v>
      </c>
      <c r="C95">
        <v>41146778</v>
      </c>
      <c r="D95">
        <v>4184268</v>
      </c>
      <c r="E95">
        <v>2706587</v>
      </c>
      <c r="F95" s="12" cm="1">
        <f t="array" ref="F95">SUM(C95:D95-E95)</f>
        <v>39917872</v>
      </c>
    </row>
    <row r="96" spans="1:6" x14ac:dyDescent="0.35">
      <c r="A96" t="s">
        <v>138</v>
      </c>
      <c r="B96" t="s">
        <v>176</v>
      </c>
      <c r="C96">
        <v>119393321</v>
      </c>
      <c r="D96">
        <v>26180313</v>
      </c>
      <c r="E96">
        <v>6334076</v>
      </c>
      <c r="F96" s="12" cm="1">
        <f t="array" ref="F96">SUM(C96:D96-E96)</f>
        <v>132905482</v>
      </c>
    </row>
    <row r="97" spans="1:6" x14ac:dyDescent="0.35">
      <c r="A97" t="s">
        <v>139</v>
      </c>
      <c r="B97" t="s">
        <v>176</v>
      </c>
      <c r="C97">
        <v>3436220</v>
      </c>
      <c r="D97">
        <v>365750</v>
      </c>
      <c r="E97">
        <v>170334</v>
      </c>
      <c r="F97" s="12" cm="1">
        <f t="array" ref="F97">SUM(C97:D97-E97)</f>
        <v>3461302</v>
      </c>
    </row>
    <row r="98" spans="1:6" x14ac:dyDescent="0.35">
      <c r="A98" t="s">
        <v>140</v>
      </c>
      <c r="B98" t="s">
        <v>176</v>
      </c>
      <c r="C98">
        <v>8554593</v>
      </c>
      <c r="D98">
        <v>1942403</v>
      </c>
      <c r="E98">
        <v>568487</v>
      </c>
      <c r="F98" s="12" cm="1">
        <f t="array" ref="F98">SUM(C98:D98-E98)</f>
        <v>9360022</v>
      </c>
    </row>
    <row r="99" spans="1:6" x14ac:dyDescent="0.35">
      <c r="A99" t="s">
        <v>141</v>
      </c>
      <c r="B99" t="s">
        <v>176</v>
      </c>
      <c r="C99">
        <v>8114577</v>
      </c>
      <c r="D99">
        <v>1339832</v>
      </c>
      <c r="E99">
        <v>1086369</v>
      </c>
      <c r="F99" s="12" cm="1">
        <f t="array" ref="F99">SUM(C99:D99-E99)</f>
        <v>7281671</v>
      </c>
    </row>
    <row r="100" spans="1:6" x14ac:dyDescent="0.35">
      <c r="A100" t="s">
        <v>142</v>
      </c>
      <c r="B100" t="s">
        <v>176</v>
      </c>
      <c r="C100">
        <v>2406424</v>
      </c>
      <c r="D100">
        <v>348511</v>
      </c>
      <c r="E100">
        <v>169911</v>
      </c>
      <c r="F100" s="12" cm="1">
        <f t="array" ref="F100">SUM(C100:D100-E100)</f>
        <v>2415113</v>
      </c>
    </row>
    <row r="101" spans="1:6" x14ac:dyDescent="0.35">
      <c r="A101" t="s">
        <v>143</v>
      </c>
      <c r="B101" t="s">
        <v>176</v>
      </c>
      <c r="C101">
        <v>27462994</v>
      </c>
      <c r="D101">
        <v>5213060</v>
      </c>
      <c r="E101">
        <v>2988266</v>
      </c>
      <c r="F101" s="12" cm="1">
        <f t="array" ref="F101">SUM(C101:D101-E101)</f>
        <v>26699522</v>
      </c>
    </row>
    <row r="102" spans="1:6" x14ac:dyDescent="0.35">
      <c r="A102" t="s">
        <v>144</v>
      </c>
      <c r="B102" t="s">
        <v>176</v>
      </c>
      <c r="C102">
        <v>144962815</v>
      </c>
      <c r="D102">
        <v>24338868</v>
      </c>
      <c r="E102">
        <v>9464719</v>
      </c>
      <c r="F102" s="12" cm="1">
        <f t="array" ref="F102">SUM(C102:D102-E102)</f>
        <v>150372245</v>
      </c>
    </row>
    <row r="103" spans="1:6" x14ac:dyDescent="0.35">
      <c r="A103" t="s">
        <v>145</v>
      </c>
      <c r="B103" t="s">
        <v>176</v>
      </c>
      <c r="C103">
        <v>11756052</v>
      </c>
      <c r="D103">
        <v>1345746</v>
      </c>
      <c r="E103">
        <v>1032999</v>
      </c>
      <c r="F103" s="12" cm="1">
        <f t="array" ref="F103">SUM(C103:D103-E103)</f>
        <v>11035800</v>
      </c>
    </row>
    <row r="104" spans="1:6" x14ac:dyDescent="0.35">
      <c r="A104" t="s">
        <v>146</v>
      </c>
      <c r="B104" t="s">
        <v>176</v>
      </c>
      <c r="C104">
        <v>20389098</v>
      </c>
      <c r="D104">
        <v>1892576</v>
      </c>
      <c r="E104">
        <v>1934533</v>
      </c>
      <c r="F104" s="12" cm="1">
        <f t="array" ref="F104">SUM(C104:D104-E104)</f>
        <v>18412608</v>
      </c>
    </row>
    <row r="105" spans="1:6" x14ac:dyDescent="0.35">
      <c r="A105" t="s">
        <v>147</v>
      </c>
      <c r="B105" t="s">
        <v>176</v>
      </c>
      <c r="C105">
        <v>0</v>
      </c>
      <c r="D105">
        <v>0</v>
      </c>
      <c r="E105">
        <v>0</v>
      </c>
      <c r="F105" s="12" cm="1">
        <f t="array" ref="F105">SUM(C105:D105-E105)</f>
        <v>0</v>
      </c>
    </row>
    <row r="106" spans="1:6" x14ac:dyDescent="0.35">
      <c r="A106" t="s">
        <v>148</v>
      </c>
      <c r="B106" t="s">
        <v>176</v>
      </c>
      <c r="C106">
        <v>3465276</v>
      </c>
      <c r="D106">
        <v>342555</v>
      </c>
      <c r="E106">
        <v>126578</v>
      </c>
      <c r="F106" s="12" cm="1">
        <f t="array" ref="F106">SUM(C106:D106-E106)</f>
        <v>3554675</v>
      </c>
    </row>
    <row r="107" spans="1:6" x14ac:dyDescent="0.35">
      <c r="A107" t="s">
        <v>149</v>
      </c>
      <c r="B107" t="s">
        <v>176</v>
      </c>
      <c r="C107">
        <v>118456407</v>
      </c>
      <c r="D107">
        <v>21608979</v>
      </c>
      <c r="E107">
        <v>5971572</v>
      </c>
      <c r="F107" s="12" cm="1">
        <f t="array" ref="F107">SUM(C107:D107-E107)</f>
        <v>128122242</v>
      </c>
    </row>
    <row r="108" spans="1:6" x14ac:dyDescent="0.35">
      <c r="A108" t="s">
        <v>150</v>
      </c>
      <c r="B108" t="s">
        <v>176</v>
      </c>
      <c r="C108">
        <v>16039132</v>
      </c>
      <c r="D108">
        <v>2129870</v>
      </c>
      <c r="E108">
        <v>596282</v>
      </c>
      <c r="F108" s="12" cm="1">
        <f t="array" ref="F108">SUM(C108:D108-E108)</f>
        <v>16976438</v>
      </c>
    </row>
    <row r="109" spans="1:6" x14ac:dyDescent="0.35">
      <c r="A109" t="s">
        <v>151</v>
      </c>
      <c r="B109" t="s">
        <v>176</v>
      </c>
      <c r="C109">
        <v>1552005</v>
      </c>
      <c r="D109">
        <v>333346</v>
      </c>
      <c r="E109">
        <v>166092</v>
      </c>
      <c r="F109" s="12" cm="1">
        <f t="array" ref="F109">SUM(C109:D109-E109)</f>
        <v>1553167</v>
      </c>
    </row>
    <row r="110" spans="1:6" x14ac:dyDescent="0.35">
      <c r="A110" t="s">
        <v>152</v>
      </c>
      <c r="B110" t="s">
        <v>176</v>
      </c>
      <c r="C110">
        <v>0</v>
      </c>
      <c r="D110">
        <v>0</v>
      </c>
      <c r="E110">
        <v>0</v>
      </c>
      <c r="F110" s="12" cm="1">
        <f t="array" ref="F110">SUM(C110:D110-E110)</f>
        <v>0</v>
      </c>
    </row>
    <row r="111" spans="1:6" x14ac:dyDescent="0.35">
      <c r="A111" t="s">
        <v>101</v>
      </c>
      <c r="B111" t="s">
        <v>177</v>
      </c>
      <c r="C111" s="5">
        <v>0</v>
      </c>
      <c r="D111" s="5">
        <v>0</v>
      </c>
      <c r="E111">
        <v>0</v>
      </c>
      <c r="F111" s="12" cm="1">
        <f t="array" ref="F111">SUM(C111:D111-E111)</f>
        <v>0</v>
      </c>
    </row>
    <row r="112" spans="1:6" x14ac:dyDescent="0.35">
      <c r="A112" t="s">
        <v>102</v>
      </c>
      <c r="B112" t="s">
        <v>177</v>
      </c>
      <c r="C112" s="5">
        <v>60149961</v>
      </c>
      <c r="D112" s="5">
        <v>17414687</v>
      </c>
      <c r="E112">
        <v>7427199</v>
      </c>
      <c r="F112" s="12" cm="1">
        <f t="array" ref="F112">SUM(C112:D112-E112)</f>
        <v>62710250</v>
      </c>
    </row>
    <row r="113" spans="1:6" x14ac:dyDescent="0.35">
      <c r="A113" t="s">
        <v>103</v>
      </c>
      <c r="B113" t="s">
        <v>177</v>
      </c>
      <c r="C113" s="5">
        <v>0</v>
      </c>
      <c r="D113" s="5">
        <v>0</v>
      </c>
      <c r="E113">
        <v>0</v>
      </c>
      <c r="F113" s="12" cm="1">
        <f t="array" ref="F113">SUM(C113:D113-E113)</f>
        <v>0</v>
      </c>
    </row>
    <row r="114" spans="1:6" x14ac:dyDescent="0.35">
      <c r="A114" t="s">
        <v>104</v>
      </c>
      <c r="B114" t="s">
        <v>177</v>
      </c>
      <c r="C114" s="5">
        <v>4435358</v>
      </c>
      <c r="D114" s="5">
        <v>2505144</v>
      </c>
      <c r="E114">
        <v>471176</v>
      </c>
      <c r="F114" s="12" cm="1">
        <f t="array" ref="F114">SUM(C114:D114-E114)</f>
        <v>5998150</v>
      </c>
    </row>
    <row r="115" spans="1:6" x14ac:dyDescent="0.35">
      <c r="A115" t="s">
        <v>107</v>
      </c>
      <c r="B115" t="s">
        <v>177</v>
      </c>
      <c r="C115" s="5">
        <v>1789426</v>
      </c>
      <c r="D115" s="5">
        <v>725404</v>
      </c>
      <c r="E115">
        <v>0</v>
      </c>
      <c r="F115" s="12" cm="1">
        <f t="array" ref="F115">SUM(C115:D115-E115)</f>
        <v>2514830</v>
      </c>
    </row>
    <row r="116" spans="1:6" x14ac:dyDescent="0.35">
      <c r="A116" t="s">
        <v>108</v>
      </c>
      <c r="B116" t="s">
        <v>177</v>
      </c>
      <c r="C116" s="5">
        <v>13546046</v>
      </c>
      <c r="D116" s="5">
        <v>5639561</v>
      </c>
      <c r="E116">
        <v>2034808</v>
      </c>
      <c r="F116" s="12" cm="1">
        <f t="array" ref="F116">SUM(C116:D116-E116)</f>
        <v>15115991</v>
      </c>
    </row>
    <row r="117" spans="1:6" x14ac:dyDescent="0.35">
      <c r="A117" t="s">
        <v>111</v>
      </c>
      <c r="B117" t="s">
        <v>177</v>
      </c>
      <c r="C117" s="5">
        <v>1076325</v>
      </c>
      <c r="D117" s="5">
        <v>245231</v>
      </c>
      <c r="E117">
        <v>0</v>
      </c>
      <c r="F117" s="12" cm="1">
        <f t="array" ref="F117">SUM(C117:D117-E117)</f>
        <v>1321556</v>
      </c>
    </row>
    <row r="118" spans="1:6" x14ac:dyDescent="0.35">
      <c r="A118" t="s">
        <v>114</v>
      </c>
      <c r="B118" t="s">
        <v>177</v>
      </c>
      <c r="C118" s="5">
        <v>410731</v>
      </c>
      <c r="D118" s="5">
        <v>125070</v>
      </c>
      <c r="E118">
        <v>99424</v>
      </c>
      <c r="F118" s="12" cm="1">
        <f t="array" ref="F118">SUM(C118:D118-E118)</f>
        <v>336953</v>
      </c>
    </row>
    <row r="119" spans="1:6" x14ac:dyDescent="0.35">
      <c r="A119" t="s">
        <v>115</v>
      </c>
      <c r="B119" t="s">
        <v>177</v>
      </c>
      <c r="C119" s="5">
        <v>264810</v>
      </c>
      <c r="D119" s="5">
        <v>100517</v>
      </c>
      <c r="E119">
        <v>0</v>
      </c>
      <c r="F119" s="12" cm="1">
        <f t="array" ref="F119">SUM(C119:D119-E119)</f>
        <v>365327</v>
      </c>
    </row>
    <row r="120" spans="1:6" x14ac:dyDescent="0.35">
      <c r="A120" t="s">
        <v>116</v>
      </c>
      <c r="B120" t="s">
        <v>177</v>
      </c>
      <c r="C120" s="5">
        <v>1284352</v>
      </c>
      <c r="D120" s="5">
        <v>164716</v>
      </c>
      <c r="E120">
        <v>196822</v>
      </c>
      <c r="F120" s="12" cm="1">
        <f t="array" ref="F120">SUM(C120:D120-E120)</f>
        <v>1055424</v>
      </c>
    </row>
    <row r="121" spans="1:6" x14ac:dyDescent="0.35">
      <c r="A121" t="s">
        <v>119</v>
      </c>
      <c r="B121" t="s">
        <v>177</v>
      </c>
      <c r="C121" s="5">
        <v>368174</v>
      </c>
      <c r="D121" s="5">
        <v>42056</v>
      </c>
      <c r="E121">
        <v>0</v>
      </c>
      <c r="F121" s="12" cm="1">
        <f t="array" ref="F121">SUM(C121:D121-E121)</f>
        <v>410230</v>
      </c>
    </row>
    <row r="122" spans="1:6" x14ac:dyDescent="0.35">
      <c r="A122" t="s">
        <v>120</v>
      </c>
      <c r="B122" t="s">
        <v>177</v>
      </c>
      <c r="C122" s="5">
        <v>31048995</v>
      </c>
      <c r="D122" s="5">
        <v>14063831</v>
      </c>
      <c r="E122">
        <v>7386881</v>
      </c>
      <c r="F122" s="12" cm="1">
        <f t="array" ref="F122">SUM(C122:D122-E122)</f>
        <v>30339064</v>
      </c>
    </row>
    <row r="123" spans="1:6" x14ac:dyDescent="0.35">
      <c r="A123" t="s">
        <v>121</v>
      </c>
      <c r="B123" t="s">
        <v>177</v>
      </c>
      <c r="C123" s="5">
        <v>225262</v>
      </c>
      <c r="D123" s="5">
        <v>23502</v>
      </c>
      <c r="E123">
        <v>24734</v>
      </c>
      <c r="F123" s="12" cm="1">
        <f t="array" ref="F123">SUM(C123:D123-E123)</f>
        <v>199296</v>
      </c>
    </row>
    <row r="124" spans="1:6" x14ac:dyDescent="0.35">
      <c r="A124" t="s">
        <v>122</v>
      </c>
      <c r="B124" t="s">
        <v>177</v>
      </c>
      <c r="C124" s="5">
        <v>1026197</v>
      </c>
      <c r="D124" s="5">
        <v>273902</v>
      </c>
      <c r="E124">
        <v>72514</v>
      </c>
      <c r="F124" s="12" cm="1">
        <f t="array" ref="F124">SUM(C124:D124-E124)</f>
        <v>1155071</v>
      </c>
    </row>
    <row r="125" spans="1:6" x14ac:dyDescent="0.35">
      <c r="A125" t="s">
        <v>123</v>
      </c>
      <c r="B125" t="s">
        <v>177</v>
      </c>
      <c r="C125" s="5">
        <v>628802</v>
      </c>
      <c r="D125" s="5">
        <v>113527</v>
      </c>
      <c r="E125">
        <v>61372</v>
      </c>
      <c r="F125" s="12" cm="1">
        <f t="array" ref="F125">SUM(C125:D125-E125)</f>
        <v>619585</v>
      </c>
    </row>
    <row r="126" spans="1:6" x14ac:dyDescent="0.35">
      <c r="A126" t="s">
        <v>126</v>
      </c>
      <c r="B126" t="s">
        <v>177</v>
      </c>
      <c r="C126" s="5">
        <v>0</v>
      </c>
      <c r="D126" s="5">
        <v>0</v>
      </c>
      <c r="E126">
        <v>0</v>
      </c>
      <c r="F126" s="12" cm="1">
        <f t="array" ref="F126">SUM(C126:D126-E126)</f>
        <v>0</v>
      </c>
    </row>
    <row r="127" spans="1:6" x14ac:dyDescent="0.35">
      <c r="A127" t="s">
        <v>127</v>
      </c>
      <c r="B127" t="s">
        <v>177</v>
      </c>
      <c r="C127" s="5">
        <v>9966260</v>
      </c>
      <c r="D127" s="5">
        <v>3317087</v>
      </c>
      <c r="E127">
        <v>1340705</v>
      </c>
      <c r="F127" s="12" cm="1">
        <f t="array" ref="F127">SUM(C127:D127-E127)</f>
        <v>10601937</v>
      </c>
    </row>
    <row r="128" spans="1:6" x14ac:dyDescent="0.35">
      <c r="A128" t="s">
        <v>130</v>
      </c>
      <c r="B128" t="s">
        <v>177</v>
      </c>
      <c r="C128" s="5">
        <v>0</v>
      </c>
      <c r="D128" s="5">
        <v>0</v>
      </c>
      <c r="E128">
        <v>0</v>
      </c>
      <c r="F128" s="12" cm="1">
        <f t="array" ref="F128">SUM(C128:D128-E128)</f>
        <v>0</v>
      </c>
    </row>
    <row r="129" spans="1:6" x14ac:dyDescent="0.35">
      <c r="A129" t="s">
        <v>131</v>
      </c>
      <c r="B129" t="s">
        <v>177</v>
      </c>
      <c r="C129" s="5">
        <v>108440163</v>
      </c>
      <c r="D129" s="5">
        <v>24144943</v>
      </c>
      <c r="E129">
        <v>16939917</v>
      </c>
      <c r="F129" s="12" cm="1">
        <f t="array" ref="F129">SUM(C129:D129-E129)</f>
        <v>98705272</v>
      </c>
    </row>
    <row r="130" spans="1:6" x14ac:dyDescent="0.35">
      <c r="A130" t="s">
        <v>132</v>
      </c>
      <c r="B130" t="s">
        <v>177</v>
      </c>
      <c r="C130" s="5">
        <v>844707</v>
      </c>
      <c r="D130" s="5">
        <v>179549</v>
      </c>
      <c r="E130">
        <v>18721</v>
      </c>
      <c r="F130" s="12" cm="1">
        <f t="array" ref="F130">SUM(C130:D130-E130)</f>
        <v>986814</v>
      </c>
    </row>
    <row r="131" spans="1:6" x14ac:dyDescent="0.35">
      <c r="A131" t="s">
        <v>133</v>
      </c>
      <c r="B131" t="s">
        <v>177</v>
      </c>
      <c r="C131" s="5">
        <v>1201881</v>
      </c>
      <c r="D131" s="5">
        <v>440020</v>
      </c>
      <c r="E131">
        <v>137259</v>
      </c>
      <c r="F131" s="12" cm="1">
        <f t="array" ref="F131">SUM(C131:D131-E131)</f>
        <v>1367383</v>
      </c>
    </row>
    <row r="132" spans="1:6" x14ac:dyDescent="0.35">
      <c r="A132" t="s">
        <v>134</v>
      </c>
      <c r="B132" t="s">
        <v>177</v>
      </c>
      <c r="C132" s="5">
        <v>179164154</v>
      </c>
      <c r="D132" s="5">
        <v>53807954</v>
      </c>
      <c r="E132">
        <v>10006873</v>
      </c>
      <c r="F132" s="12" cm="1">
        <f t="array" ref="F132">SUM(C132:D132-E132)</f>
        <v>212958362</v>
      </c>
    </row>
    <row r="133" spans="1:6" x14ac:dyDescent="0.35">
      <c r="A133" t="s">
        <v>135</v>
      </c>
      <c r="B133" t="s">
        <v>177</v>
      </c>
      <c r="C133" s="5">
        <v>1332120</v>
      </c>
      <c r="D133" s="5">
        <v>281742</v>
      </c>
      <c r="E133">
        <v>232971</v>
      </c>
      <c r="F133" s="12" cm="1">
        <f t="array" ref="F133">SUM(C133:D133-E133)</f>
        <v>1147920</v>
      </c>
    </row>
    <row r="134" spans="1:6" x14ac:dyDescent="0.35">
      <c r="A134" t="s">
        <v>136</v>
      </c>
      <c r="B134" t="s">
        <v>177</v>
      </c>
      <c r="C134" s="5">
        <v>0</v>
      </c>
      <c r="D134" s="5">
        <v>0</v>
      </c>
      <c r="E134">
        <v>0</v>
      </c>
      <c r="F134" s="12" cm="1">
        <f t="array" ref="F134">SUM(C134:D134-E134)</f>
        <v>0</v>
      </c>
    </row>
    <row r="135" spans="1:6" x14ac:dyDescent="0.35">
      <c r="A135" t="s">
        <v>137</v>
      </c>
      <c r="B135" t="s">
        <v>177</v>
      </c>
      <c r="C135" s="5">
        <v>1053538</v>
      </c>
      <c r="D135" s="5">
        <v>113907</v>
      </c>
      <c r="E135">
        <v>126547</v>
      </c>
      <c r="F135" s="12" cm="1">
        <f t="array" ref="F135">SUM(C135:D135-E135)</f>
        <v>914351</v>
      </c>
    </row>
    <row r="136" spans="1:6" x14ac:dyDescent="0.35">
      <c r="A136" t="s">
        <v>138</v>
      </c>
      <c r="B136" t="s">
        <v>177</v>
      </c>
      <c r="C136" s="5">
        <v>13565218</v>
      </c>
      <c r="D136" s="5">
        <v>3338342</v>
      </c>
      <c r="E136">
        <v>1721228</v>
      </c>
      <c r="F136" s="12" cm="1">
        <f t="array" ref="F136">SUM(C136:D136-E136)</f>
        <v>13461104</v>
      </c>
    </row>
    <row r="137" spans="1:6" x14ac:dyDescent="0.35">
      <c r="A137" t="s">
        <v>141</v>
      </c>
      <c r="B137" t="s">
        <v>177</v>
      </c>
      <c r="C137" s="5">
        <v>674193</v>
      </c>
      <c r="D137" s="5">
        <v>247454</v>
      </c>
      <c r="E137">
        <v>150618</v>
      </c>
      <c r="F137" s="12" cm="1">
        <f t="array" ref="F137">SUM(C137:D137-E137)</f>
        <v>620411</v>
      </c>
    </row>
    <row r="138" spans="1:6" x14ac:dyDescent="0.35">
      <c r="A138" t="s">
        <v>143</v>
      </c>
      <c r="B138" t="s">
        <v>177</v>
      </c>
      <c r="C138" s="5">
        <v>1391511</v>
      </c>
      <c r="D138" s="5">
        <v>355541</v>
      </c>
      <c r="E138">
        <v>0</v>
      </c>
      <c r="F138" s="12" cm="1">
        <f t="array" ref="F138">SUM(C138:D138-E138)</f>
        <v>1747052</v>
      </c>
    </row>
    <row r="139" spans="1:6" x14ac:dyDescent="0.35">
      <c r="A139" t="s">
        <v>144</v>
      </c>
      <c r="B139" t="s">
        <v>177</v>
      </c>
      <c r="C139" s="5">
        <v>41016080</v>
      </c>
      <c r="D139" s="5">
        <v>20059329</v>
      </c>
      <c r="E139">
        <v>6599492</v>
      </c>
      <c r="F139" s="12" cm="1">
        <f t="array" ref="F139">SUM(C139:D139-E139)</f>
        <v>47876425</v>
      </c>
    </row>
    <row r="140" spans="1:6" x14ac:dyDescent="0.35">
      <c r="A140" t="s">
        <v>145</v>
      </c>
      <c r="B140" t="s">
        <v>177</v>
      </c>
      <c r="C140" s="5">
        <v>4715456</v>
      </c>
      <c r="D140" s="5">
        <v>1700331</v>
      </c>
      <c r="E140">
        <v>521490</v>
      </c>
      <c r="F140" s="12" cm="1">
        <f t="array" ref="F140">SUM(C140:D140-E140)</f>
        <v>5372807</v>
      </c>
    </row>
    <row r="141" spans="1:6" x14ac:dyDescent="0.35">
      <c r="A141" t="s">
        <v>146</v>
      </c>
      <c r="B141" t="s">
        <v>177</v>
      </c>
      <c r="C141" s="5">
        <v>20823230</v>
      </c>
      <c r="D141" s="5">
        <v>3684132</v>
      </c>
      <c r="E141">
        <v>3632863</v>
      </c>
      <c r="F141" s="12" cm="1">
        <f t="array" ref="F141">SUM(C141:D141-E141)</f>
        <v>17241636</v>
      </c>
    </row>
    <row r="142" spans="1:6" x14ac:dyDescent="0.35">
      <c r="A142" t="s">
        <v>148</v>
      </c>
      <c r="B142" t="s">
        <v>177</v>
      </c>
      <c r="C142" s="5">
        <v>2037616</v>
      </c>
      <c r="D142" s="5">
        <v>779020</v>
      </c>
      <c r="E142">
        <v>411422</v>
      </c>
      <c r="F142" s="12" cm="1">
        <f t="array" ref="F142">SUM(C142:D142-E142)</f>
        <v>1993792</v>
      </c>
    </row>
    <row r="143" spans="1:6" x14ac:dyDescent="0.35">
      <c r="A143" t="s">
        <v>149</v>
      </c>
      <c r="B143" t="s">
        <v>177</v>
      </c>
      <c r="C143" s="5">
        <v>96836718</v>
      </c>
      <c r="D143" s="5">
        <v>34044189</v>
      </c>
      <c r="E143">
        <v>8136698</v>
      </c>
      <c r="F143" s="12" cm="1">
        <f t="array" ref="F143">SUM(C143:D143-E143)</f>
        <v>114607511</v>
      </c>
    </row>
    <row r="144" spans="1:6" x14ac:dyDescent="0.35">
      <c r="A144" t="s">
        <v>150</v>
      </c>
      <c r="B144" t="s">
        <v>177</v>
      </c>
      <c r="C144" s="5">
        <v>3527212</v>
      </c>
      <c r="D144" s="5">
        <v>1055919</v>
      </c>
      <c r="E144">
        <v>0</v>
      </c>
      <c r="F144" s="12" cm="1">
        <f t="array" ref="F144">SUM(C144:D144-E144)</f>
        <v>4583131</v>
      </c>
    </row>
    <row r="145" spans="1:6" x14ac:dyDescent="0.35">
      <c r="A145" t="s">
        <v>101</v>
      </c>
      <c r="B145" t="s">
        <v>178</v>
      </c>
      <c r="C145">
        <v>20653826</v>
      </c>
      <c r="D145">
        <v>8235874</v>
      </c>
      <c r="E145">
        <v>268099</v>
      </c>
      <c r="F145" cm="1">
        <f t="array" ref="F145">SUM(C145:D145-E145)</f>
        <v>28353502</v>
      </c>
    </row>
    <row r="146" spans="1:6" x14ac:dyDescent="0.35">
      <c r="A146" t="s">
        <v>102</v>
      </c>
      <c r="B146" t="s">
        <v>178</v>
      </c>
      <c r="C146">
        <v>438018224</v>
      </c>
      <c r="D146">
        <v>214622772</v>
      </c>
      <c r="E146">
        <v>1023469</v>
      </c>
      <c r="F146" cm="1">
        <f t="array" ref="F146">SUM(C146:D146-E146)</f>
        <v>650594058</v>
      </c>
    </row>
    <row r="147" spans="1:6" x14ac:dyDescent="0.35">
      <c r="A147" t="s">
        <v>103</v>
      </c>
      <c r="B147" t="s">
        <v>178</v>
      </c>
      <c r="C147">
        <v>42846566</v>
      </c>
      <c r="D147">
        <v>25238969</v>
      </c>
      <c r="E147">
        <v>210811</v>
      </c>
      <c r="F147" cm="1">
        <f t="array" ref="F147">SUM(C147:D147-E147)</f>
        <v>67663913</v>
      </c>
    </row>
    <row r="148" spans="1:6" x14ac:dyDescent="0.35">
      <c r="A148" t="s">
        <v>119</v>
      </c>
      <c r="B148" t="s">
        <v>178</v>
      </c>
      <c r="C148">
        <v>81405278</v>
      </c>
      <c r="D148">
        <v>35460191</v>
      </c>
      <c r="E148">
        <v>22980</v>
      </c>
      <c r="F148" cm="1">
        <f t="array" ref="F148">SUM(C148:D148-E148)</f>
        <v>116819509</v>
      </c>
    </row>
    <row r="149" spans="1:6" x14ac:dyDescent="0.35">
      <c r="A149" t="s">
        <v>120</v>
      </c>
      <c r="B149" t="s">
        <v>178</v>
      </c>
      <c r="C149">
        <v>17594503</v>
      </c>
      <c r="D149">
        <v>9832400</v>
      </c>
      <c r="E149">
        <v>53696</v>
      </c>
      <c r="F149" cm="1">
        <f t="array" ref="F149">SUM(C149:D149-E149)</f>
        <v>27319511</v>
      </c>
    </row>
    <row r="150" spans="1:6" x14ac:dyDescent="0.35">
      <c r="A150" t="s">
        <v>123</v>
      </c>
      <c r="B150" t="s">
        <v>178</v>
      </c>
      <c r="C150">
        <v>21988451</v>
      </c>
      <c r="D150">
        <v>13153122</v>
      </c>
      <c r="E150">
        <v>181327</v>
      </c>
      <c r="F150" cm="1">
        <f t="array" ref="F150">SUM(C150:D150-E150)</f>
        <v>34778919</v>
      </c>
    </row>
    <row r="151" spans="1:6" x14ac:dyDescent="0.35">
      <c r="A151" t="s">
        <v>124</v>
      </c>
      <c r="B151" t="s">
        <v>178</v>
      </c>
      <c r="C151">
        <v>30623578</v>
      </c>
      <c r="D151">
        <v>13210644</v>
      </c>
      <c r="E151">
        <v>250643</v>
      </c>
      <c r="F151" cm="1">
        <f t="array" ref="F151">SUM(C151:D151-E151)</f>
        <v>43332936</v>
      </c>
    </row>
    <row r="152" spans="1:6" x14ac:dyDescent="0.35">
      <c r="A152" t="s">
        <v>127</v>
      </c>
      <c r="B152" t="s">
        <v>178</v>
      </c>
      <c r="C152">
        <v>7666031</v>
      </c>
      <c r="D152">
        <v>6282734</v>
      </c>
      <c r="E152">
        <v>121170</v>
      </c>
      <c r="F152" cm="1">
        <f t="array" ref="F152">SUM(C152:D152-E152)</f>
        <v>13706425</v>
      </c>
    </row>
    <row r="153" spans="1:6" x14ac:dyDescent="0.35">
      <c r="A153" t="s">
        <v>131</v>
      </c>
      <c r="B153" t="s">
        <v>178</v>
      </c>
      <c r="C153">
        <v>61582273</v>
      </c>
      <c r="D153">
        <v>16544130</v>
      </c>
      <c r="E153">
        <v>0</v>
      </c>
      <c r="F153" cm="1">
        <f t="array" ref="F153">SUM(C153:D153-E153)</f>
        <v>78126403</v>
      </c>
    </row>
    <row r="154" spans="1:6" x14ac:dyDescent="0.35">
      <c r="A154" t="s">
        <v>134</v>
      </c>
      <c r="B154" t="s">
        <v>178</v>
      </c>
      <c r="C154">
        <v>9182679</v>
      </c>
      <c r="D154">
        <v>2712962</v>
      </c>
      <c r="E154">
        <v>58108</v>
      </c>
      <c r="F154" cm="1">
        <f t="array" ref="F154">SUM(C154:D154-E154)</f>
        <v>11779425</v>
      </c>
    </row>
    <row r="155" spans="1:6" x14ac:dyDescent="0.35">
      <c r="A155" t="s">
        <v>135</v>
      </c>
      <c r="B155" t="s">
        <v>178</v>
      </c>
      <c r="C155">
        <v>4823617</v>
      </c>
      <c r="D155">
        <v>3517117</v>
      </c>
      <c r="E155">
        <v>29448</v>
      </c>
      <c r="F155" cm="1">
        <f t="array" ref="F155">SUM(C155:D155-E155)</f>
        <v>8281838</v>
      </c>
    </row>
    <row r="156" spans="1:6" x14ac:dyDescent="0.35">
      <c r="A156" t="s">
        <v>137</v>
      </c>
      <c r="B156" t="s">
        <v>178</v>
      </c>
      <c r="C156">
        <v>58460672</v>
      </c>
      <c r="D156">
        <v>46900553</v>
      </c>
      <c r="E156">
        <v>163617</v>
      </c>
      <c r="F156" cm="1">
        <f t="array" ref="F156">SUM(C156:D156-E156)</f>
        <v>105033991</v>
      </c>
    </row>
    <row r="157" spans="1:6" x14ac:dyDescent="0.35">
      <c r="A157" t="s">
        <v>138</v>
      </c>
      <c r="B157" t="s">
        <v>178</v>
      </c>
      <c r="C157">
        <v>20426271</v>
      </c>
      <c r="D157">
        <v>21327514</v>
      </c>
      <c r="E157">
        <v>173516</v>
      </c>
      <c r="F157" cm="1">
        <f t="array" ref="F157">SUM(C157:D157-E157)</f>
        <v>41406753</v>
      </c>
    </row>
    <row r="158" spans="1:6" x14ac:dyDescent="0.35">
      <c r="A158" t="s">
        <v>144</v>
      </c>
      <c r="B158" t="s">
        <v>178</v>
      </c>
      <c r="C158">
        <v>109410336</v>
      </c>
      <c r="D158">
        <v>59113975</v>
      </c>
      <c r="E158">
        <v>808699</v>
      </c>
      <c r="F158" cm="1">
        <f t="array" ref="F158">SUM(C158:D158-E158)</f>
        <v>166906913</v>
      </c>
    </row>
    <row r="159" spans="1:6" x14ac:dyDescent="0.35">
      <c r="A159" t="s">
        <v>145</v>
      </c>
      <c r="B159" t="s">
        <v>178</v>
      </c>
      <c r="C159">
        <v>24815204</v>
      </c>
      <c r="D159">
        <v>23580341</v>
      </c>
      <c r="E159">
        <v>230614</v>
      </c>
      <c r="F159" cm="1">
        <f t="array" ref="F159">SUM(C159:D159-E159)</f>
        <v>47934317</v>
      </c>
    </row>
    <row r="160" spans="1:6" x14ac:dyDescent="0.35">
      <c r="A160" t="s">
        <v>146</v>
      </c>
      <c r="B160" t="s">
        <v>178</v>
      </c>
      <c r="C160">
        <v>4503857</v>
      </c>
      <c r="D160">
        <v>2046741</v>
      </c>
      <c r="E160">
        <v>43950</v>
      </c>
      <c r="F160" cm="1">
        <f t="array" ref="F160">SUM(C160:D160-E160)</f>
        <v>6462698</v>
      </c>
    </row>
    <row r="161" spans="1:6" x14ac:dyDescent="0.35">
      <c r="A161" t="s">
        <v>149</v>
      </c>
      <c r="B161" t="s">
        <v>178</v>
      </c>
      <c r="C161">
        <v>48710442</v>
      </c>
      <c r="D161">
        <v>15509862</v>
      </c>
      <c r="E161">
        <v>46302</v>
      </c>
      <c r="F161" cm="1">
        <f t="array" ref="F161">SUM(C161:D161-E161)</f>
        <v>64127700</v>
      </c>
    </row>
    <row r="162" spans="1:6" x14ac:dyDescent="0.35">
      <c r="A162" t="s">
        <v>102</v>
      </c>
      <c r="B162" t="s">
        <v>179</v>
      </c>
      <c r="C162">
        <v>338318643</v>
      </c>
      <c r="D162">
        <v>151808541</v>
      </c>
      <c r="E162">
        <v>2172900</v>
      </c>
      <c r="F162" cm="1">
        <f t="array" ref="F162">SUM(C162:D162-E162)</f>
        <v>485781384</v>
      </c>
    </row>
    <row r="163" spans="1:6" x14ac:dyDescent="0.35">
      <c r="A163" t="s">
        <v>105</v>
      </c>
      <c r="B163" t="s">
        <v>179</v>
      </c>
      <c r="C163">
        <v>368476115</v>
      </c>
      <c r="D163">
        <v>121564662</v>
      </c>
      <c r="E163">
        <v>2101990</v>
      </c>
      <c r="F163" cm="1">
        <f t="array" ref="F163">SUM(C163:D163-E163)</f>
        <v>485836797</v>
      </c>
    </row>
    <row r="164" spans="1:6" x14ac:dyDescent="0.35">
      <c r="A164" t="s">
        <v>107</v>
      </c>
      <c r="B164" t="s">
        <v>179</v>
      </c>
      <c r="C164">
        <v>25312473</v>
      </c>
      <c r="D164">
        <v>29098490</v>
      </c>
      <c r="E164">
        <v>1517588</v>
      </c>
      <c r="F164" cm="1">
        <f t="array" ref="F164">SUM(C164:D164-E164)</f>
        <v>51375787</v>
      </c>
    </row>
    <row r="165" spans="1:6" x14ac:dyDescent="0.35">
      <c r="A165" t="s">
        <v>108</v>
      </c>
      <c r="B165" t="s">
        <v>179</v>
      </c>
      <c r="C165">
        <v>74287404</v>
      </c>
      <c r="D165">
        <v>37353460</v>
      </c>
      <c r="E165">
        <v>171367</v>
      </c>
      <c r="F165" cm="1">
        <f t="array" ref="F165">SUM(C165:D165-E165)</f>
        <v>111298130</v>
      </c>
    </row>
    <row r="166" spans="1:6" x14ac:dyDescent="0.35">
      <c r="A166" t="s">
        <v>111</v>
      </c>
      <c r="B166" t="s">
        <v>179</v>
      </c>
      <c r="C166">
        <v>0</v>
      </c>
      <c r="D166">
        <v>0</v>
      </c>
      <c r="E166">
        <v>0</v>
      </c>
      <c r="F166" cm="1">
        <f t="array" ref="F166">SUM(C166:D166-E166)</f>
        <v>0</v>
      </c>
    </row>
    <row r="167" spans="1:6" x14ac:dyDescent="0.35">
      <c r="A167" t="s">
        <v>114</v>
      </c>
      <c r="B167" t="s">
        <v>179</v>
      </c>
      <c r="C167">
        <v>301888058</v>
      </c>
      <c r="D167">
        <v>95377768</v>
      </c>
      <c r="E167">
        <v>1335355</v>
      </c>
      <c r="F167" cm="1">
        <f t="array" ref="F167">SUM(C167:D167-E167)</f>
        <v>394595116</v>
      </c>
    </row>
    <row r="168" spans="1:6" x14ac:dyDescent="0.35">
      <c r="A168" t="s">
        <v>119</v>
      </c>
      <c r="B168" t="s">
        <v>179</v>
      </c>
      <c r="C168">
        <v>100084532</v>
      </c>
      <c r="D168">
        <v>61823126</v>
      </c>
      <c r="E168">
        <v>51262</v>
      </c>
      <c r="F168" cm="1">
        <f t="array" ref="F168">SUM(C168:D168-E168)</f>
        <v>161805134</v>
      </c>
    </row>
    <row r="169" spans="1:6" x14ac:dyDescent="0.35">
      <c r="A169" t="s">
        <v>120</v>
      </c>
      <c r="B169" t="s">
        <v>179</v>
      </c>
      <c r="C169">
        <v>25216283</v>
      </c>
      <c r="D169">
        <v>11559887</v>
      </c>
      <c r="E169">
        <v>142670</v>
      </c>
      <c r="F169" cm="1">
        <f t="array" ref="F169">SUM(C169:D169-E169)</f>
        <v>36490830</v>
      </c>
    </row>
    <row r="170" spans="1:6" x14ac:dyDescent="0.35">
      <c r="A170" t="s">
        <v>131</v>
      </c>
      <c r="B170" t="s">
        <v>179</v>
      </c>
      <c r="C170">
        <v>171235557</v>
      </c>
      <c r="D170">
        <v>61019853</v>
      </c>
      <c r="E170">
        <v>104950</v>
      </c>
      <c r="F170" cm="1">
        <f t="array" ref="F170">SUM(C170:D170-E170)</f>
        <v>232045510</v>
      </c>
    </row>
    <row r="171" spans="1:6" x14ac:dyDescent="0.35">
      <c r="A171" t="s">
        <v>134</v>
      </c>
      <c r="B171" t="s">
        <v>179</v>
      </c>
      <c r="C171">
        <v>1594968581</v>
      </c>
      <c r="D171">
        <v>939325656</v>
      </c>
      <c r="E171">
        <v>6190641</v>
      </c>
      <c r="F171" cm="1">
        <f t="array" ref="F171">SUM(C171:D171-E171)</f>
        <v>2521912955</v>
      </c>
    </row>
    <row r="172" spans="1:6" x14ac:dyDescent="0.35">
      <c r="A172" t="s">
        <v>135</v>
      </c>
      <c r="B172" t="s">
        <v>179</v>
      </c>
      <c r="C172">
        <v>11019019</v>
      </c>
      <c r="D172">
        <v>12381855</v>
      </c>
      <c r="E172">
        <v>103660</v>
      </c>
      <c r="F172" cm="1">
        <f t="array" ref="F172">SUM(C172:D172-E172)</f>
        <v>23193554</v>
      </c>
    </row>
    <row r="173" spans="1:6" x14ac:dyDescent="0.35">
      <c r="A173" t="s">
        <v>138</v>
      </c>
      <c r="B173" t="s">
        <v>179</v>
      </c>
      <c r="C173">
        <v>90072407</v>
      </c>
      <c r="D173">
        <v>44917116</v>
      </c>
      <c r="E173">
        <v>379616</v>
      </c>
      <c r="F173" cm="1">
        <f t="array" ref="F173">SUM(C173:D173-E173)</f>
        <v>134230291</v>
      </c>
    </row>
    <row r="174" spans="1:6" x14ac:dyDescent="0.35">
      <c r="A174" t="s">
        <v>139</v>
      </c>
      <c r="B174" t="s">
        <v>179</v>
      </c>
      <c r="C174">
        <v>29076727</v>
      </c>
      <c r="D174">
        <v>25201678</v>
      </c>
      <c r="E174">
        <v>0</v>
      </c>
      <c r="F174" cm="1">
        <f t="array" ref="F174">SUM(C174:D174-E174)</f>
        <v>54278405</v>
      </c>
    </row>
    <row r="175" spans="1:6" x14ac:dyDescent="0.35">
      <c r="A175" t="s">
        <v>102</v>
      </c>
      <c r="B175" t="s">
        <v>180</v>
      </c>
      <c r="C175">
        <v>162471212</v>
      </c>
      <c r="D175">
        <v>78005584</v>
      </c>
      <c r="E175">
        <v>37363916</v>
      </c>
      <c r="F175" cm="1">
        <f t="array" ref="F175">SUM(C175:D175-E175)</f>
        <v>165748964</v>
      </c>
    </row>
    <row r="176" spans="1:6" x14ac:dyDescent="0.35">
      <c r="A176" t="s">
        <v>103</v>
      </c>
      <c r="B176" t="s">
        <v>180</v>
      </c>
      <c r="C176">
        <v>51073942</v>
      </c>
      <c r="D176">
        <v>10952917</v>
      </c>
      <c r="E176">
        <v>0</v>
      </c>
      <c r="F176" cm="1">
        <f t="array" ref="F176">SUM(C176:D176-E176)</f>
        <v>62026859</v>
      </c>
    </row>
    <row r="177" spans="1:6" x14ac:dyDescent="0.35">
      <c r="A177" t="s">
        <v>104</v>
      </c>
      <c r="B177" t="s">
        <v>180</v>
      </c>
      <c r="C177">
        <v>15804043</v>
      </c>
      <c r="D177">
        <v>11627649</v>
      </c>
      <c r="E177">
        <v>0</v>
      </c>
      <c r="F177" cm="1">
        <f t="array" ref="F177">SUM(C177:D177-E177)</f>
        <v>27431692</v>
      </c>
    </row>
    <row r="178" spans="1:6" x14ac:dyDescent="0.35">
      <c r="A178" t="s">
        <v>106</v>
      </c>
      <c r="B178" t="s">
        <v>180</v>
      </c>
      <c r="C178">
        <v>0</v>
      </c>
      <c r="D178">
        <v>0</v>
      </c>
      <c r="E178">
        <v>0</v>
      </c>
      <c r="F178" cm="1">
        <f t="array" ref="F178">SUM(C178:D178-E178)</f>
        <v>0</v>
      </c>
    </row>
    <row r="179" spans="1:6" x14ac:dyDescent="0.35">
      <c r="A179" t="s">
        <v>107</v>
      </c>
      <c r="B179" t="s">
        <v>180</v>
      </c>
      <c r="C179">
        <v>47665427</v>
      </c>
      <c r="D179">
        <v>26696213</v>
      </c>
      <c r="E179">
        <v>10059374</v>
      </c>
      <c r="F179" cm="1">
        <f t="array" ref="F179">SUM(C179:D179-E179)</f>
        <v>54242892</v>
      </c>
    </row>
    <row r="180" spans="1:6" x14ac:dyDescent="0.35">
      <c r="A180" t="s">
        <v>114</v>
      </c>
      <c r="B180" t="s">
        <v>180</v>
      </c>
      <c r="C180">
        <v>347413556</v>
      </c>
      <c r="D180">
        <v>176918482</v>
      </c>
      <c r="E180">
        <v>61777392</v>
      </c>
      <c r="F180" cm="1">
        <f t="array" ref="F180">SUM(C180:D180-E180)</f>
        <v>400777254</v>
      </c>
    </row>
    <row r="181" spans="1:6" x14ac:dyDescent="0.35">
      <c r="A181" t="s">
        <v>115</v>
      </c>
      <c r="B181" t="s">
        <v>180</v>
      </c>
      <c r="C181">
        <v>23254128</v>
      </c>
      <c r="D181">
        <v>13170157</v>
      </c>
      <c r="E181">
        <v>282798</v>
      </c>
      <c r="F181" cm="1">
        <f t="array" ref="F181">SUM(C181:D181-E181)</f>
        <v>35858689</v>
      </c>
    </row>
    <row r="182" spans="1:6" x14ac:dyDescent="0.35">
      <c r="A182" t="s">
        <v>119</v>
      </c>
      <c r="B182" t="s">
        <v>180</v>
      </c>
      <c r="C182">
        <v>190479607</v>
      </c>
      <c r="D182">
        <v>94249591</v>
      </c>
      <c r="E182">
        <v>0</v>
      </c>
      <c r="F182" cm="1">
        <f t="array" ref="F182">SUM(C182:D182-E182)</f>
        <v>284729198</v>
      </c>
    </row>
    <row r="183" spans="1:6" x14ac:dyDescent="0.35">
      <c r="A183" t="s">
        <v>120</v>
      </c>
      <c r="B183" t="s">
        <v>180</v>
      </c>
      <c r="C183">
        <v>89460828</v>
      </c>
      <c r="D183">
        <v>32464462</v>
      </c>
      <c r="E183">
        <v>7905943</v>
      </c>
      <c r="F183" cm="1">
        <f t="array" ref="F183">SUM(C183:D183-E183)</f>
        <v>106113404</v>
      </c>
    </row>
    <row r="184" spans="1:6" x14ac:dyDescent="0.35">
      <c r="A184" t="s">
        <v>121</v>
      </c>
      <c r="B184" t="s">
        <v>180</v>
      </c>
      <c r="C184">
        <v>11993422</v>
      </c>
      <c r="D184">
        <v>7652354</v>
      </c>
      <c r="E184">
        <v>0</v>
      </c>
      <c r="F184" cm="1">
        <f t="array" ref="F184">SUM(C184:D184-E184)</f>
        <v>19645776</v>
      </c>
    </row>
    <row r="185" spans="1:6" x14ac:dyDescent="0.35">
      <c r="A185" t="s">
        <v>123</v>
      </c>
      <c r="B185" t="s">
        <v>180</v>
      </c>
      <c r="C185">
        <v>5345792</v>
      </c>
      <c r="D185">
        <v>3672967</v>
      </c>
      <c r="E185">
        <v>1189721</v>
      </c>
      <c r="F185" cm="1">
        <f t="array" ref="F185">SUM(C185:D185-E185)</f>
        <v>6639317</v>
      </c>
    </row>
    <row r="186" spans="1:6" x14ac:dyDescent="0.35">
      <c r="A186" t="s">
        <v>131</v>
      </c>
      <c r="B186" t="s">
        <v>180</v>
      </c>
      <c r="C186">
        <v>478027218</v>
      </c>
      <c r="D186">
        <v>242969345</v>
      </c>
      <c r="E186">
        <v>23414641</v>
      </c>
      <c r="F186" cm="1">
        <f t="array" ref="F186">SUM(C186:D186-E186)</f>
        <v>674167281</v>
      </c>
    </row>
    <row r="187" spans="1:6" x14ac:dyDescent="0.35">
      <c r="A187" t="s">
        <v>132</v>
      </c>
      <c r="B187" t="s">
        <v>180</v>
      </c>
      <c r="C187">
        <v>9917063</v>
      </c>
      <c r="D187">
        <v>4199198</v>
      </c>
      <c r="E187">
        <v>2502368</v>
      </c>
      <c r="F187" cm="1">
        <f t="array" ref="F187">SUM(C187:D187-E187)</f>
        <v>9111525</v>
      </c>
    </row>
    <row r="188" spans="1:6" x14ac:dyDescent="0.35">
      <c r="A188" t="s">
        <v>134</v>
      </c>
      <c r="B188" t="s">
        <v>180</v>
      </c>
      <c r="C188">
        <v>949949740</v>
      </c>
      <c r="D188">
        <v>803266161</v>
      </c>
      <c r="E188">
        <v>36573827</v>
      </c>
      <c r="F188" cm="1">
        <f t="array" ref="F188">SUM(C188:D188-E188)</f>
        <v>1680068247</v>
      </c>
    </row>
    <row r="189" spans="1:6" x14ac:dyDescent="0.35">
      <c r="A189" t="s">
        <v>138</v>
      </c>
      <c r="B189" t="s">
        <v>180</v>
      </c>
      <c r="C189">
        <v>174941419</v>
      </c>
      <c r="D189">
        <v>73380579</v>
      </c>
      <c r="E189">
        <v>482740</v>
      </c>
      <c r="F189" cm="1">
        <f t="array" ref="F189">SUM(C189:D189-E189)</f>
        <v>247356518</v>
      </c>
    </row>
    <row r="190" spans="1:6" x14ac:dyDescent="0.35">
      <c r="A190" t="s">
        <v>143</v>
      </c>
      <c r="B190" t="s">
        <v>180</v>
      </c>
      <c r="C190">
        <v>998357</v>
      </c>
      <c r="D190">
        <v>1363940</v>
      </c>
      <c r="E190">
        <v>462389</v>
      </c>
      <c r="F190" cm="1">
        <f t="array" ref="F190">SUM(C190:D190-E190)</f>
        <v>1437519</v>
      </c>
    </row>
    <row r="191" spans="1:6" x14ac:dyDescent="0.35">
      <c r="A191" t="s">
        <v>144</v>
      </c>
      <c r="B191" t="s">
        <v>180</v>
      </c>
      <c r="C191">
        <v>16192562</v>
      </c>
      <c r="D191">
        <v>6422795</v>
      </c>
      <c r="E191">
        <v>42592</v>
      </c>
      <c r="F191" cm="1">
        <f t="array" ref="F191">SUM(C191:D191-E191)</f>
        <v>22530173</v>
      </c>
    </row>
    <row r="192" spans="1:6" x14ac:dyDescent="0.35">
      <c r="A192" t="s">
        <v>145</v>
      </c>
      <c r="B192" t="s">
        <v>180</v>
      </c>
      <c r="C192">
        <v>16284736</v>
      </c>
      <c r="D192">
        <v>11550441</v>
      </c>
      <c r="E192">
        <v>5698785</v>
      </c>
      <c r="F192" cm="1">
        <f t="array" ref="F192">SUM(C192:D192-E192)</f>
        <v>16437607</v>
      </c>
    </row>
    <row r="193" spans="1:6" x14ac:dyDescent="0.35">
      <c r="A193" t="s">
        <v>146</v>
      </c>
      <c r="B193" t="s">
        <v>180</v>
      </c>
      <c r="C193">
        <v>37562160</v>
      </c>
      <c r="D193">
        <v>12408361</v>
      </c>
      <c r="E193">
        <v>3737506</v>
      </c>
      <c r="F193" cm="1">
        <f t="array" ref="F193">SUM(C193:D193-E193)</f>
        <v>42495509</v>
      </c>
    </row>
    <row r="194" spans="1:6" x14ac:dyDescent="0.35">
      <c r="A194" t="s">
        <v>149</v>
      </c>
      <c r="B194" t="s">
        <v>180</v>
      </c>
      <c r="C194">
        <v>18304739</v>
      </c>
      <c r="D194">
        <v>15174291</v>
      </c>
      <c r="E194">
        <v>3247786</v>
      </c>
      <c r="F194" cm="1">
        <f t="array" ref="F194">SUM(C194:D194-E194)</f>
        <v>26983458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5014-CD45-4403-9021-3AB28E92ED9B}">
  <dimension ref="A1:K278"/>
  <sheetViews>
    <sheetView zoomScale="90" zoomScaleNormal="90" workbookViewId="0">
      <selection activeCell="I18" sqref="I18"/>
    </sheetView>
  </sheetViews>
  <sheetFormatPr defaultRowHeight="14.5" x14ac:dyDescent="0.35"/>
  <cols>
    <col min="1" max="1" width="16.453125" bestFit="1" customWidth="1"/>
    <col min="2" max="2" width="12" bestFit="1" customWidth="1"/>
    <col min="3" max="3" width="12.08984375" customWidth="1"/>
    <col min="4" max="4" width="17.90625" bestFit="1" customWidth="1"/>
    <col min="5" max="5" width="18.81640625" customWidth="1"/>
    <col min="6" max="6" width="22.54296875" customWidth="1"/>
    <col min="7" max="7" width="19.90625" customWidth="1"/>
    <col min="8" max="8" width="16.90625" customWidth="1"/>
    <col min="9" max="9" width="20" customWidth="1"/>
    <col min="10" max="10" width="12.453125" customWidth="1"/>
    <col min="11" max="11" width="15.90625" customWidth="1"/>
  </cols>
  <sheetData>
    <row r="1" spans="1:11" x14ac:dyDescent="0.35">
      <c r="A1" t="s">
        <v>174</v>
      </c>
      <c r="B1" t="s">
        <v>78</v>
      </c>
      <c r="C1" t="s">
        <v>95</v>
      </c>
      <c r="D1" t="s">
        <v>0</v>
      </c>
      <c r="E1" t="s">
        <v>167</v>
      </c>
      <c r="F1" t="s">
        <v>168</v>
      </c>
      <c r="G1" t="s">
        <v>169</v>
      </c>
      <c r="H1" t="s">
        <v>171</v>
      </c>
      <c r="I1" t="s">
        <v>170</v>
      </c>
      <c r="J1" t="s">
        <v>172</v>
      </c>
      <c r="K1" t="s">
        <v>173</v>
      </c>
    </row>
    <row r="2" spans="1:11" x14ac:dyDescent="0.35">
      <c r="A2" t="s">
        <v>175</v>
      </c>
      <c r="B2" t="s">
        <v>90</v>
      </c>
      <c r="C2" t="s">
        <v>96</v>
      </c>
      <c r="D2" t="s">
        <v>4</v>
      </c>
      <c r="E2">
        <v>55</v>
      </c>
      <c r="F2">
        <v>2166666</v>
      </c>
      <c r="G2">
        <v>3410108</v>
      </c>
      <c r="H2" s="5">
        <f>F2/E2</f>
        <v>39393.927272727269</v>
      </c>
      <c r="I2">
        <v>15522385</v>
      </c>
      <c r="J2" s="5">
        <f t="shared" ref="J2:J33" si="0">I2/F2</f>
        <v>7.1641798966707375</v>
      </c>
      <c r="K2" s="5">
        <f t="shared" ref="K2:K33" si="1">I2/G2</f>
        <v>4.5518748966308396</v>
      </c>
    </row>
    <row r="3" spans="1:11" x14ac:dyDescent="0.35">
      <c r="A3" t="s">
        <v>175</v>
      </c>
      <c r="B3" t="s">
        <v>90</v>
      </c>
      <c r="C3" t="s">
        <v>97</v>
      </c>
      <c r="D3" t="s">
        <v>3</v>
      </c>
      <c r="E3">
        <v>122</v>
      </c>
      <c r="F3">
        <v>5886313</v>
      </c>
      <c r="G3">
        <v>5194701</v>
      </c>
      <c r="H3" s="5">
        <f>F3/E3</f>
        <v>48248.467213114753</v>
      </c>
      <c r="I3">
        <v>28956119</v>
      </c>
      <c r="J3" s="5">
        <f t="shared" si="0"/>
        <v>4.9192285561437181</v>
      </c>
      <c r="K3" s="5">
        <f t="shared" si="1"/>
        <v>5.574164711308697</v>
      </c>
    </row>
    <row r="4" spans="1:11" x14ac:dyDescent="0.35">
      <c r="A4" t="s">
        <v>175</v>
      </c>
      <c r="B4" t="s">
        <v>90</v>
      </c>
      <c r="C4" t="s">
        <v>98</v>
      </c>
      <c r="D4" t="s">
        <v>6</v>
      </c>
      <c r="E4">
        <v>49</v>
      </c>
      <c r="F4">
        <v>2396666</v>
      </c>
      <c r="G4">
        <v>2340157</v>
      </c>
      <c r="H4" s="5">
        <f t="shared" ref="H4:H52" si="2">F4/E4</f>
        <v>48911.551020408166</v>
      </c>
      <c r="I4">
        <v>11247461</v>
      </c>
      <c r="J4" s="5">
        <f t="shared" si="0"/>
        <v>4.6929613888626953</v>
      </c>
      <c r="K4" s="5">
        <f t="shared" si="1"/>
        <v>4.8062847920032716</v>
      </c>
    </row>
    <row r="5" spans="1:11" x14ac:dyDescent="0.35">
      <c r="A5" t="s">
        <v>175</v>
      </c>
      <c r="B5" t="s">
        <v>90</v>
      </c>
      <c r="C5" t="s">
        <v>101</v>
      </c>
      <c r="D5" t="s">
        <v>5</v>
      </c>
      <c r="E5">
        <v>1009</v>
      </c>
      <c r="F5">
        <v>45813703</v>
      </c>
      <c r="G5">
        <v>72728912</v>
      </c>
      <c r="H5" s="5">
        <f t="shared" si="2"/>
        <v>45405.057482656099</v>
      </c>
      <c r="I5">
        <v>276898834</v>
      </c>
      <c r="J5" s="5">
        <f t="shared" si="0"/>
        <v>6.0440177472665768</v>
      </c>
      <c r="K5" s="5">
        <f t="shared" si="1"/>
        <v>3.8072731515631637</v>
      </c>
    </row>
    <row r="6" spans="1:11" x14ac:dyDescent="0.35">
      <c r="A6" t="s">
        <v>175</v>
      </c>
      <c r="B6" t="s">
        <v>90</v>
      </c>
      <c r="C6" t="s">
        <v>102</v>
      </c>
      <c r="D6" t="s">
        <v>7</v>
      </c>
      <c r="E6">
        <v>7949</v>
      </c>
      <c r="F6">
        <v>309060177</v>
      </c>
      <c r="G6">
        <v>768620802</v>
      </c>
      <c r="H6" s="5">
        <f t="shared" si="2"/>
        <v>38880.384576676312</v>
      </c>
      <c r="I6">
        <v>2981731572</v>
      </c>
      <c r="J6" s="5">
        <f t="shared" si="0"/>
        <v>9.6477378643318392</v>
      </c>
      <c r="K6" s="5">
        <f t="shared" si="1"/>
        <v>3.8793271847982069</v>
      </c>
    </row>
    <row r="7" spans="1:11" x14ac:dyDescent="0.35">
      <c r="A7" t="s">
        <v>175</v>
      </c>
      <c r="B7" t="s">
        <v>90</v>
      </c>
      <c r="C7" t="s">
        <v>103</v>
      </c>
      <c r="D7" t="s">
        <v>8</v>
      </c>
      <c r="E7">
        <v>941</v>
      </c>
      <c r="F7">
        <v>40617957</v>
      </c>
      <c r="G7">
        <v>76851750</v>
      </c>
      <c r="H7" s="5">
        <f t="shared" si="2"/>
        <v>43164.672688629114</v>
      </c>
      <c r="I7">
        <v>331883303</v>
      </c>
      <c r="J7" s="5">
        <f t="shared" si="0"/>
        <v>8.1708516999020908</v>
      </c>
      <c r="K7" s="5">
        <f t="shared" si="1"/>
        <v>4.318487256308412</v>
      </c>
    </row>
    <row r="8" spans="1:11" x14ac:dyDescent="0.35">
      <c r="A8" t="s">
        <v>175</v>
      </c>
      <c r="B8" t="s">
        <v>90</v>
      </c>
      <c r="C8" t="s">
        <v>104</v>
      </c>
      <c r="D8" t="s">
        <v>9</v>
      </c>
      <c r="E8">
        <v>554</v>
      </c>
      <c r="F8">
        <v>21522521</v>
      </c>
      <c r="G8">
        <v>35793026</v>
      </c>
      <c r="H8" s="5">
        <f t="shared" si="2"/>
        <v>38849.315884476535</v>
      </c>
      <c r="I8">
        <v>173124225</v>
      </c>
      <c r="J8" s="5">
        <f t="shared" si="0"/>
        <v>8.0438636812109507</v>
      </c>
      <c r="K8" s="5">
        <f t="shared" si="1"/>
        <v>4.8368144397738266</v>
      </c>
    </row>
    <row r="9" spans="1:11" x14ac:dyDescent="0.35">
      <c r="A9" t="s">
        <v>175</v>
      </c>
      <c r="B9" t="s">
        <v>90</v>
      </c>
      <c r="C9" t="s">
        <v>105</v>
      </c>
      <c r="D9" t="s">
        <v>11</v>
      </c>
      <c r="E9">
        <v>1436</v>
      </c>
      <c r="F9">
        <v>38872603</v>
      </c>
      <c r="G9">
        <v>128798508</v>
      </c>
      <c r="H9" s="5">
        <f t="shared" si="2"/>
        <v>27070.057799442897</v>
      </c>
      <c r="I9">
        <v>374711279</v>
      </c>
      <c r="J9" s="5">
        <f t="shared" si="0"/>
        <v>9.6394697056947791</v>
      </c>
      <c r="K9" s="5">
        <f t="shared" si="1"/>
        <v>2.9092827612568306</v>
      </c>
    </row>
    <row r="10" spans="1:11" x14ac:dyDescent="0.35">
      <c r="A10" t="s">
        <v>175</v>
      </c>
      <c r="B10" t="s">
        <v>90</v>
      </c>
      <c r="C10" t="s">
        <v>106</v>
      </c>
      <c r="D10" t="s">
        <v>10</v>
      </c>
      <c r="E10">
        <v>199</v>
      </c>
      <c r="F10">
        <v>8984139</v>
      </c>
      <c r="G10">
        <v>7162651</v>
      </c>
      <c r="H10" s="5">
        <f t="shared" si="2"/>
        <v>45146.427135678394</v>
      </c>
      <c r="I10">
        <v>36255938</v>
      </c>
      <c r="J10" s="5">
        <f t="shared" si="0"/>
        <v>4.0355495390264995</v>
      </c>
      <c r="K10" s="5">
        <f t="shared" si="1"/>
        <v>5.061804351489414</v>
      </c>
    </row>
    <row r="11" spans="1:11" x14ac:dyDescent="0.35">
      <c r="A11" t="s">
        <v>175</v>
      </c>
      <c r="B11" t="s">
        <v>90</v>
      </c>
      <c r="C11" t="s">
        <v>107</v>
      </c>
      <c r="D11" t="s">
        <v>12</v>
      </c>
      <c r="E11">
        <v>2472</v>
      </c>
      <c r="F11">
        <v>119452862</v>
      </c>
      <c r="G11">
        <v>176246930</v>
      </c>
      <c r="H11" s="5">
        <f t="shared" si="2"/>
        <v>48322.35517799353</v>
      </c>
      <c r="I11">
        <v>912330075</v>
      </c>
      <c r="J11" s="5">
        <f t="shared" si="0"/>
        <v>7.6375740164350354</v>
      </c>
      <c r="K11" s="5">
        <f t="shared" si="1"/>
        <v>5.1764310164154352</v>
      </c>
    </row>
    <row r="12" spans="1:11" x14ac:dyDescent="0.35">
      <c r="A12" t="s">
        <v>175</v>
      </c>
      <c r="B12" t="s">
        <v>90</v>
      </c>
      <c r="C12" t="s">
        <v>108</v>
      </c>
      <c r="D12" t="s">
        <v>13</v>
      </c>
      <c r="E12">
        <v>714</v>
      </c>
      <c r="F12">
        <v>38181236</v>
      </c>
      <c r="G12">
        <v>67596652</v>
      </c>
      <c r="H12" s="5">
        <f t="shared" si="2"/>
        <v>53475.120448179274</v>
      </c>
      <c r="I12">
        <v>296254344</v>
      </c>
      <c r="J12" s="5">
        <f t="shared" si="0"/>
        <v>7.7591606515828877</v>
      </c>
      <c r="K12" s="5">
        <f t="shared" si="1"/>
        <v>4.3826777693072732</v>
      </c>
    </row>
    <row r="13" spans="1:11" x14ac:dyDescent="0.35">
      <c r="A13" t="s">
        <v>175</v>
      </c>
      <c r="B13" t="s">
        <v>90</v>
      </c>
      <c r="C13" t="s">
        <v>111</v>
      </c>
      <c r="D13" t="s">
        <v>14</v>
      </c>
      <c r="E13">
        <v>469</v>
      </c>
      <c r="F13">
        <v>19354998</v>
      </c>
      <c r="G13">
        <v>64186595</v>
      </c>
      <c r="H13" s="5">
        <f t="shared" si="2"/>
        <v>41268.652452025584</v>
      </c>
      <c r="I13">
        <v>317627341</v>
      </c>
      <c r="J13" s="5">
        <f t="shared" si="0"/>
        <v>16.410610892339022</v>
      </c>
      <c r="K13" s="5">
        <f t="shared" si="1"/>
        <v>4.9484996205204528</v>
      </c>
    </row>
    <row r="14" spans="1:11" x14ac:dyDescent="0.35">
      <c r="A14" t="s">
        <v>175</v>
      </c>
      <c r="B14" t="s">
        <v>90</v>
      </c>
      <c r="C14" t="s">
        <v>112</v>
      </c>
      <c r="D14" t="s">
        <v>18</v>
      </c>
      <c r="E14">
        <v>275</v>
      </c>
      <c r="F14">
        <v>7735831</v>
      </c>
      <c r="G14">
        <v>17660899</v>
      </c>
      <c r="H14" s="5">
        <f t="shared" si="2"/>
        <v>28130.294545454544</v>
      </c>
      <c r="I14">
        <v>46053115</v>
      </c>
      <c r="J14" s="5">
        <f t="shared" si="0"/>
        <v>5.9532214444705422</v>
      </c>
      <c r="K14" s="5">
        <f t="shared" si="1"/>
        <v>2.6076314121948152</v>
      </c>
    </row>
    <row r="15" spans="1:11" x14ac:dyDescent="0.35">
      <c r="A15" t="s">
        <v>175</v>
      </c>
      <c r="B15" t="s">
        <v>90</v>
      </c>
      <c r="C15" t="s">
        <v>113</v>
      </c>
      <c r="D15" t="s">
        <v>15</v>
      </c>
      <c r="E15">
        <v>43</v>
      </c>
      <c r="F15" s="5">
        <v>1556235</v>
      </c>
      <c r="G15">
        <v>1213678</v>
      </c>
      <c r="H15" s="5">
        <f t="shared" si="2"/>
        <v>36191.511627906977</v>
      </c>
      <c r="I15">
        <v>7257794</v>
      </c>
      <c r="J15" s="5">
        <f t="shared" si="0"/>
        <v>4.66368768213027</v>
      </c>
      <c r="K15" s="5">
        <f t="shared" si="1"/>
        <v>5.979999637465621</v>
      </c>
    </row>
    <row r="16" spans="1:11" x14ac:dyDescent="0.35">
      <c r="A16" t="s">
        <v>175</v>
      </c>
      <c r="B16" t="s">
        <v>90</v>
      </c>
      <c r="C16" t="s">
        <v>114</v>
      </c>
      <c r="D16" t="s">
        <v>16</v>
      </c>
      <c r="E16">
        <v>2771</v>
      </c>
      <c r="F16">
        <v>100488642</v>
      </c>
      <c r="G16">
        <v>291581047</v>
      </c>
      <c r="H16" s="5">
        <f t="shared" si="2"/>
        <v>36264.396246842298</v>
      </c>
      <c r="I16">
        <v>851976466</v>
      </c>
      <c r="J16" s="5">
        <f t="shared" si="0"/>
        <v>8.4783359496489172</v>
      </c>
      <c r="K16" s="5">
        <f t="shared" si="1"/>
        <v>2.9219199079150022</v>
      </c>
    </row>
    <row r="17" spans="1:11" x14ac:dyDescent="0.35">
      <c r="A17" t="s">
        <v>175</v>
      </c>
      <c r="B17" t="s">
        <v>90</v>
      </c>
      <c r="C17" t="s">
        <v>115</v>
      </c>
      <c r="D17" t="s">
        <v>17</v>
      </c>
      <c r="E17">
        <v>376</v>
      </c>
      <c r="F17">
        <v>17021918</v>
      </c>
      <c r="G17">
        <v>24228822</v>
      </c>
      <c r="H17" s="5">
        <f t="shared" si="2"/>
        <v>45271.058510638301</v>
      </c>
      <c r="I17">
        <v>83156338</v>
      </c>
      <c r="J17" s="5">
        <f t="shared" si="0"/>
        <v>4.8852507690378957</v>
      </c>
      <c r="K17" s="5">
        <f t="shared" si="1"/>
        <v>3.4321246819180891</v>
      </c>
    </row>
    <row r="18" spans="1:11" x14ac:dyDescent="0.35">
      <c r="A18" t="s">
        <v>175</v>
      </c>
      <c r="B18" t="s">
        <v>90</v>
      </c>
      <c r="C18" t="s">
        <v>116</v>
      </c>
      <c r="D18" t="s">
        <v>19</v>
      </c>
      <c r="E18">
        <v>124</v>
      </c>
      <c r="F18">
        <v>5112562</v>
      </c>
      <c r="G18">
        <v>5635189</v>
      </c>
      <c r="H18" s="5">
        <f t="shared" si="2"/>
        <v>41230.338709677417</v>
      </c>
      <c r="I18">
        <v>22425707</v>
      </c>
      <c r="J18" s="5">
        <f t="shared" si="0"/>
        <v>4.3863931625670265</v>
      </c>
      <c r="K18" s="5">
        <f t="shared" si="1"/>
        <v>3.9795838258486094</v>
      </c>
    </row>
    <row r="19" spans="1:11" x14ac:dyDescent="0.35">
      <c r="A19" t="s">
        <v>175</v>
      </c>
      <c r="B19" t="s">
        <v>90</v>
      </c>
      <c r="C19" t="s">
        <v>117</v>
      </c>
      <c r="D19" t="s">
        <v>20</v>
      </c>
      <c r="E19">
        <v>335</v>
      </c>
      <c r="F19">
        <v>11954570</v>
      </c>
      <c r="G19">
        <v>18140222</v>
      </c>
      <c r="H19" s="5">
        <f t="shared" si="2"/>
        <v>35685.283582089549</v>
      </c>
      <c r="I19">
        <v>85321488</v>
      </c>
      <c r="J19" s="5">
        <f t="shared" si="0"/>
        <v>7.1371440378031163</v>
      </c>
      <c r="K19" s="5">
        <f t="shared" si="1"/>
        <v>4.703442328324317</v>
      </c>
    </row>
    <row r="20" spans="1:11" x14ac:dyDescent="0.35">
      <c r="A20" t="s">
        <v>175</v>
      </c>
      <c r="B20" t="s">
        <v>90</v>
      </c>
      <c r="C20" t="s">
        <v>118</v>
      </c>
      <c r="D20" t="s">
        <v>21</v>
      </c>
      <c r="E20">
        <v>246</v>
      </c>
      <c r="F20">
        <v>13905226</v>
      </c>
      <c r="G20">
        <v>19410921</v>
      </c>
      <c r="H20" s="5">
        <f t="shared" si="2"/>
        <v>56525.308943089432</v>
      </c>
      <c r="I20">
        <v>85607119</v>
      </c>
      <c r="J20" s="5">
        <f t="shared" si="0"/>
        <v>6.1564708836807114</v>
      </c>
      <c r="K20" s="5">
        <f t="shared" si="1"/>
        <v>4.410255391797226</v>
      </c>
    </row>
    <row r="21" spans="1:11" x14ac:dyDescent="0.35">
      <c r="A21" t="s">
        <v>175</v>
      </c>
      <c r="B21" t="s">
        <v>90</v>
      </c>
      <c r="C21" t="s">
        <v>119</v>
      </c>
      <c r="D21" t="s">
        <v>24</v>
      </c>
      <c r="E21">
        <v>1410</v>
      </c>
      <c r="F21">
        <v>41326841</v>
      </c>
      <c r="G21">
        <v>126030916</v>
      </c>
      <c r="H21" s="5">
        <f t="shared" si="2"/>
        <v>29309.816312056737</v>
      </c>
      <c r="I21">
        <v>377913892</v>
      </c>
      <c r="J21" s="5">
        <f t="shared" si="0"/>
        <v>9.1445143847312202</v>
      </c>
      <c r="K21" s="5">
        <f t="shared" si="1"/>
        <v>2.9985808561448524</v>
      </c>
    </row>
    <row r="22" spans="1:11" x14ac:dyDescent="0.35">
      <c r="A22" t="s">
        <v>175</v>
      </c>
      <c r="B22" t="s">
        <v>90</v>
      </c>
      <c r="C22" t="s">
        <v>120</v>
      </c>
      <c r="D22" t="s">
        <v>23</v>
      </c>
      <c r="E22">
        <v>1101</v>
      </c>
      <c r="F22">
        <v>43174769</v>
      </c>
      <c r="G22">
        <v>90954069</v>
      </c>
      <c r="H22" s="5">
        <f t="shared" si="2"/>
        <v>39214.140781108086</v>
      </c>
      <c r="I22">
        <v>375900009</v>
      </c>
      <c r="J22" s="5">
        <f t="shared" si="0"/>
        <v>8.7064741214944306</v>
      </c>
      <c r="K22" s="5">
        <f t="shared" si="1"/>
        <v>4.1328553316289787</v>
      </c>
    </row>
    <row r="23" spans="1:11" x14ac:dyDescent="0.35">
      <c r="A23" t="s">
        <v>175</v>
      </c>
      <c r="B23" t="s">
        <v>90</v>
      </c>
      <c r="C23" t="s">
        <v>121</v>
      </c>
      <c r="D23" t="s">
        <v>22</v>
      </c>
      <c r="E23">
        <v>55</v>
      </c>
      <c r="F23">
        <v>1694845</v>
      </c>
      <c r="G23">
        <v>2285223</v>
      </c>
      <c r="H23" s="5">
        <f t="shared" si="2"/>
        <v>30815.363636363636</v>
      </c>
      <c r="I23">
        <v>7576336</v>
      </c>
      <c r="J23" s="5">
        <f t="shared" si="0"/>
        <v>4.4702235307653506</v>
      </c>
      <c r="K23" s="5">
        <f t="shared" si="1"/>
        <v>3.3153595951029726</v>
      </c>
    </row>
    <row r="24" spans="1:11" x14ac:dyDescent="0.35">
      <c r="A24" t="s">
        <v>175</v>
      </c>
      <c r="B24" t="s">
        <v>90</v>
      </c>
      <c r="C24" t="s">
        <v>122</v>
      </c>
      <c r="D24" t="s">
        <v>25</v>
      </c>
      <c r="E24">
        <v>1042</v>
      </c>
      <c r="F24">
        <v>45545649</v>
      </c>
      <c r="G24">
        <v>74367553</v>
      </c>
      <c r="H24" s="5">
        <f t="shared" si="2"/>
        <v>43709.835892514398</v>
      </c>
      <c r="I24">
        <v>338042160</v>
      </c>
      <c r="J24" s="5">
        <f t="shared" si="0"/>
        <v>7.4220516651327113</v>
      </c>
      <c r="K24" s="5">
        <f t="shared" si="1"/>
        <v>4.5455598088591138</v>
      </c>
    </row>
    <row r="25" spans="1:11" x14ac:dyDescent="0.35">
      <c r="A25" t="s">
        <v>175</v>
      </c>
      <c r="B25" t="s">
        <v>90</v>
      </c>
      <c r="C25" t="s">
        <v>123</v>
      </c>
      <c r="D25" t="s">
        <v>26</v>
      </c>
      <c r="E25">
        <v>1211</v>
      </c>
      <c r="F25">
        <v>38541375</v>
      </c>
      <c r="G25">
        <v>69269269</v>
      </c>
      <c r="H25" s="5">
        <f t="shared" si="2"/>
        <v>31826.073492981006</v>
      </c>
      <c r="I25">
        <v>310345198</v>
      </c>
      <c r="J25" s="5">
        <f t="shared" si="0"/>
        <v>8.0522606679185689</v>
      </c>
      <c r="K25" s="5">
        <f t="shared" si="1"/>
        <v>4.4802724567513481</v>
      </c>
    </row>
    <row r="26" spans="1:11" x14ac:dyDescent="0.35">
      <c r="A26" t="s">
        <v>175</v>
      </c>
      <c r="B26" t="s">
        <v>90</v>
      </c>
      <c r="C26" t="s">
        <v>124</v>
      </c>
      <c r="D26" t="s">
        <v>28</v>
      </c>
      <c r="E26">
        <v>537</v>
      </c>
      <c r="F26">
        <v>27592382</v>
      </c>
      <c r="G26">
        <v>36182195</v>
      </c>
      <c r="H26" s="5">
        <f t="shared" si="2"/>
        <v>51382.461824953447</v>
      </c>
      <c r="I26">
        <v>177480688</v>
      </c>
      <c r="J26" s="5">
        <f t="shared" si="0"/>
        <v>6.4322351002533962</v>
      </c>
      <c r="K26" s="5">
        <f t="shared" si="1"/>
        <v>4.9051940602276893</v>
      </c>
    </row>
    <row r="27" spans="1:11" x14ac:dyDescent="0.35">
      <c r="A27" t="s">
        <v>175</v>
      </c>
      <c r="B27" t="s">
        <v>90</v>
      </c>
      <c r="C27" t="s">
        <v>125</v>
      </c>
      <c r="D27" t="s">
        <v>27</v>
      </c>
      <c r="E27">
        <v>31</v>
      </c>
      <c r="F27">
        <v>1566188</v>
      </c>
      <c r="G27">
        <v>1177336</v>
      </c>
      <c r="H27" s="5">
        <f t="shared" si="2"/>
        <v>50522.193548387098</v>
      </c>
      <c r="I27">
        <v>3739757</v>
      </c>
      <c r="J27" s="5">
        <f t="shared" si="0"/>
        <v>2.3878084878699108</v>
      </c>
      <c r="K27" s="5">
        <f t="shared" si="1"/>
        <v>3.1764568483423594</v>
      </c>
    </row>
    <row r="28" spans="1:11" x14ac:dyDescent="0.35">
      <c r="A28" t="s">
        <v>175</v>
      </c>
      <c r="B28" t="s">
        <v>90</v>
      </c>
      <c r="C28" t="s">
        <v>126</v>
      </c>
      <c r="D28" t="s">
        <v>29</v>
      </c>
      <c r="E28">
        <v>57</v>
      </c>
      <c r="F28">
        <v>1813315</v>
      </c>
      <c r="G28">
        <v>2619438</v>
      </c>
      <c r="H28" s="5">
        <f t="shared" si="2"/>
        <v>31812.543859649122</v>
      </c>
      <c r="I28">
        <v>6536310</v>
      </c>
      <c r="J28" s="5">
        <f t="shared" si="0"/>
        <v>3.6046191643481689</v>
      </c>
      <c r="K28" s="5">
        <f t="shared" si="1"/>
        <v>2.4953100626928371</v>
      </c>
    </row>
    <row r="29" spans="1:11" x14ac:dyDescent="0.35">
      <c r="A29" t="s">
        <v>175</v>
      </c>
      <c r="B29" t="s">
        <v>90</v>
      </c>
      <c r="C29" t="s">
        <v>127</v>
      </c>
      <c r="D29" t="s">
        <v>253</v>
      </c>
      <c r="E29">
        <v>653</v>
      </c>
      <c r="F29">
        <v>30177766</v>
      </c>
      <c r="G29">
        <v>48753606</v>
      </c>
      <c r="H29" s="5">
        <f t="shared" si="2"/>
        <v>46214.036753445638</v>
      </c>
      <c r="I29">
        <v>169778376</v>
      </c>
      <c r="J29" s="5">
        <f t="shared" si="0"/>
        <v>5.6259424902426511</v>
      </c>
      <c r="K29" s="5">
        <f t="shared" si="1"/>
        <v>3.4823757651895533</v>
      </c>
    </row>
    <row r="30" spans="1:11" x14ac:dyDescent="0.35">
      <c r="A30" t="s">
        <v>175</v>
      </c>
      <c r="B30" t="s">
        <v>90</v>
      </c>
      <c r="C30" t="s">
        <v>128</v>
      </c>
      <c r="D30" t="s">
        <v>36</v>
      </c>
      <c r="E30">
        <v>35</v>
      </c>
      <c r="F30">
        <v>1330724</v>
      </c>
      <c r="G30">
        <v>1568675</v>
      </c>
      <c r="H30" s="5">
        <f t="shared" si="2"/>
        <v>38020.685714285712</v>
      </c>
      <c r="I30">
        <v>6621965</v>
      </c>
      <c r="J30" s="5">
        <f t="shared" si="0"/>
        <v>4.9762121972700575</v>
      </c>
      <c r="K30" s="5">
        <f t="shared" si="1"/>
        <v>4.2213747270785857</v>
      </c>
    </row>
    <row r="31" spans="1:11" x14ac:dyDescent="0.35">
      <c r="A31" t="s">
        <v>175</v>
      </c>
      <c r="B31" t="s">
        <v>90</v>
      </c>
      <c r="C31" t="s">
        <v>129</v>
      </c>
      <c r="D31" t="s">
        <v>30</v>
      </c>
      <c r="E31">
        <v>146</v>
      </c>
      <c r="F31">
        <v>5818332</v>
      </c>
      <c r="G31">
        <v>5637523</v>
      </c>
      <c r="H31" s="5">
        <f t="shared" si="2"/>
        <v>39851.589041095889</v>
      </c>
      <c r="I31">
        <v>18485145</v>
      </c>
      <c r="J31" s="5">
        <f t="shared" si="0"/>
        <v>3.1770522892127846</v>
      </c>
      <c r="K31" s="5">
        <f t="shared" si="1"/>
        <v>3.2789480415423582</v>
      </c>
    </row>
    <row r="32" spans="1:11" x14ac:dyDescent="0.35">
      <c r="A32" t="s">
        <v>175</v>
      </c>
      <c r="B32" t="s">
        <v>90</v>
      </c>
      <c r="C32" t="s">
        <v>130</v>
      </c>
      <c r="D32" t="s">
        <v>32</v>
      </c>
      <c r="E32">
        <v>24</v>
      </c>
      <c r="F32">
        <v>1068132</v>
      </c>
      <c r="G32">
        <v>846987</v>
      </c>
      <c r="H32" s="5">
        <f t="shared" si="2"/>
        <v>44505.5</v>
      </c>
      <c r="I32">
        <v>5305592</v>
      </c>
      <c r="J32" s="5">
        <f t="shared" si="0"/>
        <v>4.9671688517898538</v>
      </c>
      <c r="K32" s="5">
        <f t="shared" si="1"/>
        <v>6.264077252661493</v>
      </c>
    </row>
    <row r="33" spans="1:11" x14ac:dyDescent="0.35">
      <c r="A33" t="s">
        <v>175</v>
      </c>
      <c r="B33" t="s">
        <v>90</v>
      </c>
      <c r="C33" t="s">
        <v>131</v>
      </c>
      <c r="D33" t="s">
        <v>33</v>
      </c>
      <c r="E33">
        <v>2155</v>
      </c>
      <c r="F33">
        <v>82656883</v>
      </c>
      <c r="G33">
        <v>160826246</v>
      </c>
      <c r="H33" s="5">
        <f t="shared" si="2"/>
        <v>38355.86218097448</v>
      </c>
      <c r="I33">
        <v>1039392303</v>
      </c>
      <c r="J33" s="5">
        <f t="shared" si="0"/>
        <v>12.574782223520334</v>
      </c>
      <c r="K33" s="5">
        <f t="shared" si="1"/>
        <v>6.4628276096178974</v>
      </c>
    </row>
    <row r="34" spans="1:11" x14ac:dyDescent="0.35">
      <c r="A34" t="s">
        <v>175</v>
      </c>
      <c r="B34" t="s">
        <v>90</v>
      </c>
      <c r="C34" t="s">
        <v>132</v>
      </c>
      <c r="D34" t="s">
        <v>34</v>
      </c>
      <c r="E34">
        <v>157</v>
      </c>
      <c r="F34">
        <v>6363537</v>
      </c>
      <c r="G34">
        <v>10037599</v>
      </c>
      <c r="H34" s="5">
        <f t="shared" si="2"/>
        <v>40532.082802547768</v>
      </c>
      <c r="I34">
        <v>35288270</v>
      </c>
      <c r="J34" s="5">
        <f t="shared" ref="J34:J65" si="3">I34/F34</f>
        <v>5.5453861586724491</v>
      </c>
      <c r="K34" s="5">
        <f t="shared" ref="K34:K65" si="4">I34/G34</f>
        <v>3.5156086629880314</v>
      </c>
    </row>
    <row r="35" spans="1:11" x14ac:dyDescent="0.35">
      <c r="A35" t="s">
        <v>175</v>
      </c>
      <c r="B35" t="s">
        <v>90</v>
      </c>
      <c r="C35" t="s">
        <v>133</v>
      </c>
      <c r="D35" t="s">
        <v>31</v>
      </c>
      <c r="E35">
        <v>401</v>
      </c>
      <c r="F35">
        <v>21915837</v>
      </c>
      <c r="G35">
        <v>71931489</v>
      </c>
      <c r="H35" s="5">
        <f t="shared" si="2"/>
        <v>54652.96009975062</v>
      </c>
      <c r="I35">
        <v>271302713</v>
      </c>
      <c r="J35" s="5">
        <f t="shared" si="3"/>
        <v>12.379299636148964</v>
      </c>
      <c r="K35" s="5">
        <f t="shared" si="4"/>
        <v>3.7716821488291448</v>
      </c>
    </row>
    <row r="36" spans="1:11" x14ac:dyDescent="0.35">
      <c r="A36" t="s">
        <v>175</v>
      </c>
      <c r="B36" t="s">
        <v>90</v>
      </c>
      <c r="C36" t="s">
        <v>134</v>
      </c>
      <c r="D36" t="s">
        <v>35</v>
      </c>
      <c r="E36">
        <v>6003</v>
      </c>
      <c r="F36">
        <v>169613221</v>
      </c>
      <c r="G36">
        <v>949500444</v>
      </c>
      <c r="H36" s="5">
        <f t="shared" si="2"/>
        <v>28254.74279526903</v>
      </c>
      <c r="I36">
        <v>2376045846</v>
      </c>
      <c r="J36" s="5">
        <f t="shared" si="3"/>
        <v>14.008612253168637</v>
      </c>
      <c r="K36" s="5">
        <f t="shared" si="4"/>
        <v>2.5024167824401777</v>
      </c>
    </row>
    <row r="37" spans="1:11" x14ac:dyDescent="0.35">
      <c r="A37" t="s">
        <v>175</v>
      </c>
      <c r="B37" t="s">
        <v>90</v>
      </c>
      <c r="C37" t="s">
        <v>135</v>
      </c>
      <c r="D37" t="s">
        <v>37</v>
      </c>
      <c r="E37">
        <v>1290</v>
      </c>
      <c r="F37">
        <v>53867399</v>
      </c>
      <c r="G37">
        <v>73876461</v>
      </c>
      <c r="H37" s="5">
        <f t="shared" si="2"/>
        <v>41757.673643410853</v>
      </c>
      <c r="I37">
        <v>343410085</v>
      </c>
      <c r="J37" s="5">
        <f t="shared" si="3"/>
        <v>6.3751005501490798</v>
      </c>
      <c r="K37" s="5">
        <f t="shared" si="4"/>
        <v>4.6484371388607801</v>
      </c>
    </row>
    <row r="38" spans="1:11" x14ac:dyDescent="0.35">
      <c r="A38" t="s">
        <v>175</v>
      </c>
      <c r="B38" t="s">
        <v>90</v>
      </c>
      <c r="C38" t="s">
        <v>136</v>
      </c>
      <c r="D38" t="s">
        <v>38</v>
      </c>
      <c r="E38">
        <v>113</v>
      </c>
      <c r="F38">
        <v>5828450</v>
      </c>
      <c r="G38">
        <v>5534143</v>
      </c>
      <c r="H38" s="5">
        <f t="shared" si="2"/>
        <v>51579.203539823007</v>
      </c>
      <c r="I38">
        <v>28259750</v>
      </c>
      <c r="J38" s="5">
        <f t="shared" si="3"/>
        <v>4.8485875318480902</v>
      </c>
      <c r="K38" s="5">
        <f t="shared" si="4"/>
        <v>5.1064365340758275</v>
      </c>
    </row>
    <row r="39" spans="1:11" x14ac:dyDescent="0.35">
      <c r="A39" t="s">
        <v>175</v>
      </c>
      <c r="B39" t="s">
        <v>90</v>
      </c>
      <c r="C39" t="s">
        <v>137</v>
      </c>
      <c r="D39" t="s">
        <v>39</v>
      </c>
      <c r="E39">
        <v>766</v>
      </c>
      <c r="F39">
        <v>29373746</v>
      </c>
      <c r="G39">
        <v>67587521</v>
      </c>
      <c r="H39" s="5">
        <f t="shared" si="2"/>
        <v>38346.926892950389</v>
      </c>
      <c r="I39">
        <v>243994100</v>
      </c>
      <c r="J39" s="5">
        <f t="shared" si="3"/>
        <v>8.3065367284104656</v>
      </c>
      <c r="K39" s="5">
        <f t="shared" si="4"/>
        <v>3.6100465942522142</v>
      </c>
    </row>
    <row r="40" spans="1:11" x14ac:dyDescent="0.35">
      <c r="A40" t="s">
        <v>175</v>
      </c>
      <c r="B40" t="s">
        <v>90</v>
      </c>
      <c r="C40" t="s">
        <v>138</v>
      </c>
      <c r="D40" t="s">
        <v>40</v>
      </c>
      <c r="E40">
        <v>2429</v>
      </c>
      <c r="F40">
        <v>84849731</v>
      </c>
      <c r="G40">
        <v>237824526</v>
      </c>
      <c r="H40" s="5">
        <f t="shared" si="2"/>
        <v>34931.960065870728</v>
      </c>
      <c r="I40">
        <v>844234454</v>
      </c>
      <c r="J40" s="5">
        <f t="shared" si="3"/>
        <v>9.9497599350079255</v>
      </c>
      <c r="K40" s="5">
        <f t="shared" si="4"/>
        <v>3.5498208204144599</v>
      </c>
    </row>
    <row r="41" spans="1:11" x14ac:dyDescent="0.35">
      <c r="A41" t="s">
        <v>175</v>
      </c>
      <c r="B41" t="s">
        <v>90</v>
      </c>
      <c r="C41" t="s">
        <v>139</v>
      </c>
      <c r="D41" t="s">
        <v>87</v>
      </c>
      <c r="E41">
        <v>107</v>
      </c>
      <c r="F41">
        <v>3050340</v>
      </c>
      <c r="G41">
        <v>4707179</v>
      </c>
      <c r="H41" s="5">
        <f t="shared" si="2"/>
        <v>28507.850467289718</v>
      </c>
      <c r="I41">
        <v>32797401</v>
      </c>
      <c r="J41" s="5">
        <f t="shared" si="3"/>
        <v>10.752047640590884</v>
      </c>
      <c r="K41" s="5">
        <f t="shared" si="4"/>
        <v>6.9675278972820029</v>
      </c>
    </row>
    <row r="42" spans="1:11" x14ac:dyDescent="0.35">
      <c r="A42" t="s">
        <v>175</v>
      </c>
      <c r="B42" t="s">
        <v>90</v>
      </c>
      <c r="C42" t="s">
        <v>140</v>
      </c>
      <c r="D42" t="s">
        <v>41</v>
      </c>
      <c r="E42">
        <v>196</v>
      </c>
      <c r="F42">
        <v>8922598</v>
      </c>
      <c r="G42">
        <v>16029388</v>
      </c>
      <c r="H42" s="5">
        <f t="shared" si="2"/>
        <v>45523.459183673469</v>
      </c>
      <c r="I42">
        <v>70301698</v>
      </c>
      <c r="J42" s="5">
        <f t="shared" si="3"/>
        <v>7.8790614572123499</v>
      </c>
      <c r="K42" s="5">
        <f t="shared" si="4"/>
        <v>4.3858005059207503</v>
      </c>
    </row>
    <row r="43" spans="1:11" x14ac:dyDescent="0.35">
      <c r="A43" t="s">
        <v>175</v>
      </c>
      <c r="B43" t="s">
        <v>90</v>
      </c>
      <c r="C43" t="s">
        <v>141</v>
      </c>
      <c r="D43" t="s">
        <v>254</v>
      </c>
      <c r="E43">
        <v>145</v>
      </c>
      <c r="F43">
        <v>6967560</v>
      </c>
      <c r="G43">
        <v>7464132</v>
      </c>
      <c r="H43" s="5">
        <f t="shared" si="2"/>
        <v>48052.137931034486</v>
      </c>
      <c r="I43">
        <v>31980559</v>
      </c>
      <c r="J43" s="5">
        <f t="shared" si="3"/>
        <v>4.5899222970451632</v>
      </c>
      <c r="K43" s="5">
        <f t="shared" si="4"/>
        <v>4.2845650371670816</v>
      </c>
    </row>
    <row r="44" spans="1:11" x14ac:dyDescent="0.35">
      <c r="A44" t="s">
        <v>175</v>
      </c>
      <c r="B44" t="s">
        <v>90</v>
      </c>
      <c r="C44" t="s">
        <v>142</v>
      </c>
      <c r="D44" t="s">
        <v>42</v>
      </c>
      <c r="E44">
        <v>19</v>
      </c>
      <c r="F44">
        <v>736271</v>
      </c>
      <c r="G44">
        <v>769437</v>
      </c>
      <c r="H44" s="5">
        <f t="shared" si="2"/>
        <v>38751.105263157893</v>
      </c>
      <c r="I44">
        <v>3216514</v>
      </c>
      <c r="J44" s="5">
        <f t="shared" si="3"/>
        <v>4.3686550196870444</v>
      </c>
      <c r="K44" s="5">
        <f t="shared" si="4"/>
        <v>4.1803474488489636</v>
      </c>
    </row>
    <row r="45" spans="1:11" x14ac:dyDescent="0.35">
      <c r="A45" t="s">
        <v>175</v>
      </c>
      <c r="B45" t="s">
        <v>90</v>
      </c>
      <c r="C45" t="s">
        <v>143</v>
      </c>
      <c r="D45" t="s">
        <v>43</v>
      </c>
      <c r="E45">
        <v>372</v>
      </c>
      <c r="F45">
        <v>17043700</v>
      </c>
      <c r="G45">
        <v>20322436</v>
      </c>
      <c r="H45" s="5">
        <f t="shared" si="2"/>
        <v>45816.397849462366</v>
      </c>
      <c r="I45">
        <v>90642924</v>
      </c>
      <c r="J45" s="5">
        <f t="shared" si="3"/>
        <v>5.3182656348093431</v>
      </c>
      <c r="K45" s="5">
        <f t="shared" si="4"/>
        <v>4.4602391170034927</v>
      </c>
    </row>
    <row r="46" spans="1:11" x14ac:dyDescent="0.35">
      <c r="A46" t="s">
        <v>175</v>
      </c>
      <c r="B46" t="s">
        <v>90</v>
      </c>
      <c r="C46" t="s">
        <v>144</v>
      </c>
      <c r="D46" t="s">
        <v>44</v>
      </c>
      <c r="E46">
        <v>2658</v>
      </c>
      <c r="F46">
        <v>132797609</v>
      </c>
      <c r="G46">
        <v>203359964</v>
      </c>
      <c r="H46" s="5">
        <f t="shared" si="2"/>
        <v>49961.47817908202</v>
      </c>
      <c r="I46">
        <v>898287942</v>
      </c>
      <c r="J46" s="5">
        <f t="shared" si="3"/>
        <v>6.7643382193726094</v>
      </c>
      <c r="K46" s="5">
        <f t="shared" si="4"/>
        <v>4.4172310239000634</v>
      </c>
    </row>
    <row r="47" spans="1:11" x14ac:dyDescent="0.35">
      <c r="A47" t="s">
        <v>175</v>
      </c>
      <c r="B47" t="s">
        <v>90</v>
      </c>
      <c r="C47" t="s">
        <v>145</v>
      </c>
      <c r="D47" t="s">
        <v>45</v>
      </c>
      <c r="E47">
        <v>439</v>
      </c>
      <c r="F47">
        <v>18067407</v>
      </c>
      <c r="G47">
        <v>21674772</v>
      </c>
      <c r="H47" s="5">
        <f t="shared" si="2"/>
        <v>41155.824601366745</v>
      </c>
      <c r="I47">
        <v>89516263</v>
      </c>
      <c r="J47" s="5">
        <f t="shared" si="3"/>
        <v>4.954571677053603</v>
      </c>
      <c r="K47" s="5">
        <f t="shared" si="4"/>
        <v>4.129974838951016</v>
      </c>
    </row>
    <row r="48" spans="1:11" x14ac:dyDescent="0.35">
      <c r="A48" t="s">
        <v>175</v>
      </c>
      <c r="B48" t="s">
        <v>90</v>
      </c>
      <c r="C48" t="s">
        <v>146</v>
      </c>
      <c r="D48" t="s">
        <v>47</v>
      </c>
      <c r="E48">
        <v>1001</v>
      </c>
      <c r="F48">
        <v>37423656</v>
      </c>
      <c r="G48">
        <v>47402618</v>
      </c>
      <c r="H48" s="5">
        <f t="shared" si="2"/>
        <v>37386.269730269727</v>
      </c>
      <c r="I48">
        <v>200677141</v>
      </c>
      <c r="J48" s="5">
        <f t="shared" si="3"/>
        <v>5.3623072262100742</v>
      </c>
      <c r="K48" s="5">
        <f t="shared" si="4"/>
        <v>4.2334611349946956</v>
      </c>
    </row>
    <row r="49" spans="1:11" x14ac:dyDescent="0.35">
      <c r="A49" t="s">
        <v>175</v>
      </c>
      <c r="B49" t="s">
        <v>90</v>
      </c>
      <c r="C49" t="s">
        <v>148</v>
      </c>
      <c r="D49" t="s">
        <v>46</v>
      </c>
      <c r="E49">
        <v>56</v>
      </c>
      <c r="F49">
        <v>1527629</v>
      </c>
      <c r="G49">
        <v>2443703</v>
      </c>
      <c r="H49" s="5">
        <f t="shared" si="2"/>
        <v>27279.089285714286</v>
      </c>
      <c r="I49">
        <v>6914037</v>
      </c>
      <c r="J49" s="5">
        <f t="shared" si="3"/>
        <v>4.5259922402625241</v>
      </c>
      <c r="K49" s="5">
        <f t="shared" si="4"/>
        <v>2.8293278684029932</v>
      </c>
    </row>
    <row r="50" spans="1:11" x14ac:dyDescent="0.35">
      <c r="A50" t="s">
        <v>175</v>
      </c>
      <c r="B50" t="s">
        <v>90</v>
      </c>
      <c r="C50" t="s">
        <v>149</v>
      </c>
      <c r="D50" t="s">
        <v>48</v>
      </c>
      <c r="E50">
        <v>1836</v>
      </c>
      <c r="F50">
        <v>73388437</v>
      </c>
      <c r="G50">
        <v>152820755</v>
      </c>
      <c r="H50" s="5">
        <f t="shared" si="2"/>
        <v>39971.91557734205</v>
      </c>
      <c r="I50">
        <v>695208674</v>
      </c>
      <c r="J50" s="5">
        <f t="shared" si="3"/>
        <v>9.4730001403354596</v>
      </c>
      <c r="K50" s="5">
        <f t="shared" si="4"/>
        <v>4.5491770669501008</v>
      </c>
    </row>
    <row r="51" spans="1:11" x14ac:dyDescent="0.35">
      <c r="A51" t="s">
        <v>175</v>
      </c>
      <c r="B51" t="s">
        <v>90</v>
      </c>
      <c r="C51" t="s">
        <v>150</v>
      </c>
      <c r="D51" t="s">
        <v>50</v>
      </c>
      <c r="E51">
        <v>675</v>
      </c>
      <c r="F51">
        <v>28309317</v>
      </c>
      <c r="G51">
        <v>49706094</v>
      </c>
      <c r="H51" s="5">
        <f t="shared" si="2"/>
        <v>41939.728888888887</v>
      </c>
      <c r="I51">
        <v>167466564</v>
      </c>
      <c r="J51" s="5">
        <f t="shared" si="3"/>
        <v>5.9155988821630698</v>
      </c>
      <c r="K51" s="5">
        <f t="shared" si="4"/>
        <v>3.3691354625450955</v>
      </c>
    </row>
    <row r="52" spans="1:11" x14ac:dyDescent="0.35">
      <c r="A52" t="s">
        <v>175</v>
      </c>
      <c r="B52" t="s">
        <v>90</v>
      </c>
      <c r="C52" t="s">
        <v>151</v>
      </c>
      <c r="D52" t="s">
        <v>49</v>
      </c>
      <c r="E52">
        <v>72</v>
      </c>
      <c r="F52">
        <v>3793643</v>
      </c>
      <c r="G52">
        <v>2905744</v>
      </c>
      <c r="H52" s="5">
        <f t="shared" si="2"/>
        <v>52689.486111111109</v>
      </c>
      <c r="I52">
        <v>14255854</v>
      </c>
      <c r="J52" s="5">
        <f t="shared" si="3"/>
        <v>3.7578269752847064</v>
      </c>
      <c r="K52" s="5">
        <f t="shared" si="4"/>
        <v>4.9060942739621938</v>
      </c>
    </row>
    <row r="53" spans="1:11" x14ac:dyDescent="0.35">
      <c r="A53" t="s">
        <v>176</v>
      </c>
      <c r="B53" t="s">
        <v>90</v>
      </c>
      <c r="C53" t="s">
        <v>96</v>
      </c>
      <c r="D53" t="s">
        <v>4</v>
      </c>
      <c r="E53">
        <v>40</v>
      </c>
      <c r="F53">
        <v>805845</v>
      </c>
      <c r="G53">
        <v>131456</v>
      </c>
      <c r="H53" s="5">
        <f>F53/E53</f>
        <v>20146.125</v>
      </c>
      <c r="I53">
        <v>830601</v>
      </c>
      <c r="J53" s="5">
        <f t="shared" si="3"/>
        <v>1.0307205479962027</v>
      </c>
      <c r="K53" s="5">
        <f t="shared" si="4"/>
        <v>6.3184715798442062</v>
      </c>
    </row>
    <row r="54" spans="1:11" x14ac:dyDescent="0.35">
      <c r="A54" t="s">
        <v>176</v>
      </c>
      <c r="B54" t="s">
        <v>90</v>
      </c>
      <c r="C54" t="s">
        <v>97</v>
      </c>
      <c r="D54" t="s">
        <v>3</v>
      </c>
      <c r="E54">
        <v>203</v>
      </c>
      <c r="F54">
        <v>3979883</v>
      </c>
      <c r="G54">
        <v>712269</v>
      </c>
      <c r="H54" s="5">
        <f t="shared" ref="H54:H117" si="5">F54/E54</f>
        <v>19605.334975369457</v>
      </c>
      <c r="I54">
        <v>7542911</v>
      </c>
      <c r="J54" s="5">
        <f t="shared" si="3"/>
        <v>1.8952594837586934</v>
      </c>
      <c r="K54" s="5">
        <f t="shared" si="4"/>
        <v>10.589975135798413</v>
      </c>
    </row>
    <row r="55" spans="1:11" x14ac:dyDescent="0.35">
      <c r="A55" t="s">
        <v>176</v>
      </c>
      <c r="B55" t="s">
        <v>90</v>
      </c>
      <c r="C55" t="s">
        <v>98</v>
      </c>
      <c r="D55" t="s">
        <v>6</v>
      </c>
      <c r="E55">
        <v>24</v>
      </c>
      <c r="F55">
        <v>753872</v>
      </c>
      <c r="G55">
        <v>97721</v>
      </c>
      <c r="H55" s="5">
        <f t="shared" si="5"/>
        <v>31411.333333333332</v>
      </c>
      <c r="I55">
        <v>781383</v>
      </c>
      <c r="J55" s="5">
        <f t="shared" si="3"/>
        <v>1.0364929324872127</v>
      </c>
      <c r="K55" s="5">
        <f t="shared" si="4"/>
        <v>7.9960602122368787</v>
      </c>
    </row>
    <row r="56" spans="1:11" x14ac:dyDescent="0.35">
      <c r="A56" t="s">
        <v>176</v>
      </c>
      <c r="B56" t="s">
        <v>90</v>
      </c>
      <c r="C56" t="s">
        <v>101</v>
      </c>
      <c r="D56" t="s">
        <v>5</v>
      </c>
      <c r="E56">
        <v>264</v>
      </c>
      <c r="F56">
        <v>7608133</v>
      </c>
      <c r="G56">
        <v>1005438</v>
      </c>
      <c r="H56" s="5">
        <f t="shared" si="5"/>
        <v>28818.685606060608</v>
      </c>
      <c r="I56">
        <v>8436070</v>
      </c>
      <c r="J56" s="5">
        <f t="shared" si="3"/>
        <v>1.1088226244204722</v>
      </c>
      <c r="K56" s="5">
        <f t="shared" si="4"/>
        <v>8.3904427722047501</v>
      </c>
    </row>
    <row r="57" spans="1:11" x14ac:dyDescent="0.35">
      <c r="A57" t="s">
        <v>176</v>
      </c>
      <c r="B57" t="s">
        <v>90</v>
      </c>
      <c r="C57" t="s">
        <v>102</v>
      </c>
      <c r="D57" t="s">
        <v>7</v>
      </c>
      <c r="E57">
        <v>2972</v>
      </c>
      <c r="F57">
        <v>79854385</v>
      </c>
      <c r="G57">
        <v>10840289</v>
      </c>
      <c r="H57" s="5">
        <f t="shared" si="5"/>
        <v>26868.904777927321</v>
      </c>
      <c r="I57">
        <v>106324989</v>
      </c>
      <c r="J57" s="5">
        <f t="shared" si="3"/>
        <v>1.3314859165216788</v>
      </c>
      <c r="K57" s="5">
        <f t="shared" si="4"/>
        <v>9.8083168262395954</v>
      </c>
    </row>
    <row r="58" spans="1:11" x14ac:dyDescent="0.35">
      <c r="A58" t="s">
        <v>176</v>
      </c>
      <c r="B58" t="s">
        <v>90</v>
      </c>
      <c r="C58" t="s">
        <v>103</v>
      </c>
      <c r="D58" t="s">
        <v>8</v>
      </c>
      <c r="E58">
        <v>496</v>
      </c>
      <c r="F58">
        <v>12794177</v>
      </c>
      <c r="G58">
        <v>1390523</v>
      </c>
      <c r="H58" s="5">
        <f t="shared" si="5"/>
        <v>25794.711693548386</v>
      </c>
      <c r="I58">
        <v>12176852</v>
      </c>
      <c r="J58" s="5">
        <f t="shared" si="3"/>
        <v>0.95174953418262076</v>
      </c>
      <c r="K58" s="5">
        <f t="shared" si="4"/>
        <v>8.7570302684673322</v>
      </c>
    </row>
    <row r="59" spans="1:11" x14ac:dyDescent="0.35">
      <c r="A59" t="s">
        <v>176</v>
      </c>
      <c r="B59" t="s">
        <v>90</v>
      </c>
      <c r="C59" t="s">
        <v>104</v>
      </c>
      <c r="D59" t="s">
        <v>9</v>
      </c>
      <c r="E59">
        <v>340</v>
      </c>
      <c r="F59">
        <v>8793967</v>
      </c>
      <c r="G59">
        <v>1238708</v>
      </c>
      <c r="H59" s="5">
        <f t="shared" si="5"/>
        <v>25864.608823529412</v>
      </c>
      <c r="I59">
        <v>9495131</v>
      </c>
      <c r="J59" s="5">
        <f t="shared" si="3"/>
        <v>1.0797323892618655</v>
      </c>
      <c r="K59" s="5">
        <f t="shared" si="4"/>
        <v>7.6653505103704829</v>
      </c>
    </row>
    <row r="60" spans="1:11" x14ac:dyDescent="0.35">
      <c r="A60" t="s">
        <v>176</v>
      </c>
      <c r="B60" t="s">
        <v>90</v>
      </c>
      <c r="C60" t="s">
        <v>105</v>
      </c>
      <c r="D60" t="s">
        <v>11</v>
      </c>
      <c r="E60">
        <v>754</v>
      </c>
      <c r="F60">
        <v>19685883</v>
      </c>
      <c r="G60">
        <v>2212686</v>
      </c>
      <c r="H60" s="5">
        <f t="shared" si="5"/>
        <v>26108.598143236075</v>
      </c>
      <c r="I60">
        <v>21875322</v>
      </c>
      <c r="J60" s="5">
        <f t="shared" si="3"/>
        <v>1.1112187347654154</v>
      </c>
      <c r="K60" s="5">
        <f t="shared" si="4"/>
        <v>9.8863200652962053</v>
      </c>
    </row>
    <row r="61" spans="1:11" x14ac:dyDescent="0.35">
      <c r="A61" t="s">
        <v>176</v>
      </c>
      <c r="B61" t="s">
        <v>90</v>
      </c>
      <c r="C61" t="s">
        <v>106</v>
      </c>
      <c r="D61" t="s">
        <v>10</v>
      </c>
      <c r="E61">
        <v>294</v>
      </c>
      <c r="F61">
        <v>8098492</v>
      </c>
      <c r="G61">
        <v>946607</v>
      </c>
      <c r="H61" s="5">
        <f t="shared" si="5"/>
        <v>27545.891156462585</v>
      </c>
      <c r="I61">
        <v>12077680</v>
      </c>
      <c r="J61" s="5">
        <f t="shared" si="3"/>
        <v>1.4913492536635216</v>
      </c>
      <c r="K61" s="5">
        <f t="shared" si="4"/>
        <v>12.758916847223821</v>
      </c>
    </row>
    <row r="62" spans="1:11" x14ac:dyDescent="0.35">
      <c r="A62" t="s">
        <v>176</v>
      </c>
      <c r="B62" t="s">
        <v>90</v>
      </c>
      <c r="C62" t="s">
        <v>107</v>
      </c>
      <c r="D62" t="s">
        <v>12</v>
      </c>
      <c r="E62">
        <v>2024</v>
      </c>
      <c r="F62">
        <v>69252887</v>
      </c>
      <c r="G62">
        <v>7456694</v>
      </c>
      <c r="H62" s="5">
        <f t="shared" si="5"/>
        <v>34215.853260869568</v>
      </c>
      <c r="I62">
        <v>85525469</v>
      </c>
      <c r="J62" s="5">
        <f t="shared" si="3"/>
        <v>1.2349733376458372</v>
      </c>
      <c r="K62" s="5">
        <f t="shared" si="4"/>
        <v>11.469622999146807</v>
      </c>
    </row>
    <row r="63" spans="1:11" x14ac:dyDescent="0.35">
      <c r="A63" t="s">
        <v>176</v>
      </c>
      <c r="B63" t="s">
        <v>90</v>
      </c>
      <c r="C63" t="s">
        <v>108</v>
      </c>
      <c r="D63" t="s">
        <v>13</v>
      </c>
      <c r="E63">
        <v>273</v>
      </c>
      <c r="F63">
        <v>10051304</v>
      </c>
      <c r="G63">
        <v>1142670</v>
      </c>
      <c r="H63" s="5">
        <f t="shared" si="5"/>
        <v>36817.96336996337</v>
      </c>
      <c r="I63">
        <v>13461427</v>
      </c>
      <c r="J63" s="5">
        <f t="shared" si="3"/>
        <v>1.3392717004679193</v>
      </c>
      <c r="K63" s="5">
        <f t="shared" si="4"/>
        <v>11.780677710975173</v>
      </c>
    </row>
    <row r="64" spans="1:11" x14ac:dyDescent="0.35">
      <c r="A64" t="s">
        <v>176</v>
      </c>
      <c r="B64" t="s">
        <v>90</v>
      </c>
      <c r="C64" t="s">
        <v>111</v>
      </c>
      <c r="D64" t="s">
        <v>14</v>
      </c>
      <c r="E64">
        <v>282</v>
      </c>
      <c r="F64">
        <v>8484163</v>
      </c>
      <c r="G64">
        <v>1477210</v>
      </c>
      <c r="H64" s="5">
        <f t="shared" si="5"/>
        <v>30085.684397163121</v>
      </c>
      <c r="I64">
        <v>15106079</v>
      </c>
      <c r="J64" s="5">
        <f t="shared" si="3"/>
        <v>1.7805031562924947</v>
      </c>
      <c r="K64" s="5">
        <f t="shared" si="4"/>
        <v>10.226087692338936</v>
      </c>
    </row>
    <row r="65" spans="1:11" x14ac:dyDescent="0.35">
      <c r="A65" t="s">
        <v>176</v>
      </c>
      <c r="B65" t="s">
        <v>90</v>
      </c>
      <c r="C65" t="s">
        <v>112</v>
      </c>
      <c r="D65" t="s">
        <v>18</v>
      </c>
      <c r="E65">
        <v>122</v>
      </c>
      <c r="F65">
        <v>2478934</v>
      </c>
      <c r="G65">
        <v>515505</v>
      </c>
      <c r="H65" s="5">
        <f t="shared" si="5"/>
        <v>20319.131147540982</v>
      </c>
      <c r="I65">
        <v>3402341</v>
      </c>
      <c r="J65" s="5">
        <f t="shared" si="3"/>
        <v>1.3725016478857444</v>
      </c>
      <c r="K65" s="5">
        <f t="shared" si="4"/>
        <v>6.6000155187631542</v>
      </c>
    </row>
    <row r="66" spans="1:11" x14ac:dyDescent="0.35">
      <c r="A66" t="s">
        <v>176</v>
      </c>
      <c r="B66" t="s">
        <v>90</v>
      </c>
      <c r="C66" t="s">
        <v>113</v>
      </c>
      <c r="D66" t="s">
        <v>15</v>
      </c>
      <c r="E66">
        <v>30</v>
      </c>
      <c r="F66">
        <v>605559</v>
      </c>
      <c r="G66">
        <v>107927</v>
      </c>
      <c r="H66" s="5">
        <f t="shared" si="5"/>
        <v>20185.3</v>
      </c>
      <c r="I66">
        <v>632405</v>
      </c>
      <c r="J66" s="5">
        <f t="shared" ref="J66:J97" si="6">I66/F66</f>
        <v>1.0443325918696609</v>
      </c>
      <c r="K66" s="5">
        <f t="shared" ref="K66:K97" si="7">I66/G66</f>
        <v>5.8595624820480507</v>
      </c>
    </row>
    <row r="67" spans="1:11" x14ac:dyDescent="0.35">
      <c r="A67" t="s">
        <v>176</v>
      </c>
      <c r="B67" t="s">
        <v>90</v>
      </c>
      <c r="C67" t="s">
        <v>114</v>
      </c>
      <c r="D67" t="s">
        <v>16</v>
      </c>
      <c r="E67">
        <v>1351</v>
      </c>
      <c r="F67">
        <v>36592023</v>
      </c>
      <c r="G67">
        <v>5218890</v>
      </c>
      <c r="H67" s="5">
        <f t="shared" si="5"/>
        <v>27085.139156180609</v>
      </c>
      <c r="I67">
        <v>43403669</v>
      </c>
      <c r="J67" s="5">
        <f t="shared" si="6"/>
        <v>1.18615111823689</v>
      </c>
      <c r="K67" s="5">
        <f t="shared" si="7"/>
        <v>8.3166476013098567</v>
      </c>
    </row>
    <row r="68" spans="1:11" x14ac:dyDescent="0.35">
      <c r="A68" t="s">
        <v>176</v>
      </c>
      <c r="B68" t="s">
        <v>90</v>
      </c>
      <c r="C68" t="s">
        <v>115</v>
      </c>
      <c r="D68" t="s">
        <v>17</v>
      </c>
      <c r="E68">
        <v>219</v>
      </c>
      <c r="F68">
        <v>5946495</v>
      </c>
      <c r="G68">
        <v>870307</v>
      </c>
      <c r="H68" s="5">
        <f t="shared" si="5"/>
        <v>27152.945205479453</v>
      </c>
      <c r="I68">
        <v>7054461</v>
      </c>
      <c r="J68" s="5">
        <f t="shared" si="6"/>
        <v>1.1863225311717238</v>
      </c>
      <c r="K68" s="5">
        <f t="shared" si="7"/>
        <v>8.1057155693335794</v>
      </c>
    </row>
    <row r="69" spans="1:11" x14ac:dyDescent="0.35">
      <c r="A69" t="s">
        <v>176</v>
      </c>
      <c r="B69" t="s">
        <v>90</v>
      </c>
      <c r="C69" t="s">
        <v>116</v>
      </c>
      <c r="D69" t="s">
        <v>19</v>
      </c>
      <c r="E69">
        <v>69</v>
      </c>
      <c r="F69">
        <v>1549758</v>
      </c>
      <c r="G69">
        <v>240664</v>
      </c>
      <c r="H69" s="5">
        <f t="shared" si="5"/>
        <v>22460.260869565216</v>
      </c>
      <c r="I69">
        <v>1526593</v>
      </c>
      <c r="J69" s="5">
        <f t="shared" si="6"/>
        <v>0.98505250497174401</v>
      </c>
      <c r="K69" s="5">
        <f t="shared" si="7"/>
        <v>6.3432544958946915</v>
      </c>
    </row>
    <row r="70" spans="1:11" x14ac:dyDescent="0.35">
      <c r="A70" t="s">
        <v>176</v>
      </c>
      <c r="B70" t="s">
        <v>90</v>
      </c>
      <c r="C70" t="s">
        <v>117</v>
      </c>
      <c r="D70" t="s">
        <v>20</v>
      </c>
      <c r="E70">
        <v>250</v>
      </c>
      <c r="F70">
        <v>8743560</v>
      </c>
      <c r="G70">
        <v>965350</v>
      </c>
      <c r="H70" s="5">
        <f t="shared" si="5"/>
        <v>34974.239999999998</v>
      </c>
      <c r="I70">
        <v>9263728</v>
      </c>
      <c r="J70" s="5">
        <f t="shared" si="6"/>
        <v>1.0594915572146815</v>
      </c>
      <c r="K70" s="5">
        <f t="shared" si="7"/>
        <v>9.596237634018749</v>
      </c>
    </row>
    <row r="71" spans="1:11" x14ac:dyDescent="0.35">
      <c r="A71" t="s">
        <v>176</v>
      </c>
      <c r="B71" t="s">
        <v>90</v>
      </c>
      <c r="C71" t="s">
        <v>118</v>
      </c>
      <c r="D71" t="s">
        <v>21</v>
      </c>
      <c r="E71">
        <v>107</v>
      </c>
      <c r="F71">
        <v>3604538</v>
      </c>
      <c r="G71">
        <v>507446</v>
      </c>
      <c r="H71" s="5">
        <f t="shared" si="5"/>
        <v>33687.271028037387</v>
      </c>
      <c r="I71">
        <v>4756887</v>
      </c>
      <c r="J71" s="5">
        <f t="shared" si="6"/>
        <v>1.3196939524565978</v>
      </c>
      <c r="K71" s="5">
        <f t="shared" si="7"/>
        <v>9.3741738037150757</v>
      </c>
    </row>
    <row r="72" spans="1:11" x14ac:dyDescent="0.35">
      <c r="A72" t="s">
        <v>176</v>
      </c>
      <c r="B72" t="s">
        <v>90</v>
      </c>
      <c r="C72" t="s">
        <v>119</v>
      </c>
      <c r="D72" t="s">
        <v>24</v>
      </c>
      <c r="E72">
        <v>1376</v>
      </c>
      <c r="F72">
        <v>30658293</v>
      </c>
      <c r="G72">
        <v>4115064</v>
      </c>
      <c r="H72" s="5">
        <f t="shared" si="5"/>
        <v>22280.736191860466</v>
      </c>
      <c r="I72">
        <v>31002571</v>
      </c>
      <c r="J72" s="5">
        <f t="shared" si="6"/>
        <v>1.0112295227917614</v>
      </c>
      <c r="K72" s="5">
        <f t="shared" si="7"/>
        <v>7.533921951153129</v>
      </c>
    </row>
    <row r="73" spans="1:11" x14ac:dyDescent="0.35">
      <c r="A73" t="s">
        <v>176</v>
      </c>
      <c r="B73" t="s">
        <v>90</v>
      </c>
      <c r="C73" t="s">
        <v>120</v>
      </c>
      <c r="D73" t="s">
        <v>23</v>
      </c>
      <c r="E73">
        <v>604</v>
      </c>
      <c r="F73">
        <v>22807280</v>
      </c>
      <c r="G73">
        <v>2585097</v>
      </c>
      <c r="H73" s="5">
        <f t="shared" si="5"/>
        <v>37760.397350993378</v>
      </c>
      <c r="I73">
        <v>25690622</v>
      </c>
      <c r="J73" s="5">
        <f t="shared" si="6"/>
        <v>1.1264220020975759</v>
      </c>
      <c r="K73" s="5">
        <f t="shared" si="7"/>
        <v>9.937972153462713</v>
      </c>
    </row>
    <row r="74" spans="1:11" x14ac:dyDescent="0.35">
      <c r="A74" t="s">
        <v>176</v>
      </c>
      <c r="B74" t="s">
        <v>90</v>
      </c>
      <c r="C74" t="s">
        <v>121</v>
      </c>
      <c r="D74" t="s">
        <v>22</v>
      </c>
      <c r="E74">
        <v>17</v>
      </c>
      <c r="F74">
        <v>217199</v>
      </c>
      <c r="G74">
        <v>50183</v>
      </c>
      <c r="H74" s="5">
        <f t="shared" si="5"/>
        <v>12776.411764705883</v>
      </c>
      <c r="I74">
        <v>222552</v>
      </c>
      <c r="J74" s="5">
        <f t="shared" si="6"/>
        <v>1.0246456014990861</v>
      </c>
      <c r="K74" s="5">
        <f t="shared" si="7"/>
        <v>4.4348086005220893</v>
      </c>
    </row>
    <row r="75" spans="1:11" x14ac:dyDescent="0.35">
      <c r="A75" t="s">
        <v>176</v>
      </c>
      <c r="B75" t="s">
        <v>90</v>
      </c>
      <c r="C75" t="s">
        <v>122</v>
      </c>
      <c r="D75" t="s">
        <v>25</v>
      </c>
      <c r="E75">
        <v>908</v>
      </c>
      <c r="F75">
        <v>24139610</v>
      </c>
      <c r="G75">
        <v>3508651</v>
      </c>
      <c r="H75" s="5">
        <f t="shared" si="5"/>
        <v>26585.473568281937</v>
      </c>
      <c r="I75">
        <v>31139750</v>
      </c>
      <c r="J75" s="5">
        <f t="shared" si="6"/>
        <v>1.2899856294281473</v>
      </c>
      <c r="K75" s="5">
        <f t="shared" si="7"/>
        <v>8.8751346315150759</v>
      </c>
    </row>
    <row r="76" spans="1:11" x14ac:dyDescent="0.35">
      <c r="A76" t="s">
        <v>176</v>
      </c>
      <c r="B76" t="s">
        <v>90</v>
      </c>
      <c r="C76" t="s">
        <v>123</v>
      </c>
      <c r="D76" t="s">
        <v>26</v>
      </c>
      <c r="E76">
        <v>658</v>
      </c>
      <c r="F76">
        <v>28582613</v>
      </c>
      <c r="G76">
        <v>2985672</v>
      </c>
      <c r="H76" s="5">
        <f t="shared" si="5"/>
        <v>43438.621580547115</v>
      </c>
      <c r="I76">
        <v>31735873</v>
      </c>
      <c r="J76" s="5">
        <f t="shared" si="6"/>
        <v>1.1103209143264823</v>
      </c>
      <c r="K76" s="5">
        <f t="shared" si="7"/>
        <v>10.629390301412881</v>
      </c>
    </row>
    <row r="77" spans="1:11" x14ac:dyDescent="0.35">
      <c r="A77" t="s">
        <v>176</v>
      </c>
      <c r="B77" t="s">
        <v>90</v>
      </c>
      <c r="C77" t="s">
        <v>124</v>
      </c>
      <c r="D77" t="s">
        <v>28</v>
      </c>
      <c r="E77">
        <v>180</v>
      </c>
      <c r="F77">
        <v>7808514</v>
      </c>
      <c r="G77">
        <v>868659</v>
      </c>
      <c r="H77" s="5">
        <f t="shared" si="5"/>
        <v>43380.633333333331</v>
      </c>
      <c r="I77">
        <v>8537325</v>
      </c>
      <c r="J77" s="5">
        <f t="shared" si="6"/>
        <v>1.0933354284822951</v>
      </c>
      <c r="K77" s="5">
        <f t="shared" si="7"/>
        <v>9.8281661733775856</v>
      </c>
    </row>
    <row r="78" spans="1:11" x14ac:dyDescent="0.35">
      <c r="A78" t="s">
        <v>176</v>
      </c>
      <c r="B78" t="s">
        <v>90</v>
      </c>
      <c r="C78" t="s">
        <v>125</v>
      </c>
      <c r="D78" t="s">
        <v>27</v>
      </c>
      <c r="E78">
        <v>27</v>
      </c>
      <c r="F78">
        <v>635540</v>
      </c>
      <c r="G78">
        <v>89278</v>
      </c>
      <c r="H78" s="5">
        <f t="shared" si="5"/>
        <v>23538.518518518518</v>
      </c>
      <c r="I78">
        <v>810404</v>
      </c>
      <c r="J78" s="5">
        <f t="shared" si="6"/>
        <v>1.2751423985901753</v>
      </c>
      <c r="K78" s="5">
        <f t="shared" si="7"/>
        <v>9.0773090795044684</v>
      </c>
    </row>
    <row r="79" spans="1:11" x14ac:dyDescent="0.35">
      <c r="A79" t="s">
        <v>176</v>
      </c>
      <c r="B79" t="s">
        <v>90</v>
      </c>
      <c r="C79" t="s">
        <v>126</v>
      </c>
      <c r="D79" t="s">
        <v>29</v>
      </c>
      <c r="E79">
        <v>31</v>
      </c>
      <c r="F79">
        <v>554560</v>
      </c>
      <c r="G79">
        <v>131636</v>
      </c>
      <c r="H79" s="5">
        <f t="shared" si="5"/>
        <v>17889.032258064515</v>
      </c>
      <c r="I79">
        <v>556683</v>
      </c>
      <c r="J79" s="5">
        <f t="shared" si="6"/>
        <v>1.0038282602423543</v>
      </c>
      <c r="K79" s="5">
        <f t="shared" si="7"/>
        <v>4.2289571241909512</v>
      </c>
    </row>
    <row r="80" spans="1:11" x14ac:dyDescent="0.35">
      <c r="A80" t="s">
        <v>176</v>
      </c>
      <c r="B80" t="s">
        <v>90</v>
      </c>
      <c r="C80" t="s">
        <v>127</v>
      </c>
      <c r="D80" t="s">
        <v>253</v>
      </c>
      <c r="E80">
        <v>415</v>
      </c>
      <c r="F80">
        <v>13598397</v>
      </c>
      <c r="G80">
        <v>1694003</v>
      </c>
      <c r="H80" s="5">
        <f t="shared" si="5"/>
        <v>32767.221686746987</v>
      </c>
      <c r="I80">
        <v>16080366</v>
      </c>
      <c r="J80" s="5">
        <f t="shared" si="6"/>
        <v>1.1825192337008545</v>
      </c>
      <c r="K80" s="5">
        <f t="shared" si="7"/>
        <v>9.4925251017855334</v>
      </c>
    </row>
    <row r="81" spans="1:11" x14ac:dyDescent="0.35">
      <c r="A81" t="s">
        <v>176</v>
      </c>
      <c r="B81" t="s">
        <v>90</v>
      </c>
      <c r="C81" t="s">
        <v>128</v>
      </c>
      <c r="D81" t="s">
        <v>36</v>
      </c>
      <c r="E81">
        <v>24</v>
      </c>
      <c r="F81">
        <v>575731</v>
      </c>
      <c r="G81">
        <v>118532</v>
      </c>
      <c r="H81" s="5">
        <f t="shared" si="5"/>
        <v>23988.791666666668</v>
      </c>
      <c r="I81">
        <v>504351</v>
      </c>
      <c r="J81" s="5">
        <f t="shared" si="6"/>
        <v>0.87601848780072633</v>
      </c>
      <c r="K81" s="5">
        <f t="shared" si="7"/>
        <v>4.2549775588026861</v>
      </c>
    </row>
    <row r="82" spans="1:11" x14ac:dyDescent="0.35">
      <c r="A82" t="s">
        <v>176</v>
      </c>
      <c r="B82" t="s">
        <v>90</v>
      </c>
      <c r="C82" t="s">
        <v>129</v>
      </c>
      <c r="D82" t="s">
        <v>30</v>
      </c>
      <c r="E82">
        <v>38</v>
      </c>
      <c r="F82">
        <v>928568</v>
      </c>
      <c r="G82">
        <v>144646</v>
      </c>
      <c r="H82" s="5">
        <f t="shared" si="5"/>
        <v>24436</v>
      </c>
      <c r="I82">
        <v>919143</v>
      </c>
      <c r="J82" s="5">
        <f t="shared" si="6"/>
        <v>0.98984996252293855</v>
      </c>
      <c r="K82" s="5">
        <f t="shared" si="7"/>
        <v>6.3544308173056985</v>
      </c>
    </row>
    <row r="83" spans="1:11" x14ac:dyDescent="0.35">
      <c r="A83" t="s">
        <v>176</v>
      </c>
      <c r="B83" t="s">
        <v>90</v>
      </c>
      <c r="C83" t="s">
        <v>130</v>
      </c>
      <c r="D83" t="s">
        <v>32</v>
      </c>
      <c r="E83">
        <v>14</v>
      </c>
      <c r="F83">
        <v>357240</v>
      </c>
      <c r="G83">
        <v>42585</v>
      </c>
      <c r="H83" s="5">
        <f t="shared" si="5"/>
        <v>25517.142857142859</v>
      </c>
      <c r="I83">
        <v>273028</v>
      </c>
      <c r="J83" s="5">
        <f t="shared" si="6"/>
        <v>0.76427051841899007</v>
      </c>
      <c r="K83" s="5">
        <f t="shared" si="7"/>
        <v>6.4113655042855466</v>
      </c>
    </row>
    <row r="84" spans="1:11" x14ac:dyDescent="0.35">
      <c r="A84" t="s">
        <v>176</v>
      </c>
      <c r="B84" t="s">
        <v>90</v>
      </c>
      <c r="C84" t="s">
        <v>131</v>
      </c>
      <c r="D84" t="s">
        <v>33</v>
      </c>
      <c r="E84">
        <v>594</v>
      </c>
      <c r="F84">
        <v>19400616</v>
      </c>
      <c r="G84">
        <v>2273094</v>
      </c>
      <c r="H84" s="5">
        <f t="shared" si="5"/>
        <v>32660.969696969696</v>
      </c>
      <c r="I84">
        <v>14645251</v>
      </c>
      <c r="J84" s="5">
        <f t="shared" si="6"/>
        <v>0.75488587578868627</v>
      </c>
      <c r="K84" s="5">
        <f t="shared" si="7"/>
        <v>6.4428708183647485</v>
      </c>
    </row>
    <row r="85" spans="1:11" x14ac:dyDescent="0.35">
      <c r="A85" t="s">
        <v>176</v>
      </c>
      <c r="B85" t="s">
        <v>90</v>
      </c>
      <c r="C85" t="s">
        <v>132</v>
      </c>
      <c r="D85" t="s">
        <v>34</v>
      </c>
      <c r="E85">
        <v>97</v>
      </c>
      <c r="F85">
        <v>2757303</v>
      </c>
      <c r="G85">
        <v>359448</v>
      </c>
      <c r="H85" s="5">
        <f t="shared" si="5"/>
        <v>28425.804123711339</v>
      </c>
      <c r="I85">
        <v>3159925</v>
      </c>
      <c r="J85" s="5">
        <f t="shared" si="6"/>
        <v>1.1460202233849526</v>
      </c>
      <c r="K85" s="5">
        <f t="shared" si="7"/>
        <v>8.7910490529923653</v>
      </c>
    </row>
    <row r="86" spans="1:11" x14ac:dyDescent="0.35">
      <c r="A86" t="s">
        <v>176</v>
      </c>
      <c r="B86" t="s">
        <v>90</v>
      </c>
      <c r="C86" t="s">
        <v>133</v>
      </c>
      <c r="D86" t="s">
        <v>31</v>
      </c>
      <c r="E86">
        <v>428</v>
      </c>
      <c r="F86">
        <v>12736064</v>
      </c>
      <c r="G86">
        <v>1581720</v>
      </c>
      <c r="H86" s="5">
        <f t="shared" si="5"/>
        <v>29757.158878504673</v>
      </c>
      <c r="I86">
        <v>16333009</v>
      </c>
      <c r="J86" s="5">
        <f t="shared" si="6"/>
        <v>1.2824220261455972</v>
      </c>
      <c r="K86" s="5">
        <f t="shared" si="7"/>
        <v>10.326106390511596</v>
      </c>
    </row>
    <row r="87" spans="1:11" x14ac:dyDescent="0.35">
      <c r="A87" t="s">
        <v>176</v>
      </c>
      <c r="B87" t="s">
        <v>90</v>
      </c>
      <c r="C87" t="s">
        <v>134</v>
      </c>
      <c r="D87" t="s">
        <v>35</v>
      </c>
      <c r="E87">
        <v>2260</v>
      </c>
      <c r="F87">
        <v>61042966</v>
      </c>
      <c r="G87">
        <v>7239004</v>
      </c>
      <c r="H87" s="5">
        <f t="shared" si="5"/>
        <v>27010.161946902655</v>
      </c>
      <c r="I87">
        <v>67387866</v>
      </c>
      <c r="J87" s="5">
        <f t="shared" si="6"/>
        <v>1.103941541765844</v>
      </c>
      <c r="K87" s="5">
        <f t="shared" si="7"/>
        <v>9.308996928306712</v>
      </c>
    </row>
    <row r="88" spans="1:11" x14ac:dyDescent="0.35">
      <c r="A88" t="s">
        <v>176</v>
      </c>
      <c r="B88" t="s">
        <v>90</v>
      </c>
      <c r="C88" t="s">
        <v>135</v>
      </c>
      <c r="D88" t="s">
        <v>37</v>
      </c>
      <c r="E88">
        <v>751</v>
      </c>
      <c r="F88">
        <v>24205092</v>
      </c>
      <c r="G88">
        <v>2786728</v>
      </c>
      <c r="H88" s="5">
        <f t="shared" si="5"/>
        <v>32230.482023968041</v>
      </c>
      <c r="I88">
        <v>25446060</v>
      </c>
      <c r="J88" s="5">
        <f t="shared" si="6"/>
        <v>1.0512688817708273</v>
      </c>
      <c r="K88" s="5">
        <f t="shared" si="7"/>
        <v>9.1311602711136501</v>
      </c>
    </row>
    <row r="89" spans="1:11" x14ac:dyDescent="0.35">
      <c r="A89" t="s">
        <v>176</v>
      </c>
      <c r="B89" t="s">
        <v>90</v>
      </c>
      <c r="C89" t="s">
        <v>136</v>
      </c>
      <c r="D89" t="s">
        <v>38</v>
      </c>
      <c r="E89">
        <v>45</v>
      </c>
      <c r="F89">
        <v>1455587</v>
      </c>
      <c r="G89">
        <v>160890</v>
      </c>
      <c r="H89" s="5">
        <f t="shared" si="5"/>
        <v>32346.37777777778</v>
      </c>
      <c r="I89">
        <v>1406808</v>
      </c>
      <c r="J89" s="5">
        <f t="shared" si="6"/>
        <v>0.96648843387581784</v>
      </c>
      <c r="K89" s="5">
        <f t="shared" si="7"/>
        <v>8.7439119895580824</v>
      </c>
    </row>
    <row r="90" spans="1:11" x14ac:dyDescent="0.35">
      <c r="A90" t="s">
        <v>176</v>
      </c>
      <c r="B90" t="s">
        <v>90</v>
      </c>
      <c r="C90" t="s">
        <v>137</v>
      </c>
      <c r="D90" t="s">
        <v>39</v>
      </c>
      <c r="E90">
        <v>407</v>
      </c>
      <c r="F90">
        <v>9279390</v>
      </c>
      <c r="G90">
        <v>1522685</v>
      </c>
      <c r="H90" s="5">
        <f t="shared" si="5"/>
        <v>22799.484029484029</v>
      </c>
      <c r="I90">
        <v>11526361</v>
      </c>
      <c r="J90" s="5">
        <f t="shared" si="6"/>
        <v>1.2421464126413482</v>
      </c>
      <c r="K90" s="5">
        <f t="shared" si="7"/>
        <v>7.5697606530569352</v>
      </c>
    </row>
    <row r="91" spans="1:11" x14ac:dyDescent="0.35">
      <c r="A91" t="s">
        <v>176</v>
      </c>
      <c r="B91" t="s">
        <v>90</v>
      </c>
      <c r="C91" t="s">
        <v>138</v>
      </c>
      <c r="D91" t="s">
        <v>40</v>
      </c>
      <c r="E91">
        <v>1475</v>
      </c>
      <c r="F91">
        <v>39492795</v>
      </c>
      <c r="G91">
        <v>5790455</v>
      </c>
      <c r="H91" s="5">
        <f t="shared" si="5"/>
        <v>26774.776271186442</v>
      </c>
      <c r="I91">
        <v>52116491</v>
      </c>
      <c r="J91" s="5">
        <f t="shared" si="6"/>
        <v>1.3196455454722817</v>
      </c>
      <c r="K91" s="5">
        <f t="shared" si="7"/>
        <v>9.0004137844089964</v>
      </c>
    </row>
    <row r="92" spans="1:11" x14ac:dyDescent="0.35">
      <c r="A92" t="s">
        <v>176</v>
      </c>
      <c r="B92" t="s">
        <v>90</v>
      </c>
      <c r="C92" t="s">
        <v>139</v>
      </c>
      <c r="D92" t="s">
        <v>87</v>
      </c>
      <c r="E92">
        <v>34</v>
      </c>
      <c r="F92">
        <v>653428</v>
      </c>
      <c r="G92">
        <v>94452</v>
      </c>
      <c r="H92" s="5">
        <f t="shared" si="5"/>
        <v>19218.470588235294</v>
      </c>
      <c r="I92">
        <v>1194301</v>
      </c>
      <c r="J92" s="5">
        <f t="shared" si="6"/>
        <v>1.8277468978984677</v>
      </c>
      <c r="K92" s="5">
        <f t="shared" si="7"/>
        <v>12.644528437724983</v>
      </c>
    </row>
    <row r="93" spans="1:11" x14ac:dyDescent="0.35">
      <c r="A93" t="s">
        <v>176</v>
      </c>
      <c r="B93" t="s">
        <v>90</v>
      </c>
      <c r="C93" t="s">
        <v>140</v>
      </c>
      <c r="D93" t="s">
        <v>41</v>
      </c>
      <c r="E93">
        <v>80</v>
      </c>
      <c r="F93">
        <v>2424533</v>
      </c>
      <c r="G93">
        <v>332010</v>
      </c>
      <c r="H93" s="5">
        <f t="shared" si="5"/>
        <v>30306.662499999999</v>
      </c>
      <c r="I93">
        <v>3375843</v>
      </c>
      <c r="J93" s="5">
        <f t="shared" si="6"/>
        <v>1.3923683447492774</v>
      </c>
      <c r="K93" s="5">
        <f t="shared" si="7"/>
        <v>10.1678955453149</v>
      </c>
    </row>
    <row r="94" spans="1:11" x14ac:dyDescent="0.35">
      <c r="A94" t="s">
        <v>176</v>
      </c>
      <c r="B94" t="s">
        <v>90</v>
      </c>
      <c r="C94" t="s">
        <v>141</v>
      </c>
      <c r="D94" t="s">
        <v>254</v>
      </c>
      <c r="E94">
        <v>106</v>
      </c>
      <c r="F94">
        <v>3006886</v>
      </c>
      <c r="G94">
        <v>307444</v>
      </c>
      <c r="H94" s="5">
        <f t="shared" si="5"/>
        <v>28366.849056603773</v>
      </c>
      <c r="I94">
        <v>3742991</v>
      </c>
      <c r="J94" s="5">
        <f t="shared" si="6"/>
        <v>1.2448064209950094</v>
      </c>
      <c r="K94" s="5">
        <f t="shared" si="7"/>
        <v>12.174545608305904</v>
      </c>
    </row>
    <row r="95" spans="1:11" x14ac:dyDescent="0.35">
      <c r="A95" t="s">
        <v>176</v>
      </c>
      <c r="B95" t="s">
        <v>90</v>
      </c>
      <c r="C95" t="s">
        <v>142</v>
      </c>
      <c r="D95" t="s">
        <v>42</v>
      </c>
      <c r="E95">
        <v>16</v>
      </c>
      <c r="F95">
        <v>420615</v>
      </c>
      <c r="G95">
        <v>84086</v>
      </c>
      <c r="H95" s="5">
        <f t="shared" si="5"/>
        <v>26288.4375</v>
      </c>
      <c r="I95">
        <v>565450</v>
      </c>
      <c r="J95" s="5">
        <f t="shared" si="6"/>
        <v>1.3443410244522902</v>
      </c>
      <c r="K95" s="5">
        <f t="shared" si="7"/>
        <v>6.7246628451823129</v>
      </c>
    </row>
    <row r="96" spans="1:11" x14ac:dyDescent="0.35">
      <c r="A96" t="s">
        <v>176</v>
      </c>
      <c r="B96" t="s">
        <v>90</v>
      </c>
      <c r="C96" t="s">
        <v>143</v>
      </c>
      <c r="D96" t="s">
        <v>43</v>
      </c>
      <c r="E96">
        <v>234</v>
      </c>
      <c r="F96">
        <v>9042593</v>
      </c>
      <c r="G96">
        <v>965054</v>
      </c>
      <c r="H96" s="5">
        <f t="shared" si="5"/>
        <v>38643.559829059828</v>
      </c>
      <c r="I96">
        <v>11179988</v>
      </c>
      <c r="J96" s="5">
        <f t="shared" si="6"/>
        <v>1.2363697005936241</v>
      </c>
      <c r="K96" s="5">
        <f t="shared" si="7"/>
        <v>11.584831522381132</v>
      </c>
    </row>
    <row r="97" spans="1:11" x14ac:dyDescent="0.35">
      <c r="A97" t="s">
        <v>176</v>
      </c>
      <c r="B97" t="s">
        <v>90</v>
      </c>
      <c r="C97" t="s">
        <v>144</v>
      </c>
      <c r="D97" t="s">
        <v>44</v>
      </c>
      <c r="E97">
        <v>1455</v>
      </c>
      <c r="F97">
        <v>52993470</v>
      </c>
      <c r="G97">
        <v>5977002</v>
      </c>
      <c r="H97" s="5">
        <f t="shared" si="5"/>
        <v>36421.628865979379</v>
      </c>
      <c r="I97">
        <v>63170171</v>
      </c>
      <c r="J97" s="5">
        <f t="shared" si="6"/>
        <v>1.1920368868088842</v>
      </c>
      <c r="K97" s="5">
        <f t="shared" si="7"/>
        <v>10.568872320939494</v>
      </c>
    </row>
    <row r="98" spans="1:11" x14ac:dyDescent="0.35">
      <c r="A98" t="s">
        <v>176</v>
      </c>
      <c r="B98" t="s">
        <v>90</v>
      </c>
      <c r="C98" t="s">
        <v>145</v>
      </c>
      <c r="D98" t="s">
        <v>45</v>
      </c>
      <c r="E98">
        <v>115</v>
      </c>
      <c r="F98">
        <v>3012981</v>
      </c>
      <c r="G98">
        <v>416344</v>
      </c>
      <c r="H98" s="5">
        <f t="shared" si="5"/>
        <v>26199.834782608697</v>
      </c>
      <c r="I98">
        <v>4555429</v>
      </c>
      <c r="J98" s="5">
        <f t="shared" ref="J98:J103" si="8">I98/F98</f>
        <v>1.5119341940755684</v>
      </c>
      <c r="K98" s="5">
        <f t="shared" ref="K98:K103" si="9">I98/G98</f>
        <v>10.941502699690641</v>
      </c>
    </row>
    <row r="99" spans="1:11" x14ac:dyDescent="0.35">
      <c r="A99" t="s">
        <v>176</v>
      </c>
      <c r="B99" t="s">
        <v>90</v>
      </c>
      <c r="C99" t="s">
        <v>146</v>
      </c>
      <c r="D99" t="s">
        <v>47</v>
      </c>
      <c r="E99">
        <v>265</v>
      </c>
      <c r="F99">
        <v>8676068</v>
      </c>
      <c r="G99">
        <v>1134905</v>
      </c>
      <c r="H99" s="5">
        <f t="shared" si="5"/>
        <v>32739.87924528302</v>
      </c>
      <c r="I99">
        <v>9811841</v>
      </c>
      <c r="J99" s="5">
        <f t="shared" si="8"/>
        <v>1.1309087250122982</v>
      </c>
      <c r="K99" s="5">
        <f t="shared" si="9"/>
        <v>8.6455174662196388</v>
      </c>
    </row>
    <row r="100" spans="1:11" x14ac:dyDescent="0.35">
      <c r="A100" t="s">
        <v>176</v>
      </c>
      <c r="B100" t="s">
        <v>90</v>
      </c>
      <c r="C100" t="s">
        <v>148</v>
      </c>
      <c r="D100" t="s">
        <v>46</v>
      </c>
      <c r="E100">
        <v>108</v>
      </c>
      <c r="F100">
        <v>1596290</v>
      </c>
      <c r="G100">
        <v>158805</v>
      </c>
      <c r="H100" s="5">
        <f t="shared" si="5"/>
        <v>14780.462962962964</v>
      </c>
      <c r="I100">
        <v>1628847</v>
      </c>
      <c r="J100" s="5">
        <f t="shared" si="8"/>
        <v>1.0203954168728739</v>
      </c>
      <c r="K100" s="5">
        <f t="shared" si="9"/>
        <v>10.25689997166336</v>
      </c>
    </row>
    <row r="101" spans="1:11" x14ac:dyDescent="0.35">
      <c r="A101" t="s">
        <v>176</v>
      </c>
      <c r="B101" t="s">
        <v>90</v>
      </c>
      <c r="C101" t="s">
        <v>149</v>
      </c>
      <c r="D101" t="s">
        <v>48</v>
      </c>
      <c r="E101">
        <v>994</v>
      </c>
      <c r="F101">
        <v>23553270</v>
      </c>
      <c r="G101">
        <v>3569197</v>
      </c>
      <c r="H101" s="5">
        <f t="shared" si="5"/>
        <v>23695.442655935614</v>
      </c>
      <c r="I101">
        <v>28376682</v>
      </c>
      <c r="J101" s="5">
        <f t="shared" si="8"/>
        <v>1.2047873607358979</v>
      </c>
      <c r="K101" s="5">
        <f t="shared" si="9"/>
        <v>7.9504387121248845</v>
      </c>
    </row>
    <row r="102" spans="1:11" x14ac:dyDescent="0.35">
      <c r="A102" t="s">
        <v>176</v>
      </c>
      <c r="B102" t="s">
        <v>90</v>
      </c>
      <c r="C102" t="s">
        <v>150</v>
      </c>
      <c r="D102" t="s">
        <v>50</v>
      </c>
      <c r="E102">
        <v>281</v>
      </c>
      <c r="F102">
        <v>6958965</v>
      </c>
      <c r="G102">
        <v>978084</v>
      </c>
      <c r="H102" s="5">
        <f t="shared" si="5"/>
        <v>24765</v>
      </c>
      <c r="I102">
        <v>7349953</v>
      </c>
      <c r="J102" s="5">
        <f t="shared" si="8"/>
        <v>1.0561847918476384</v>
      </c>
      <c r="K102" s="5">
        <f t="shared" si="9"/>
        <v>7.5146439365126101</v>
      </c>
    </row>
    <row r="103" spans="1:11" x14ac:dyDescent="0.35">
      <c r="A103" t="s">
        <v>176</v>
      </c>
      <c r="B103" t="s">
        <v>90</v>
      </c>
      <c r="C103" t="s">
        <v>151</v>
      </c>
      <c r="D103" t="s">
        <v>49</v>
      </c>
      <c r="E103">
        <v>22</v>
      </c>
      <c r="F103">
        <v>567981</v>
      </c>
      <c r="G103">
        <v>58825</v>
      </c>
      <c r="H103" s="5">
        <f t="shared" si="5"/>
        <v>25817.31818181818</v>
      </c>
      <c r="I103">
        <v>416757</v>
      </c>
      <c r="J103" s="5">
        <f t="shared" si="8"/>
        <v>0.73375165718571567</v>
      </c>
      <c r="K103" s="5">
        <f t="shared" si="9"/>
        <v>7.0846918827029324</v>
      </c>
    </row>
    <row r="104" spans="1:11" x14ac:dyDescent="0.35">
      <c r="A104" t="s">
        <v>176</v>
      </c>
      <c r="B104" t="s">
        <v>80</v>
      </c>
      <c r="C104" t="s">
        <v>96</v>
      </c>
      <c r="D104" t="s">
        <v>4</v>
      </c>
      <c r="E104">
        <v>37</v>
      </c>
      <c r="F104">
        <v>742007</v>
      </c>
      <c r="G104">
        <v>89092</v>
      </c>
      <c r="H104" s="5">
        <f t="shared" si="5"/>
        <v>20054.243243243243</v>
      </c>
      <c r="I104" s="6"/>
      <c r="J104" s="7"/>
      <c r="K104" s="7"/>
    </row>
    <row r="105" spans="1:11" x14ac:dyDescent="0.35">
      <c r="A105" t="s">
        <v>176</v>
      </c>
      <c r="B105" t="s">
        <v>80</v>
      </c>
      <c r="C105" t="s">
        <v>97</v>
      </c>
      <c r="D105" t="s">
        <v>3</v>
      </c>
      <c r="E105">
        <v>198</v>
      </c>
      <c r="F105">
        <v>3749817</v>
      </c>
      <c r="G105">
        <v>969473</v>
      </c>
      <c r="H105" s="5">
        <f t="shared" si="5"/>
        <v>18938.469696969696</v>
      </c>
      <c r="I105" s="6"/>
      <c r="J105" s="7"/>
      <c r="K105" s="7"/>
    </row>
    <row r="106" spans="1:11" x14ac:dyDescent="0.35">
      <c r="A106" t="s">
        <v>176</v>
      </c>
      <c r="B106" t="s">
        <v>80</v>
      </c>
      <c r="C106" t="s">
        <v>98</v>
      </c>
      <c r="D106" t="s">
        <v>6</v>
      </c>
      <c r="E106">
        <v>482</v>
      </c>
      <c r="F106">
        <v>11921777</v>
      </c>
      <c r="G106">
        <v>899211</v>
      </c>
      <c r="H106" s="5">
        <f t="shared" si="5"/>
        <v>24733.977178423236</v>
      </c>
      <c r="I106" s="6"/>
      <c r="J106" s="7"/>
      <c r="K106" s="7"/>
    </row>
    <row r="107" spans="1:11" x14ac:dyDescent="0.35">
      <c r="A107" t="s">
        <v>176</v>
      </c>
      <c r="B107" t="s">
        <v>80</v>
      </c>
      <c r="C107" t="s">
        <v>99</v>
      </c>
      <c r="D107" t="s">
        <v>100</v>
      </c>
      <c r="E107">
        <v>6</v>
      </c>
      <c r="F107">
        <v>128251</v>
      </c>
      <c r="G107">
        <v>23064</v>
      </c>
      <c r="H107" s="5">
        <f t="shared" si="5"/>
        <v>21375.166666666668</v>
      </c>
      <c r="I107" s="6"/>
      <c r="J107" s="7"/>
      <c r="K107" s="7"/>
    </row>
    <row r="108" spans="1:11" x14ac:dyDescent="0.35">
      <c r="A108" t="s">
        <v>176</v>
      </c>
      <c r="B108" t="s">
        <v>80</v>
      </c>
      <c r="C108" t="s">
        <v>101</v>
      </c>
      <c r="D108" t="s">
        <v>5</v>
      </c>
      <c r="E108">
        <v>18</v>
      </c>
      <c r="F108">
        <v>331479</v>
      </c>
      <c r="G108">
        <v>67548</v>
      </c>
      <c r="H108" s="5">
        <f t="shared" si="5"/>
        <v>18415.5</v>
      </c>
      <c r="I108" s="6"/>
      <c r="J108" s="7"/>
      <c r="K108" s="7"/>
    </row>
    <row r="109" spans="1:11" x14ac:dyDescent="0.35">
      <c r="A109" t="s">
        <v>176</v>
      </c>
      <c r="B109" t="s">
        <v>80</v>
      </c>
      <c r="C109" t="s">
        <v>102</v>
      </c>
      <c r="D109" t="s">
        <v>7</v>
      </c>
      <c r="E109">
        <v>250</v>
      </c>
      <c r="F109">
        <v>3212228</v>
      </c>
      <c r="G109">
        <v>1064996</v>
      </c>
      <c r="H109" s="5">
        <f t="shared" si="5"/>
        <v>12848.912</v>
      </c>
      <c r="I109" s="6"/>
      <c r="J109" s="7"/>
      <c r="K109" s="7"/>
    </row>
    <row r="110" spans="1:11" x14ac:dyDescent="0.35">
      <c r="A110" t="s">
        <v>176</v>
      </c>
      <c r="B110" t="s">
        <v>80</v>
      </c>
      <c r="C110" t="s">
        <v>103</v>
      </c>
      <c r="D110" t="s">
        <v>8</v>
      </c>
      <c r="E110">
        <v>245</v>
      </c>
      <c r="F110">
        <v>3332594</v>
      </c>
      <c r="G110">
        <v>622533</v>
      </c>
      <c r="H110" s="5">
        <f t="shared" si="5"/>
        <v>13602.424489795918</v>
      </c>
      <c r="I110" s="6"/>
      <c r="J110" s="7"/>
      <c r="K110" s="7"/>
    </row>
    <row r="111" spans="1:11" x14ac:dyDescent="0.35">
      <c r="A111" t="s">
        <v>176</v>
      </c>
      <c r="B111" t="s">
        <v>80</v>
      </c>
      <c r="C111" t="s">
        <v>104</v>
      </c>
      <c r="D111" t="s">
        <v>9</v>
      </c>
      <c r="E111">
        <v>19</v>
      </c>
      <c r="F111">
        <v>429557</v>
      </c>
      <c r="G111">
        <v>50721</v>
      </c>
      <c r="H111" s="5">
        <f t="shared" si="5"/>
        <v>22608.263157894737</v>
      </c>
      <c r="I111" s="6"/>
      <c r="J111" s="7"/>
      <c r="K111" s="7"/>
    </row>
    <row r="112" spans="1:11" x14ac:dyDescent="0.35">
      <c r="A112" t="s">
        <v>176</v>
      </c>
      <c r="B112" t="s">
        <v>80</v>
      </c>
      <c r="C112" t="s">
        <v>107</v>
      </c>
      <c r="D112" t="s">
        <v>12</v>
      </c>
      <c r="E112">
        <v>431</v>
      </c>
      <c r="F112">
        <v>10211022</v>
      </c>
      <c r="G112">
        <v>921514</v>
      </c>
      <c r="H112" s="5">
        <f t="shared" si="5"/>
        <v>23691.466357308585</v>
      </c>
      <c r="I112" s="6"/>
      <c r="J112" s="7"/>
      <c r="K112" s="7"/>
    </row>
    <row r="113" spans="1:11" x14ac:dyDescent="0.35">
      <c r="A113" t="s">
        <v>176</v>
      </c>
      <c r="B113" t="s">
        <v>80</v>
      </c>
      <c r="C113" t="s">
        <v>108</v>
      </c>
      <c r="D113" t="s">
        <v>13</v>
      </c>
      <c r="E113">
        <v>544</v>
      </c>
      <c r="F113">
        <v>16305338</v>
      </c>
      <c r="G113">
        <v>1564168</v>
      </c>
      <c r="H113" s="5">
        <f t="shared" si="5"/>
        <v>29973.047794117647</v>
      </c>
      <c r="I113" s="6"/>
      <c r="J113" s="7"/>
      <c r="K113" s="7"/>
    </row>
    <row r="114" spans="1:11" x14ac:dyDescent="0.35">
      <c r="A114" t="s">
        <v>176</v>
      </c>
      <c r="B114" t="s">
        <v>80</v>
      </c>
      <c r="C114" t="s">
        <v>109</v>
      </c>
      <c r="D114" t="s">
        <v>110</v>
      </c>
      <c r="E114">
        <v>6</v>
      </c>
      <c r="F114">
        <v>372212</v>
      </c>
      <c r="G114">
        <v>54666</v>
      </c>
      <c r="H114" s="5">
        <f t="shared" si="5"/>
        <v>62035.333333333336</v>
      </c>
      <c r="I114" s="6"/>
      <c r="J114" s="7"/>
      <c r="K114" s="7"/>
    </row>
    <row r="115" spans="1:11" x14ac:dyDescent="0.35">
      <c r="A115" t="s">
        <v>176</v>
      </c>
      <c r="B115" t="s">
        <v>80</v>
      </c>
      <c r="C115" t="s">
        <v>111</v>
      </c>
      <c r="D115" t="s">
        <v>14</v>
      </c>
      <c r="E115">
        <v>35</v>
      </c>
      <c r="F115">
        <v>733865</v>
      </c>
      <c r="G115">
        <v>122866</v>
      </c>
      <c r="H115" s="5">
        <f t="shared" si="5"/>
        <v>20967.571428571428</v>
      </c>
      <c r="I115" s="6"/>
      <c r="J115" s="7"/>
      <c r="K115" s="7"/>
    </row>
    <row r="116" spans="1:11" x14ac:dyDescent="0.35">
      <c r="A116" t="s">
        <v>176</v>
      </c>
      <c r="B116" t="s">
        <v>80</v>
      </c>
      <c r="C116" t="s">
        <v>112</v>
      </c>
      <c r="D116" t="s">
        <v>18</v>
      </c>
      <c r="E116">
        <v>650</v>
      </c>
      <c r="F116">
        <v>13014697</v>
      </c>
      <c r="G116">
        <v>2600998</v>
      </c>
      <c r="H116" s="5">
        <f t="shared" si="5"/>
        <v>20022.610769230771</v>
      </c>
      <c r="I116" s="6"/>
      <c r="J116" s="7"/>
      <c r="K116" s="7"/>
    </row>
    <row r="117" spans="1:11" x14ac:dyDescent="0.35">
      <c r="A117" t="s">
        <v>176</v>
      </c>
      <c r="B117" t="s">
        <v>80</v>
      </c>
      <c r="C117" t="s">
        <v>113</v>
      </c>
      <c r="D117" t="s">
        <v>15</v>
      </c>
      <c r="E117">
        <v>32</v>
      </c>
      <c r="F117">
        <v>301559</v>
      </c>
      <c r="G117">
        <v>67695</v>
      </c>
      <c r="H117" s="5">
        <f t="shared" si="5"/>
        <v>9423.71875</v>
      </c>
      <c r="I117" s="6"/>
      <c r="J117" s="7"/>
      <c r="K117" s="7"/>
    </row>
    <row r="118" spans="1:11" x14ac:dyDescent="0.35">
      <c r="A118" t="s">
        <v>176</v>
      </c>
      <c r="B118" t="s">
        <v>80</v>
      </c>
      <c r="C118" t="s">
        <v>114</v>
      </c>
      <c r="D118" t="s">
        <v>16</v>
      </c>
      <c r="E118">
        <v>632</v>
      </c>
      <c r="F118">
        <v>14448033</v>
      </c>
      <c r="G118">
        <v>2062995</v>
      </c>
      <c r="H118" s="5">
        <f t="shared" ref="H118:H181" si="10">F118/E118</f>
        <v>22860.811708860758</v>
      </c>
      <c r="I118" s="6"/>
      <c r="J118" s="7"/>
      <c r="K118" s="7"/>
    </row>
    <row r="119" spans="1:11" x14ac:dyDescent="0.35">
      <c r="A119" t="s">
        <v>176</v>
      </c>
      <c r="B119" t="s">
        <v>80</v>
      </c>
      <c r="C119" t="s">
        <v>115</v>
      </c>
      <c r="D119" t="s">
        <v>17</v>
      </c>
      <c r="E119">
        <v>407</v>
      </c>
      <c r="F119">
        <v>9778757</v>
      </c>
      <c r="G119">
        <v>1380760</v>
      </c>
      <c r="H119" s="5">
        <f t="shared" si="10"/>
        <v>24026.429975429975</v>
      </c>
      <c r="I119" s="6"/>
      <c r="J119" s="7"/>
      <c r="K119" s="7"/>
    </row>
    <row r="120" spans="1:11" x14ac:dyDescent="0.35">
      <c r="A120" t="s">
        <v>176</v>
      </c>
      <c r="B120" t="s">
        <v>80</v>
      </c>
      <c r="C120" t="s">
        <v>116</v>
      </c>
      <c r="D120" t="s">
        <v>19</v>
      </c>
      <c r="E120">
        <v>315</v>
      </c>
      <c r="F120">
        <v>5475118</v>
      </c>
      <c r="G120">
        <v>905857</v>
      </c>
      <c r="H120" s="5">
        <f t="shared" si="10"/>
        <v>17381.326984126983</v>
      </c>
      <c r="I120" s="6"/>
      <c r="J120" s="7"/>
      <c r="K120" s="7"/>
    </row>
    <row r="121" spans="1:11" x14ac:dyDescent="0.35">
      <c r="A121" t="s">
        <v>176</v>
      </c>
      <c r="B121" t="s">
        <v>80</v>
      </c>
      <c r="C121" t="s">
        <v>117</v>
      </c>
      <c r="D121" t="s">
        <v>20</v>
      </c>
      <c r="E121">
        <v>1019</v>
      </c>
      <c r="F121">
        <v>26592549</v>
      </c>
      <c r="G121">
        <v>2269903</v>
      </c>
      <c r="H121" s="5">
        <f t="shared" si="10"/>
        <v>26096.711481844945</v>
      </c>
      <c r="I121" s="6"/>
      <c r="J121" s="7"/>
      <c r="K121" s="7"/>
    </row>
    <row r="122" spans="1:11" x14ac:dyDescent="0.35">
      <c r="A122" t="s">
        <v>176</v>
      </c>
      <c r="B122" t="s">
        <v>80</v>
      </c>
      <c r="C122" t="s">
        <v>118</v>
      </c>
      <c r="D122" t="s">
        <v>21</v>
      </c>
      <c r="E122">
        <v>280</v>
      </c>
      <c r="F122">
        <v>5110685</v>
      </c>
      <c r="G122">
        <v>497921</v>
      </c>
      <c r="H122" s="5">
        <f t="shared" si="10"/>
        <v>18252.446428571428</v>
      </c>
      <c r="I122" s="6"/>
      <c r="J122" s="7"/>
      <c r="K122" s="7"/>
    </row>
    <row r="123" spans="1:11" x14ac:dyDescent="0.35">
      <c r="A123" t="s">
        <v>176</v>
      </c>
      <c r="B123" t="s">
        <v>80</v>
      </c>
      <c r="C123" t="s">
        <v>119</v>
      </c>
      <c r="D123" t="s">
        <v>24</v>
      </c>
      <c r="E123">
        <v>24</v>
      </c>
      <c r="F123">
        <v>318591</v>
      </c>
      <c r="G123">
        <v>42409</v>
      </c>
      <c r="H123" s="5">
        <f t="shared" si="10"/>
        <v>13274.625</v>
      </c>
      <c r="I123" s="6"/>
      <c r="J123" s="7"/>
      <c r="K123" s="7"/>
    </row>
    <row r="124" spans="1:11" x14ac:dyDescent="0.35">
      <c r="A124" t="s">
        <v>176</v>
      </c>
      <c r="B124" t="s">
        <v>80</v>
      </c>
      <c r="C124" t="s">
        <v>120</v>
      </c>
      <c r="D124" t="s">
        <v>23</v>
      </c>
      <c r="E124">
        <v>101</v>
      </c>
      <c r="F124">
        <v>1453758</v>
      </c>
      <c r="G124">
        <v>234160</v>
      </c>
      <c r="H124" s="5">
        <f t="shared" si="10"/>
        <v>14393.643564356436</v>
      </c>
      <c r="I124" s="6"/>
      <c r="J124" s="7"/>
      <c r="K124" s="7"/>
    </row>
    <row r="125" spans="1:11" x14ac:dyDescent="0.35">
      <c r="A125" t="s">
        <v>176</v>
      </c>
      <c r="B125" t="s">
        <v>80</v>
      </c>
      <c r="C125" t="s">
        <v>121</v>
      </c>
      <c r="D125" t="s">
        <v>22</v>
      </c>
      <c r="E125">
        <v>115</v>
      </c>
      <c r="F125">
        <v>3609321</v>
      </c>
      <c r="G125">
        <v>297325</v>
      </c>
      <c r="H125" s="5">
        <f t="shared" si="10"/>
        <v>31385.4</v>
      </c>
      <c r="I125" s="6"/>
      <c r="J125" s="7"/>
      <c r="K125" s="7"/>
    </row>
    <row r="126" spans="1:11" x14ac:dyDescent="0.35">
      <c r="A126" t="s">
        <v>176</v>
      </c>
      <c r="B126" t="s">
        <v>80</v>
      </c>
      <c r="C126" t="s">
        <v>122</v>
      </c>
      <c r="D126" t="s">
        <v>25</v>
      </c>
      <c r="E126">
        <v>844</v>
      </c>
      <c r="F126">
        <v>22240058</v>
      </c>
      <c r="G126">
        <v>4669434</v>
      </c>
      <c r="H126" s="5">
        <f t="shared" si="10"/>
        <v>26350.779620853082</v>
      </c>
      <c r="I126" s="6"/>
      <c r="J126" s="7"/>
      <c r="K126" s="7"/>
    </row>
    <row r="127" spans="1:11" x14ac:dyDescent="0.35">
      <c r="A127" t="s">
        <v>176</v>
      </c>
      <c r="B127" t="s">
        <v>80</v>
      </c>
      <c r="C127" t="s">
        <v>123</v>
      </c>
      <c r="D127" t="s">
        <v>26</v>
      </c>
      <c r="E127">
        <v>416</v>
      </c>
      <c r="F127">
        <v>8140878</v>
      </c>
      <c r="G127">
        <v>2431866</v>
      </c>
      <c r="H127" s="5">
        <f t="shared" si="10"/>
        <v>19569.41826923077</v>
      </c>
      <c r="I127" s="6"/>
      <c r="J127" s="7"/>
      <c r="K127" s="7"/>
    </row>
    <row r="128" spans="1:11" x14ac:dyDescent="0.35">
      <c r="A128" t="s">
        <v>176</v>
      </c>
      <c r="B128" t="s">
        <v>80</v>
      </c>
      <c r="C128" t="s">
        <v>124</v>
      </c>
      <c r="D128" t="s">
        <v>28</v>
      </c>
      <c r="E128">
        <v>907</v>
      </c>
      <c r="F128">
        <v>16445697</v>
      </c>
      <c r="G128">
        <v>1733737</v>
      </c>
      <c r="H128" s="5">
        <f t="shared" si="10"/>
        <v>18131.970231532523</v>
      </c>
      <c r="I128" s="6"/>
      <c r="J128" s="7"/>
      <c r="K128" s="7"/>
    </row>
    <row r="129" spans="1:11" x14ac:dyDescent="0.35">
      <c r="A129" t="s">
        <v>176</v>
      </c>
      <c r="B129" t="s">
        <v>80</v>
      </c>
      <c r="C129" t="s">
        <v>125</v>
      </c>
      <c r="D129" t="s">
        <v>27</v>
      </c>
      <c r="E129">
        <v>338</v>
      </c>
      <c r="F129">
        <v>9036099</v>
      </c>
      <c r="G129">
        <v>1062766</v>
      </c>
      <c r="H129" s="5">
        <f t="shared" si="10"/>
        <v>26734.020710059172</v>
      </c>
      <c r="I129" s="6"/>
      <c r="J129" s="7"/>
      <c r="K129" s="7"/>
    </row>
    <row r="130" spans="1:11" x14ac:dyDescent="0.35">
      <c r="A130" t="s">
        <v>176</v>
      </c>
      <c r="B130" t="s">
        <v>80</v>
      </c>
      <c r="C130" t="s">
        <v>126</v>
      </c>
      <c r="D130" t="s">
        <v>29</v>
      </c>
      <c r="E130">
        <v>147</v>
      </c>
      <c r="F130">
        <v>1764970</v>
      </c>
      <c r="G130">
        <v>455064</v>
      </c>
      <c r="H130" s="5">
        <f t="shared" si="10"/>
        <v>12006.598639455782</v>
      </c>
      <c r="I130" s="6"/>
      <c r="J130" s="7"/>
      <c r="K130" s="7"/>
    </row>
    <row r="131" spans="1:11" x14ac:dyDescent="0.35">
      <c r="A131" t="s">
        <v>176</v>
      </c>
      <c r="B131" t="s">
        <v>80</v>
      </c>
      <c r="C131" t="s">
        <v>127</v>
      </c>
      <c r="D131" t="s">
        <v>253</v>
      </c>
      <c r="E131">
        <v>666</v>
      </c>
      <c r="F131">
        <v>24570612</v>
      </c>
      <c r="G131">
        <v>2320652</v>
      </c>
      <c r="H131" s="5">
        <f t="shared" si="10"/>
        <v>36892.810810810814</v>
      </c>
      <c r="I131" s="6"/>
      <c r="J131" s="7"/>
      <c r="K131" s="7"/>
    </row>
    <row r="132" spans="1:11" x14ac:dyDescent="0.35">
      <c r="A132" t="s">
        <v>176</v>
      </c>
      <c r="B132" t="s">
        <v>80</v>
      </c>
      <c r="C132" t="s">
        <v>128</v>
      </c>
      <c r="D132" t="s">
        <v>36</v>
      </c>
      <c r="E132">
        <v>166</v>
      </c>
      <c r="F132">
        <v>2724881</v>
      </c>
      <c r="G132">
        <v>453979</v>
      </c>
      <c r="H132" s="5">
        <f t="shared" si="10"/>
        <v>16414.945783132531</v>
      </c>
      <c r="I132" s="6"/>
      <c r="J132" s="7"/>
      <c r="K132" s="7"/>
    </row>
    <row r="133" spans="1:11" x14ac:dyDescent="0.35">
      <c r="A133" t="s">
        <v>176</v>
      </c>
      <c r="B133" t="s">
        <v>80</v>
      </c>
      <c r="C133" t="s">
        <v>129</v>
      </c>
      <c r="D133" t="s">
        <v>30</v>
      </c>
      <c r="E133">
        <v>259</v>
      </c>
      <c r="F133">
        <v>3164205</v>
      </c>
      <c r="G133">
        <v>606943</v>
      </c>
      <c r="H133" s="5">
        <f t="shared" si="10"/>
        <v>12217.007722007722</v>
      </c>
      <c r="I133" s="6"/>
      <c r="J133" s="7"/>
      <c r="K133" s="7"/>
    </row>
    <row r="134" spans="1:11" x14ac:dyDescent="0.35">
      <c r="A134" t="s">
        <v>176</v>
      </c>
      <c r="B134" t="s">
        <v>80</v>
      </c>
      <c r="C134" t="s">
        <v>130</v>
      </c>
      <c r="D134" t="s">
        <v>32</v>
      </c>
      <c r="E134">
        <v>18</v>
      </c>
      <c r="F134">
        <v>304250</v>
      </c>
      <c r="G134">
        <v>54931</v>
      </c>
      <c r="H134" s="5">
        <f t="shared" si="10"/>
        <v>16902.777777777777</v>
      </c>
      <c r="I134" s="6"/>
      <c r="J134" s="7"/>
      <c r="K134" s="7"/>
    </row>
    <row r="135" spans="1:11" x14ac:dyDescent="0.35">
      <c r="A135" t="s">
        <v>176</v>
      </c>
      <c r="B135" t="s">
        <v>80</v>
      </c>
      <c r="C135" t="s">
        <v>131</v>
      </c>
      <c r="D135" t="s">
        <v>33</v>
      </c>
      <c r="E135">
        <v>68</v>
      </c>
      <c r="F135">
        <v>1139106</v>
      </c>
      <c r="G135">
        <v>153297</v>
      </c>
      <c r="H135" s="5">
        <f t="shared" si="10"/>
        <v>16751.558823529413</v>
      </c>
      <c r="I135" s="6"/>
      <c r="J135" s="7"/>
      <c r="K135" s="7"/>
    </row>
    <row r="136" spans="1:11" x14ac:dyDescent="0.35">
      <c r="A136" t="s">
        <v>176</v>
      </c>
      <c r="B136" t="s">
        <v>80</v>
      </c>
      <c r="C136" t="s">
        <v>132</v>
      </c>
      <c r="D136" t="s">
        <v>34</v>
      </c>
      <c r="E136">
        <v>53</v>
      </c>
      <c r="F136">
        <v>938410</v>
      </c>
      <c r="G136">
        <v>254947</v>
      </c>
      <c r="H136" s="5">
        <f t="shared" si="10"/>
        <v>17705.849056603773</v>
      </c>
      <c r="I136" s="6"/>
      <c r="J136" s="7"/>
      <c r="K136" s="7"/>
    </row>
    <row r="137" spans="1:11" x14ac:dyDescent="0.35">
      <c r="A137" t="s">
        <v>176</v>
      </c>
      <c r="B137" t="s">
        <v>80</v>
      </c>
      <c r="C137" t="s">
        <v>133</v>
      </c>
      <c r="D137" t="s">
        <v>31</v>
      </c>
      <c r="E137">
        <v>75</v>
      </c>
      <c r="F137">
        <v>971322</v>
      </c>
      <c r="G137">
        <v>170252</v>
      </c>
      <c r="H137" s="5">
        <f t="shared" si="10"/>
        <v>12950.96</v>
      </c>
      <c r="I137" s="6"/>
      <c r="J137" s="7"/>
      <c r="K137" s="7"/>
    </row>
    <row r="138" spans="1:11" x14ac:dyDescent="0.35">
      <c r="A138" t="s">
        <v>176</v>
      </c>
      <c r="B138" t="s">
        <v>80</v>
      </c>
      <c r="C138" t="s">
        <v>134</v>
      </c>
      <c r="D138" t="s">
        <v>35</v>
      </c>
      <c r="E138">
        <v>40</v>
      </c>
      <c r="F138">
        <v>773466</v>
      </c>
      <c r="G138">
        <v>177160</v>
      </c>
      <c r="H138" s="5">
        <f t="shared" si="10"/>
        <v>19336.650000000001</v>
      </c>
      <c r="I138" s="6"/>
      <c r="J138" s="7"/>
      <c r="K138" s="7"/>
    </row>
    <row r="139" spans="1:11" x14ac:dyDescent="0.35">
      <c r="A139" t="s">
        <v>176</v>
      </c>
      <c r="B139" t="s">
        <v>80</v>
      </c>
      <c r="C139" t="s">
        <v>135</v>
      </c>
      <c r="D139" t="s">
        <v>37</v>
      </c>
      <c r="E139">
        <v>498</v>
      </c>
      <c r="F139">
        <v>12442840</v>
      </c>
      <c r="G139">
        <v>1643216</v>
      </c>
      <c r="H139" s="5">
        <f t="shared" si="10"/>
        <v>24985.622489959838</v>
      </c>
      <c r="I139" s="6"/>
      <c r="J139" s="7"/>
      <c r="K139" s="7"/>
    </row>
    <row r="140" spans="1:11" x14ac:dyDescent="0.35">
      <c r="A140" t="s">
        <v>176</v>
      </c>
      <c r="B140" t="s">
        <v>80</v>
      </c>
      <c r="C140" t="s">
        <v>136</v>
      </c>
      <c r="D140" t="s">
        <v>38</v>
      </c>
      <c r="E140">
        <v>761</v>
      </c>
      <c r="F140">
        <v>13976192</v>
      </c>
      <c r="G140">
        <v>1965654</v>
      </c>
      <c r="H140" s="5">
        <f t="shared" si="10"/>
        <v>18365.561103810775</v>
      </c>
      <c r="I140" s="6"/>
      <c r="J140" s="7"/>
      <c r="K140" s="7"/>
    </row>
    <row r="141" spans="1:11" x14ac:dyDescent="0.35">
      <c r="A141" t="s">
        <v>176</v>
      </c>
      <c r="B141" t="s">
        <v>80</v>
      </c>
      <c r="C141" t="s">
        <v>137</v>
      </c>
      <c r="D141" t="s">
        <v>39</v>
      </c>
      <c r="E141">
        <v>163</v>
      </c>
      <c r="F141">
        <v>3206243</v>
      </c>
      <c r="G141">
        <v>557464</v>
      </c>
      <c r="H141" s="5">
        <f t="shared" si="10"/>
        <v>19670.202453987731</v>
      </c>
      <c r="I141" s="6"/>
      <c r="J141" s="7"/>
      <c r="K141" s="7"/>
    </row>
    <row r="142" spans="1:11" x14ac:dyDescent="0.35">
      <c r="A142" t="s">
        <v>176</v>
      </c>
      <c r="B142" t="s">
        <v>80</v>
      </c>
      <c r="C142" t="s">
        <v>138</v>
      </c>
      <c r="D142" t="s">
        <v>40</v>
      </c>
      <c r="E142">
        <v>187</v>
      </c>
      <c r="F142">
        <v>3575196</v>
      </c>
      <c r="G142">
        <v>463211</v>
      </c>
      <c r="H142" s="5">
        <f t="shared" si="10"/>
        <v>19118.695187165777</v>
      </c>
      <c r="I142" s="6"/>
      <c r="J142" s="7"/>
      <c r="K142" s="7"/>
    </row>
    <row r="143" spans="1:11" x14ac:dyDescent="0.35">
      <c r="A143" t="s">
        <v>176</v>
      </c>
      <c r="B143" t="s">
        <v>80</v>
      </c>
      <c r="C143" t="s">
        <v>139</v>
      </c>
      <c r="D143" t="s">
        <v>87</v>
      </c>
      <c r="E143">
        <v>2</v>
      </c>
      <c r="F143">
        <v>4680</v>
      </c>
      <c r="G143">
        <v>1691</v>
      </c>
      <c r="H143" s="5">
        <f t="shared" si="10"/>
        <v>2340</v>
      </c>
      <c r="I143" s="6"/>
      <c r="J143" s="7"/>
      <c r="K143" s="7"/>
    </row>
    <row r="144" spans="1:11" x14ac:dyDescent="0.35">
      <c r="A144" t="s">
        <v>176</v>
      </c>
      <c r="B144" t="s">
        <v>80</v>
      </c>
      <c r="C144" t="s">
        <v>141</v>
      </c>
      <c r="D144" t="s">
        <v>254</v>
      </c>
      <c r="E144">
        <v>152</v>
      </c>
      <c r="F144">
        <v>4965661</v>
      </c>
      <c r="G144">
        <v>394988</v>
      </c>
      <c r="H144" s="5">
        <f t="shared" si="10"/>
        <v>32668.822368421053</v>
      </c>
      <c r="I144" s="6"/>
      <c r="J144" s="7"/>
      <c r="K144" s="7"/>
    </row>
    <row r="145" spans="1:11" x14ac:dyDescent="0.35">
      <c r="A145" t="s">
        <v>176</v>
      </c>
      <c r="B145" t="s">
        <v>80</v>
      </c>
      <c r="C145" t="s">
        <v>142</v>
      </c>
      <c r="D145" t="s">
        <v>42</v>
      </c>
      <c r="E145">
        <v>251</v>
      </c>
      <c r="F145">
        <v>3773456</v>
      </c>
      <c r="G145">
        <v>1288016</v>
      </c>
      <c r="H145" s="5">
        <f t="shared" si="10"/>
        <v>15033.689243027888</v>
      </c>
      <c r="I145" s="6"/>
      <c r="J145" s="7"/>
      <c r="K145" s="7"/>
    </row>
    <row r="146" spans="1:11" x14ac:dyDescent="0.35">
      <c r="A146" t="s">
        <v>176</v>
      </c>
      <c r="B146" t="s">
        <v>80</v>
      </c>
      <c r="C146" t="s">
        <v>143</v>
      </c>
      <c r="D146" t="s">
        <v>43</v>
      </c>
      <c r="E146">
        <v>424</v>
      </c>
      <c r="F146">
        <v>13526021</v>
      </c>
      <c r="G146">
        <v>839201</v>
      </c>
      <c r="H146" s="5">
        <f t="shared" si="10"/>
        <v>31900.992924528302</v>
      </c>
      <c r="I146" s="6"/>
      <c r="J146" s="7"/>
      <c r="K146" s="7"/>
    </row>
    <row r="147" spans="1:11" x14ac:dyDescent="0.35">
      <c r="A147" t="s">
        <v>176</v>
      </c>
      <c r="B147" t="s">
        <v>80</v>
      </c>
      <c r="C147" t="s">
        <v>144</v>
      </c>
      <c r="D147" t="s">
        <v>44</v>
      </c>
      <c r="E147">
        <v>903</v>
      </c>
      <c r="F147">
        <v>17652473</v>
      </c>
      <c r="G147">
        <v>2244419</v>
      </c>
      <c r="H147" s="5">
        <f t="shared" si="10"/>
        <v>19548.696566998893</v>
      </c>
      <c r="I147" s="6"/>
      <c r="J147" s="7"/>
      <c r="K147" s="7"/>
    </row>
    <row r="148" spans="1:11" x14ac:dyDescent="0.35">
      <c r="A148" t="s">
        <v>176</v>
      </c>
      <c r="B148" t="s">
        <v>80</v>
      </c>
      <c r="C148" t="s">
        <v>145</v>
      </c>
      <c r="D148" t="s">
        <v>45</v>
      </c>
      <c r="E148">
        <v>11</v>
      </c>
      <c r="F148">
        <v>229272</v>
      </c>
      <c r="G148">
        <v>28456</v>
      </c>
      <c r="H148" s="5">
        <f t="shared" si="10"/>
        <v>20842.909090909092</v>
      </c>
      <c r="I148" s="6"/>
      <c r="J148" s="7"/>
      <c r="K148" s="7"/>
    </row>
    <row r="149" spans="1:11" x14ac:dyDescent="0.35">
      <c r="A149" t="s">
        <v>176</v>
      </c>
      <c r="B149" t="s">
        <v>80</v>
      </c>
      <c r="C149" t="s">
        <v>146</v>
      </c>
      <c r="D149" t="s">
        <v>47</v>
      </c>
      <c r="E149">
        <v>158</v>
      </c>
      <c r="F149">
        <v>3854289</v>
      </c>
      <c r="G149">
        <v>510914</v>
      </c>
      <c r="H149" s="5">
        <f t="shared" si="10"/>
        <v>24394.234177215189</v>
      </c>
      <c r="I149" s="6"/>
      <c r="J149" s="7"/>
      <c r="K149" s="7"/>
    </row>
    <row r="150" spans="1:11" x14ac:dyDescent="0.35">
      <c r="A150" t="s">
        <v>176</v>
      </c>
      <c r="B150" t="s">
        <v>80</v>
      </c>
      <c r="C150" t="s">
        <v>148</v>
      </c>
      <c r="D150" t="s">
        <v>46</v>
      </c>
      <c r="E150">
        <v>318</v>
      </c>
      <c r="F150">
        <v>11824338</v>
      </c>
      <c r="G150">
        <v>588157</v>
      </c>
      <c r="H150" s="5">
        <f t="shared" si="10"/>
        <v>37183.452830188682</v>
      </c>
      <c r="I150" s="6"/>
      <c r="J150" s="7"/>
      <c r="K150" s="7"/>
    </row>
    <row r="151" spans="1:11" x14ac:dyDescent="0.35">
      <c r="A151" t="s">
        <v>176</v>
      </c>
      <c r="B151" t="s">
        <v>80</v>
      </c>
      <c r="C151" t="s">
        <v>149</v>
      </c>
      <c r="D151" t="s">
        <v>48</v>
      </c>
      <c r="E151">
        <v>203</v>
      </c>
      <c r="F151">
        <v>4704331</v>
      </c>
      <c r="G151">
        <v>574097</v>
      </c>
      <c r="H151" s="5">
        <f t="shared" si="10"/>
        <v>23174.04433497537</v>
      </c>
      <c r="I151" s="6"/>
      <c r="J151" s="7"/>
      <c r="K151" s="7"/>
    </row>
    <row r="152" spans="1:11" x14ac:dyDescent="0.35">
      <c r="A152" t="s">
        <v>176</v>
      </c>
      <c r="B152" t="s">
        <v>80</v>
      </c>
      <c r="C152" t="s">
        <v>150</v>
      </c>
      <c r="D152" t="s">
        <v>50</v>
      </c>
      <c r="E152">
        <v>201</v>
      </c>
      <c r="F152">
        <v>6896055</v>
      </c>
      <c r="G152">
        <v>1631275</v>
      </c>
      <c r="H152" s="5">
        <f t="shared" si="10"/>
        <v>34308.73134328358</v>
      </c>
      <c r="I152" s="6"/>
      <c r="J152" s="7"/>
      <c r="K152" s="7"/>
    </row>
    <row r="153" spans="1:11" x14ac:dyDescent="0.35">
      <c r="A153" t="s">
        <v>176</v>
      </c>
      <c r="B153" t="s">
        <v>80</v>
      </c>
      <c r="C153" t="s">
        <v>151</v>
      </c>
      <c r="D153" t="s">
        <v>49</v>
      </c>
      <c r="E153">
        <v>95</v>
      </c>
      <c r="F153">
        <v>1844289</v>
      </c>
      <c r="G153">
        <v>189254</v>
      </c>
      <c r="H153" s="5">
        <f t="shared" si="10"/>
        <v>19413.568421052631</v>
      </c>
      <c r="I153" s="6"/>
      <c r="J153" s="7"/>
      <c r="K153" s="7"/>
    </row>
    <row r="154" spans="1:11" x14ac:dyDescent="0.35">
      <c r="A154" t="s">
        <v>176</v>
      </c>
      <c r="B154" t="s">
        <v>80</v>
      </c>
      <c r="C154" t="s">
        <v>152</v>
      </c>
      <c r="D154" t="s">
        <v>51</v>
      </c>
      <c r="E154">
        <v>120</v>
      </c>
      <c r="F154">
        <v>1309583</v>
      </c>
      <c r="G154">
        <v>346839</v>
      </c>
      <c r="H154" s="5">
        <f t="shared" si="10"/>
        <v>10913.191666666668</v>
      </c>
      <c r="I154" s="6"/>
      <c r="J154" s="7"/>
      <c r="K154" s="7"/>
    </row>
    <row r="155" spans="1:11" x14ac:dyDescent="0.35">
      <c r="A155" t="s">
        <v>175</v>
      </c>
      <c r="B155" t="s">
        <v>80</v>
      </c>
      <c r="C155" t="s">
        <v>96</v>
      </c>
      <c r="D155" t="s">
        <v>4</v>
      </c>
      <c r="E155">
        <v>33</v>
      </c>
      <c r="F155">
        <v>1482756</v>
      </c>
      <c r="G155">
        <v>1644967</v>
      </c>
      <c r="H155" s="5">
        <f t="shared" si="10"/>
        <v>44932</v>
      </c>
      <c r="I155" s="6"/>
      <c r="J155" s="7"/>
      <c r="K155" s="7"/>
    </row>
    <row r="156" spans="1:11" x14ac:dyDescent="0.35">
      <c r="A156" t="s">
        <v>175</v>
      </c>
      <c r="B156" t="s">
        <v>80</v>
      </c>
      <c r="C156" t="s">
        <v>97</v>
      </c>
      <c r="D156" t="s">
        <v>3</v>
      </c>
      <c r="E156">
        <v>2</v>
      </c>
      <c r="F156">
        <v>38435</v>
      </c>
      <c r="G156">
        <v>5662</v>
      </c>
      <c r="H156" s="5">
        <f t="shared" si="10"/>
        <v>19217.5</v>
      </c>
      <c r="I156" s="6"/>
      <c r="J156" s="7"/>
      <c r="K156" s="7"/>
    </row>
    <row r="157" spans="1:11" x14ac:dyDescent="0.35">
      <c r="A157" t="s">
        <v>175</v>
      </c>
      <c r="B157" t="s">
        <v>80</v>
      </c>
      <c r="C157" t="s">
        <v>98</v>
      </c>
      <c r="D157" t="s">
        <v>6</v>
      </c>
      <c r="E157">
        <v>14</v>
      </c>
      <c r="F157">
        <v>208301</v>
      </c>
      <c r="G157">
        <v>126620</v>
      </c>
      <c r="H157" s="5">
        <f t="shared" si="10"/>
        <v>14878.642857142857</v>
      </c>
      <c r="I157" s="6"/>
      <c r="J157" s="7"/>
      <c r="K157" s="7"/>
    </row>
    <row r="158" spans="1:11" x14ac:dyDescent="0.35">
      <c r="A158" t="s">
        <v>175</v>
      </c>
      <c r="B158" t="s">
        <v>80</v>
      </c>
      <c r="C158" t="s">
        <v>101</v>
      </c>
      <c r="D158" t="s">
        <v>5</v>
      </c>
      <c r="E158">
        <v>59</v>
      </c>
      <c r="F158">
        <v>1924113</v>
      </c>
      <c r="G158">
        <v>753766</v>
      </c>
      <c r="H158" s="5">
        <f t="shared" si="10"/>
        <v>32612.084745762713</v>
      </c>
      <c r="I158" s="6"/>
      <c r="J158" s="7"/>
      <c r="K158" s="7"/>
    </row>
    <row r="159" spans="1:11" x14ac:dyDescent="0.35">
      <c r="A159" t="s">
        <v>175</v>
      </c>
      <c r="B159" t="s">
        <v>80</v>
      </c>
      <c r="C159" t="s">
        <v>102</v>
      </c>
      <c r="D159" t="s">
        <v>7</v>
      </c>
      <c r="E159">
        <v>294</v>
      </c>
      <c r="F159">
        <v>11798291</v>
      </c>
      <c r="G159">
        <v>4421176</v>
      </c>
      <c r="H159" s="5">
        <f t="shared" si="10"/>
        <v>40130.241496598639</v>
      </c>
      <c r="I159" s="6"/>
      <c r="J159" s="7"/>
      <c r="K159" s="7"/>
    </row>
    <row r="160" spans="1:11" x14ac:dyDescent="0.35">
      <c r="A160" t="s">
        <v>175</v>
      </c>
      <c r="B160" t="s">
        <v>80</v>
      </c>
      <c r="C160" t="s">
        <v>103</v>
      </c>
      <c r="D160" t="s">
        <v>8</v>
      </c>
      <c r="E160">
        <v>200</v>
      </c>
      <c r="F160">
        <v>7818092</v>
      </c>
      <c r="G160">
        <v>11342343</v>
      </c>
      <c r="H160" s="5">
        <f t="shared" si="10"/>
        <v>39090.46</v>
      </c>
      <c r="I160" s="6"/>
      <c r="J160" s="7"/>
      <c r="K160" s="7"/>
    </row>
    <row r="161" spans="1:11" x14ac:dyDescent="0.35">
      <c r="A161" t="s">
        <v>175</v>
      </c>
      <c r="B161" t="s">
        <v>80</v>
      </c>
      <c r="C161" t="s">
        <v>104</v>
      </c>
      <c r="D161" t="s">
        <v>9</v>
      </c>
      <c r="E161">
        <v>18</v>
      </c>
      <c r="F161">
        <v>479131</v>
      </c>
      <c r="G161">
        <v>202069</v>
      </c>
      <c r="H161" s="5">
        <f t="shared" si="10"/>
        <v>26618.388888888891</v>
      </c>
      <c r="I161" s="6"/>
      <c r="J161" s="7"/>
      <c r="K161" s="7"/>
    </row>
    <row r="162" spans="1:11" x14ac:dyDescent="0.35">
      <c r="A162" t="s">
        <v>175</v>
      </c>
      <c r="B162" t="s">
        <v>80</v>
      </c>
      <c r="C162" t="s">
        <v>107</v>
      </c>
      <c r="D162" t="s">
        <v>12</v>
      </c>
      <c r="E162">
        <v>46</v>
      </c>
      <c r="F162">
        <v>1806200</v>
      </c>
      <c r="G162">
        <v>905509</v>
      </c>
      <c r="H162" s="5">
        <f t="shared" si="10"/>
        <v>39265.217391304344</v>
      </c>
      <c r="I162" s="6"/>
      <c r="J162" s="7"/>
      <c r="K162" s="7"/>
    </row>
    <row r="163" spans="1:11" x14ac:dyDescent="0.35">
      <c r="A163" t="s">
        <v>175</v>
      </c>
      <c r="B163" t="s">
        <v>80</v>
      </c>
      <c r="C163" t="s">
        <v>109</v>
      </c>
      <c r="D163" t="s">
        <v>110</v>
      </c>
      <c r="E163">
        <v>6</v>
      </c>
      <c r="F163">
        <v>422892</v>
      </c>
      <c r="G163">
        <v>104535</v>
      </c>
      <c r="H163" s="5">
        <f t="shared" si="10"/>
        <v>70482</v>
      </c>
      <c r="I163" s="6"/>
      <c r="J163" s="7"/>
      <c r="K163" s="7"/>
    </row>
    <row r="164" spans="1:11" x14ac:dyDescent="0.35">
      <c r="A164" t="s">
        <v>175</v>
      </c>
      <c r="B164" t="s">
        <v>80</v>
      </c>
      <c r="C164" t="s">
        <v>111</v>
      </c>
      <c r="D164" t="s">
        <v>14</v>
      </c>
      <c r="E164">
        <v>23</v>
      </c>
      <c r="F164">
        <v>1099919</v>
      </c>
      <c r="G164">
        <v>682372</v>
      </c>
      <c r="H164" s="5">
        <f t="shared" si="10"/>
        <v>47822.565217391304</v>
      </c>
      <c r="I164" s="6"/>
      <c r="J164" s="7"/>
      <c r="K164" s="7"/>
    </row>
    <row r="165" spans="1:11" x14ac:dyDescent="0.35">
      <c r="A165" t="s">
        <v>175</v>
      </c>
      <c r="B165" t="s">
        <v>80</v>
      </c>
      <c r="C165" t="s">
        <v>112</v>
      </c>
      <c r="D165" t="s">
        <v>18</v>
      </c>
      <c r="E165">
        <v>60</v>
      </c>
      <c r="F165">
        <v>1610299</v>
      </c>
      <c r="G165">
        <v>1072205</v>
      </c>
      <c r="H165" s="5">
        <f t="shared" si="10"/>
        <v>26838.316666666666</v>
      </c>
      <c r="I165" s="6"/>
      <c r="J165" s="7"/>
      <c r="K165" s="7"/>
    </row>
    <row r="166" spans="1:11" x14ac:dyDescent="0.35">
      <c r="A166" t="s">
        <v>175</v>
      </c>
      <c r="B166" t="s">
        <v>80</v>
      </c>
      <c r="C166" t="s">
        <v>113</v>
      </c>
      <c r="D166" t="s">
        <v>15</v>
      </c>
      <c r="E166">
        <v>22</v>
      </c>
      <c r="F166">
        <v>831667</v>
      </c>
      <c r="G166">
        <v>828061</v>
      </c>
      <c r="H166" s="5">
        <f t="shared" si="10"/>
        <v>37803.045454545456</v>
      </c>
      <c r="I166" s="6"/>
      <c r="J166" s="7"/>
      <c r="K166" s="7"/>
    </row>
    <row r="167" spans="1:11" x14ac:dyDescent="0.35">
      <c r="A167" t="s">
        <v>175</v>
      </c>
      <c r="B167" t="s">
        <v>80</v>
      </c>
      <c r="C167" t="s">
        <v>114</v>
      </c>
      <c r="D167" t="s">
        <v>16</v>
      </c>
      <c r="E167">
        <v>70</v>
      </c>
      <c r="F167">
        <v>2485196</v>
      </c>
      <c r="G167">
        <v>1463943</v>
      </c>
      <c r="H167" s="5">
        <f t="shared" si="10"/>
        <v>35502.800000000003</v>
      </c>
      <c r="I167" s="6"/>
      <c r="J167" s="7"/>
      <c r="K167" s="7"/>
    </row>
    <row r="168" spans="1:11" x14ac:dyDescent="0.35">
      <c r="A168" t="s">
        <v>175</v>
      </c>
      <c r="B168" t="s">
        <v>80</v>
      </c>
      <c r="C168" t="s">
        <v>115</v>
      </c>
      <c r="D168" t="s">
        <v>17</v>
      </c>
      <c r="E168">
        <v>28</v>
      </c>
      <c r="F168">
        <v>882752</v>
      </c>
      <c r="G168">
        <v>552105</v>
      </c>
      <c r="H168" s="5">
        <f t="shared" si="10"/>
        <v>31526.857142857141</v>
      </c>
      <c r="I168" s="6"/>
      <c r="J168" s="7"/>
      <c r="K168" s="7"/>
    </row>
    <row r="169" spans="1:11" x14ac:dyDescent="0.35">
      <c r="A169" t="s">
        <v>175</v>
      </c>
      <c r="B169" t="s">
        <v>80</v>
      </c>
      <c r="C169" t="s">
        <v>116</v>
      </c>
      <c r="D169" t="s">
        <v>19</v>
      </c>
      <c r="E169">
        <v>50</v>
      </c>
      <c r="F169">
        <v>1447546</v>
      </c>
      <c r="G169">
        <v>556256</v>
      </c>
      <c r="H169" s="5">
        <f t="shared" si="10"/>
        <v>28950.92</v>
      </c>
      <c r="I169" s="6"/>
      <c r="J169" s="7"/>
      <c r="K169" s="7"/>
    </row>
    <row r="170" spans="1:11" x14ac:dyDescent="0.35">
      <c r="A170" t="s">
        <v>175</v>
      </c>
      <c r="B170" t="s">
        <v>80</v>
      </c>
      <c r="C170" t="s">
        <v>117</v>
      </c>
      <c r="D170" t="s">
        <v>20</v>
      </c>
      <c r="E170">
        <v>42</v>
      </c>
      <c r="F170">
        <v>1219425</v>
      </c>
      <c r="G170">
        <v>607069</v>
      </c>
      <c r="H170" s="5">
        <f t="shared" si="10"/>
        <v>29033.928571428572</v>
      </c>
      <c r="I170" s="6"/>
      <c r="J170" s="7"/>
      <c r="K170" s="7"/>
    </row>
    <row r="171" spans="1:11" x14ac:dyDescent="0.35">
      <c r="A171" t="s">
        <v>175</v>
      </c>
      <c r="B171" t="s">
        <v>80</v>
      </c>
      <c r="C171" t="s">
        <v>119</v>
      </c>
      <c r="D171" t="s">
        <v>24</v>
      </c>
      <c r="E171">
        <v>52</v>
      </c>
      <c r="F171">
        <v>1791472</v>
      </c>
      <c r="G171">
        <v>1727932</v>
      </c>
      <c r="H171" s="5">
        <f t="shared" si="10"/>
        <v>34451.384615384617</v>
      </c>
      <c r="I171" s="6"/>
      <c r="J171" s="7"/>
      <c r="K171" s="7"/>
    </row>
    <row r="172" spans="1:11" x14ac:dyDescent="0.35">
      <c r="A172" t="s">
        <v>175</v>
      </c>
      <c r="B172" t="s">
        <v>80</v>
      </c>
      <c r="C172" t="s">
        <v>120</v>
      </c>
      <c r="D172" t="s">
        <v>23</v>
      </c>
      <c r="E172">
        <v>84</v>
      </c>
      <c r="F172">
        <v>1742199</v>
      </c>
      <c r="G172">
        <v>2528081</v>
      </c>
      <c r="H172" s="5">
        <f t="shared" si="10"/>
        <v>20740.464285714286</v>
      </c>
      <c r="I172" s="6"/>
      <c r="J172" s="7"/>
      <c r="K172" s="7"/>
    </row>
    <row r="173" spans="1:11" x14ac:dyDescent="0.35">
      <c r="A173" t="s">
        <v>175</v>
      </c>
      <c r="B173" t="s">
        <v>80</v>
      </c>
      <c r="C173" t="s">
        <v>121</v>
      </c>
      <c r="D173" t="s">
        <v>22</v>
      </c>
      <c r="E173">
        <v>49</v>
      </c>
      <c r="F173">
        <v>856647</v>
      </c>
      <c r="G173">
        <v>730764</v>
      </c>
      <c r="H173" s="5">
        <f t="shared" si="10"/>
        <v>17482.591836734693</v>
      </c>
      <c r="I173" s="6"/>
      <c r="J173" s="7"/>
      <c r="K173" s="7"/>
    </row>
    <row r="174" spans="1:11" x14ac:dyDescent="0.35">
      <c r="A174" t="s">
        <v>175</v>
      </c>
      <c r="B174" t="s">
        <v>80</v>
      </c>
      <c r="C174" t="s">
        <v>122</v>
      </c>
      <c r="D174" t="s">
        <v>25</v>
      </c>
      <c r="E174">
        <v>92</v>
      </c>
      <c r="F174">
        <v>3111793</v>
      </c>
      <c r="G174">
        <v>1230982</v>
      </c>
      <c r="H174" s="5">
        <f t="shared" si="10"/>
        <v>33823.836956521736</v>
      </c>
      <c r="I174" s="6"/>
      <c r="J174" s="7"/>
      <c r="K174" s="7"/>
    </row>
    <row r="175" spans="1:11" x14ac:dyDescent="0.35">
      <c r="A175" t="s">
        <v>175</v>
      </c>
      <c r="B175" t="s">
        <v>80</v>
      </c>
      <c r="C175" t="s">
        <v>123</v>
      </c>
      <c r="D175" t="s">
        <v>26</v>
      </c>
      <c r="E175">
        <v>409</v>
      </c>
      <c r="F175">
        <v>5226660</v>
      </c>
      <c r="G175">
        <v>1512707</v>
      </c>
      <c r="H175" s="5">
        <f t="shared" si="10"/>
        <v>12779.119804400978</v>
      </c>
      <c r="I175" s="6"/>
      <c r="J175" s="7"/>
      <c r="K175" s="7"/>
    </row>
    <row r="176" spans="1:11" x14ac:dyDescent="0.35">
      <c r="A176" t="s">
        <v>175</v>
      </c>
      <c r="B176" t="s">
        <v>80</v>
      </c>
      <c r="C176" t="s">
        <v>124</v>
      </c>
      <c r="D176" t="s">
        <v>28</v>
      </c>
      <c r="E176">
        <v>2</v>
      </c>
      <c r="F176">
        <v>25567</v>
      </c>
      <c r="G176">
        <v>8609</v>
      </c>
      <c r="H176" s="5">
        <f t="shared" si="10"/>
        <v>12783.5</v>
      </c>
      <c r="I176" s="6"/>
      <c r="J176" s="7"/>
      <c r="K176" s="7"/>
    </row>
    <row r="177" spans="1:11" x14ac:dyDescent="0.35">
      <c r="A177" t="s">
        <v>175</v>
      </c>
      <c r="B177" t="s">
        <v>80</v>
      </c>
      <c r="C177" t="s">
        <v>125</v>
      </c>
      <c r="D177" t="s">
        <v>27</v>
      </c>
      <c r="E177">
        <v>55</v>
      </c>
      <c r="F177">
        <v>1405956</v>
      </c>
      <c r="G177">
        <v>1797877</v>
      </c>
      <c r="H177" s="5">
        <f t="shared" si="10"/>
        <v>25562.836363636365</v>
      </c>
      <c r="I177" s="6"/>
      <c r="J177" s="7"/>
      <c r="K177" s="7"/>
    </row>
    <row r="178" spans="1:11" x14ac:dyDescent="0.35">
      <c r="A178" t="s">
        <v>175</v>
      </c>
      <c r="B178" t="s">
        <v>80</v>
      </c>
      <c r="C178" t="s">
        <v>126</v>
      </c>
      <c r="D178" t="s">
        <v>29</v>
      </c>
      <c r="E178">
        <v>54</v>
      </c>
      <c r="F178">
        <v>1613330</v>
      </c>
      <c r="G178">
        <v>879948</v>
      </c>
      <c r="H178" s="5">
        <f t="shared" si="10"/>
        <v>29876.481481481482</v>
      </c>
      <c r="I178" s="6"/>
      <c r="J178" s="7"/>
      <c r="K178" s="7"/>
    </row>
    <row r="179" spans="1:11" x14ac:dyDescent="0.35">
      <c r="A179" t="s">
        <v>175</v>
      </c>
      <c r="B179" t="s">
        <v>80</v>
      </c>
      <c r="C179" t="s">
        <v>127</v>
      </c>
      <c r="D179" t="s">
        <v>253</v>
      </c>
      <c r="E179">
        <v>62</v>
      </c>
      <c r="F179">
        <v>1916088</v>
      </c>
      <c r="G179">
        <v>2086170</v>
      </c>
      <c r="H179" s="5">
        <f t="shared" si="10"/>
        <v>30904.645161290322</v>
      </c>
      <c r="I179" s="6"/>
      <c r="J179" s="7"/>
      <c r="K179" s="7"/>
    </row>
    <row r="180" spans="1:11" x14ac:dyDescent="0.35">
      <c r="A180" t="s">
        <v>175</v>
      </c>
      <c r="B180" t="s">
        <v>80</v>
      </c>
      <c r="C180" t="s">
        <v>128</v>
      </c>
      <c r="D180" t="s">
        <v>36</v>
      </c>
      <c r="E180">
        <v>5</v>
      </c>
      <c r="F180">
        <v>155967</v>
      </c>
      <c r="G180">
        <v>94738</v>
      </c>
      <c r="H180" s="5">
        <f t="shared" si="10"/>
        <v>31193.4</v>
      </c>
      <c r="I180" s="6"/>
      <c r="J180" s="7"/>
      <c r="K180" s="7"/>
    </row>
    <row r="181" spans="1:11" x14ac:dyDescent="0.35">
      <c r="A181" t="s">
        <v>175</v>
      </c>
      <c r="B181" t="s">
        <v>80</v>
      </c>
      <c r="C181" t="s">
        <v>129</v>
      </c>
      <c r="D181" t="s">
        <v>30</v>
      </c>
      <c r="E181">
        <v>7</v>
      </c>
      <c r="F181">
        <v>190991</v>
      </c>
      <c r="G181">
        <v>21557</v>
      </c>
      <c r="H181" s="5">
        <f t="shared" si="10"/>
        <v>27284.428571428572</v>
      </c>
      <c r="I181" s="6"/>
      <c r="J181" s="7"/>
      <c r="K181" s="7"/>
    </row>
    <row r="182" spans="1:11" x14ac:dyDescent="0.35">
      <c r="A182" t="s">
        <v>175</v>
      </c>
      <c r="B182" t="s">
        <v>80</v>
      </c>
      <c r="C182" t="s">
        <v>130</v>
      </c>
      <c r="D182" t="s">
        <v>32</v>
      </c>
      <c r="E182">
        <v>14</v>
      </c>
      <c r="F182">
        <v>370793</v>
      </c>
      <c r="G182">
        <v>147382</v>
      </c>
      <c r="H182" s="5">
        <f t="shared" ref="H182:H245" si="11">F182/E182</f>
        <v>26485.214285714286</v>
      </c>
      <c r="I182" s="6"/>
      <c r="J182" s="7"/>
      <c r="K182" s="7"/>
    </row>
    <row r="183" spans="1:11" x14ac:dyDescent="0.35">
      <c r="A183" t="s">
        <v>175</v>
      </c>
      <c r="B183" t="s">
        <v>80</v>
      </c>
      <c r="C183" t="s">
        <v>131</v>
      </c>
      <c r="D183" t="s">
        <v>33</v>
      </c>
      <c r="E183">
        <v>8</v>
      </c>
      <c r="F183">
        <v>440687</v>
      </c>
      <c r="G183">
        <v>154927</v>
      </c>
      <c r="H183" s="5">
        <f t="shared" si="11"/>
        <v>55085.875</v>
      </c>
      <c r="I183" s="6"/>
      <c r="J183" s="7"/>
      <c r="K183" s="7"/>
    </row>
    <row r="184" spans="1:11" x14ac:dyDescent="0.35">
      <c r="A184" t="s">
        <v>175</v>
      </c>
      <c r="B184" t="s">
        <v>80</v>
      </c>
      <c r="C184" t="s">
        <v>132</v>
      </c>
      <c r="D184" t="s">
        <v>34</v>
      </c>
      <c r="E184">
        <v>44</v>
      </c>
      <c r="F184">
        <v>1553740</v>
      </c>
      <c r="G184">
        <v>847899</v>
      </c>
      <c r="H184" s="5">
        <f t="shared" si="11"/>
        <v>35312.272727272728</v>
      </c>
      <c r="I184" s="6"/>
      <c r="J184" s="7"/>
      <c r="K184" s="7"/>
    </row>
    <row r="185" spans="1:11" x14ac:dyDescent="0.35">
      <c r="A185" t="s">
        <v>175</v>
      </c>
      <c r="B185" t="s">
        <v>80</v>
      </c>
      <c r="C185" t="s">
        <v>133</v>
      </c>
      <c r="D185" t="s">
        <v>31</v>
      </c>
      <c r="E185">
        <v>14</v>
      </c>
      <c r="F185">
        <v>490095</v>
      </c>
      <c r="G185">
        <v>356290</v>
      </c>
      <c r="H185" s="5">
        <f t="shared" si="11"/>
        <v>35006.785714285717</v>
      </c>
      <c r="I185" s="6"/>
      <c r="J185" s="7"/>
      <c r="K185" s="7"/>
    </row>
    <row r="186" spans="1:11" x14ac:dyDescent="0.35">
      <c r="A186" t="s">
        <v>175</v>
      </c>
      <c r="B186" t="s">
        <v>80</v>
      </c>
      <c r="C186" t="s">
        <v>134</v>
      </c>
      <c r="D186" t="s">
        <v>35</v>
      </c>
      <c r="E186">
        <v>361</v>
      </c>
      <c r="F186">
        <v>11107450</v>
      </c>
      <c r="G186">
        <v>3104146</v>
      </c>
      <c r="H186" s="5">
        <f t="shared" si="11"/>
        <v>30768.559556786702</v>
      </c>
      <c r="I186" s="6"/>
      <c r="J186" s="7"/>
      <c r="K186" s="7"/>
    </row>
    <row r="187" spans="1:11" x14ac:dyDescent="0.35">
      <c r="A187" t="s">
        <v>175</v>
      </c>
      <c r="B187" t="s">
        <v>80</v>
      </c>
      <c r="C187" t="s">
        <v>135</v>
      </c>
      <c r="D187" t="s">
        <v>37</v>
      </c>
      <c r="E187">
        <v>44</v>
      </c>
      <c r="F187">
        <v>1658049</v>
      </c>
      <c r="G187">
        <v>1054547</v>
      </c>
      <c r="H187" s="5">
        <f t="shared" si="11"/>
        <v>37682.931818181816</v>
      </c>
      <c r="I187" s="6"/>
      <c r="J187" s="7"/>
      <c r="K187" s="7"/>
    </row>
    <row r="188" spans="1:11" x14ac:dyDescent="0.35">
      <c r="A188" t="s">
        <v>175</v>
      </c>
      <c r="B188" t="s">
        <v>80</v>
      </c>
      <c r="C188" t="s">
        <v>136</v>
      </c>
      <c r="D188" t="s">
        <v>38</v>
      </c>
      <c r="E188">
        <v>23</v>
      </c>
      <c r="F188">
        <v>765333</v>
      </c>
      <c r="G188">
        <v>527073</v>
      </c>
      <c r="H188" s="5">
        <f t="shared" si="11"/>
        <v>33275.34782608696</v>
      </c>
      <c r="I188" s="6"/>
      <c r="J188" s="7"/>
      <c r="K188" s="7"/>
    </row>
    <row r="189" spans="1:11" x14ac:dyDescent="0.35">
      <c r="A189" t="s">
        <v>175</v>
      </c>
      <c r="B189" t="s">
        <v>80</v>
      </c>
      <c r="C189" t="s">
        <v>137</v>
      </c>
      <c r="D189" t="s">
        <v>39</v>
      </c>
      <c r="E189">
        <v>81</v>
      </c>
      <c r="F189">
        <v>3120251</v>
      </c>
      <c r="G189">
        <v>1275611</v>
      </c>
      <c r="H189" s="5">
        <f t="shared" si="11"/>
        <v>38521.617283950618</v>
      </c>
      <c r="I189" s="6"/>
      <c r="J189" s="7"/>
      <c r="K189" s="7"/>
    </row>
    <row r="190" spans="1:11" x14ac:dyDescent="0.35">
      <c r="A190" t="s">
        <v>175</v>
      </c>
      <c r="B190" t="s">
        <v>80</v>
      </c>
      <c r="C190" t="s">
        <v>138</v>
      </c>
      <c r="D190" t="s">
        <v>40</v>
      </c>
      <c r="E190">
        <v>97</v>
      </c>
      <c r="F190">
        <v>3413092</v>
      </c>
      <c r="G190">
        <v>1848234</v>
      </c>
      <c r="H190" s="5">
        <f t="shared" si="11"/>
        <v>35186.515463917523</v>
      </c>
      <c r="I190" s="6"/>
      <c r="J190" s="7"/>
      <c r="K190" s="7"/>
    </row>
    <row r="191" spans="1:11" x14ac:dyDescent="0.35">
      <c r="A191" t="s">
        <v>175</v>
      </c>
      <c r="B191" t="s">
        <v>80</v>
      </c>
      <c r="C191" t="s">
        <v>139</v>
      </c>
      <c r="D191" t="s">
        <v>87</v>
      </c>
      <c r="E191">
        <v>31</v>
      </c>
      <c r="F191">
        <v>178384</v>
      </c>
      <c r="G191">
        <v>65280</v>
      </c>
      <c r="H191" s="5">
        <f t="shared" si="11"/>
        <v>5754.322580645161</v>
      </c>
      <c r="I191" s="6"/>
      <c r="J191" s="7"/>
      <c r="K191" s="7"/>
    </row>
    <row r="192" spans="1:11" x14ac:dyDescent="0.35">
      <c r="A192" t="s">
        <v>175</v>
      </c>
      <c r="B192" t="s">
        <v>80</v>
      </c>
      <c r="C192" t="s">
        <v>141</v>
      </c>
      <c r="D192" t="s">
        <v>254</v>
      </c>
      <c r="E192">
        <v>10</v>
      </c>
      <c r="F192">
        <v>352125</v>
      </c>
      <c r="G192">
        <v>80569</v>
      </c>
      <c r="H192" s="5">
        <f t="shared" si="11"/>
        <v>35212.5</v>
      </c>
      <c r="I192" s="6"/>
      <c r="J192" s="7"/>
      <c r="K192" s="7"/>
    </row>
    <row r="193" spans="1:11" x14ac:dyDescent="0.35">
      <c r="A193" t="s">
        <v>175</v>
      </c>
      <c r="B193" t="s">
        <v>80</v>
      </c>
      <c r="C193" t="s">
        <v>143</v>
      </c>
      <c r="D193" t="s">
        <v>43</v>
      </c>
      <c r="E193">
        <v>73</v>
      </c>
      <c r="F193">
        <v>1594424</v>
      </c>
      <c r="G193">
        <v>4005461</v>
      </c>
      <c r="H193" s="5">
        <f t="shared" si="11"/>
        <v>21841.424657534248</v>
      </c>
      <c r="I193" s="6"/>
      <c r="J193" s="7"/>
      <c r="K193" s="7"/>
    </row>
    <row r="194" spans="1:11" x14ac:dyDescent="0.35">
      <c r="A194" t="s">
        <v>175</v>
      </c>
      <c r="B194" t="s">
        <v>80</v>
      </c>
      <c r="C194" t="s">
        <v>144</v>
      </c>
      <c r="D194" t="s">
        <v>44</v>
      </c>
      <c r="E194">
        <v>39</v>
      </c>
      <c r="F194">
        <v>1036753</v>
      </c>
      <c r="G194">
        <v>637623</v>
      </c>
      <c r="H194" s="5">
        <f t="shared" si="11"/>
        <v>26583.410256410258</v>
      </c>
      <c r="I194" s="6"/>
      <c r="J194" s="7"/>
      <c r="K194" s="7"/>
    </row>
    <row r="195" spans="1:11" x14ac:dyDescent="0.35">
      <c r="A195" t="s">
        <v>175</v>
      </c>
      <c r="B195" t="s">
        <v>80</v>
      </c>
      <c r="C195" t="s">
        <v>145</v>
      </c>
      <c r="D195" t="s">
        <v>45</v>
      </c>
      <c r="E195">
        <v>38</v>
      </c>
      <c r="F195">
        <v>2405733</v>
      </c>
      <c r="G195">
        <v>2710109</v>
      </c>
      <c r="H195" s="5">
        <f t="shared" si="11"/>
        <v>63308.76315789474</v>
      </c>
      <c r="I195" s="6"/>
      <c r="J195" s="7"/>
      <c r="K195" s="7"/>
    </row>
    <row r="196" spans="1:11" x14ac:dyDescent="0.35">
      <c r="A196" t="s">
        <v>175</v>
      </c>
      <c r="B196" t="s">
        <v>80</v>
      </c>
      <c r="C196" t="s">
        <v>146</v>
      </c>
      <c r="D196" t="s">
        <v>47</v>
      </c>
      <c r="E196">
        <v>105</v>
      </c>
      <c r="F196">
        <v>2849095</v>
      </c>
      <c r="G196">
        <v>1058400</v>
      </c>
      <c r="H196" s="5">
        <f t="shared" si="11"/>
        <v>27134.238095238095</v>
      </c>
      <c r="I196" s="6"/>
      <c r="J196" s="7"/>
      <c r="K196" s="7"/>
    </row>
    <row r="197" spans="1:11" x14ac:dyDescent="0.35">
      <c r="A197" t="s">
        <v>175</v>
      </c>
      <c r="B197" t="s">
        <v>80</v>
      </c>
      <c r="C197" t="s">
        <v>148</v>
      </c>
      <c r="D197" t="s">
        <v>46</v>
      </c>
      <c r="E197">
        <v>78</v>
      </c>
      <c r="F197">
        <v>2204130</v>
      </c>
      <c r="G197">
        <v>2042483</v>
      </c>
      <c r="H197" s="5">
        <f t="shared" si="11"/>
        <v>28258.076923076922</v>
      </c>
      <c r="I197" s="6"/>
      <c r="J197" s="7"/>
      <c r="K197" s="7"/>
    </row>
    <row r="198" spans="1:11" x14ac:dyDescent="0.35">
      <c r="A198" t="s">
        <v>175</v>
      </c>
      <c r="B198" t="s">
        <v>80</v>
      </c>
      <c r="C198" t="s">
        <v>149</v>
      </c>
      <c r="D198" t="s">
        <v>48</v>
      </c>
      <c r="E198">
        <v>158</v>
      </c>
      <c r="F198">
        <v>8446114</v>
      </c>
      <c r="G198">
        <v>4850158</v>
      </c>
      <c r="H198" s="5">
        <f t="shared" si="11"/>
        <v>53456.417721518985</v>
      </c>
      <c r="I198" s="6"/>
      <c r="J198" s="7"/>
      <c r="K198" s="7"/>
    </row>
    <row r="199" spans="1:11" x14ac:dyDescent="0.35">
      <c r="A199" t="s">
        <v>175</v>
      </c>
      <c r="B199" t="s">
        <v>80</v>
      </c>
      <c r="C199" t="s">
        <v>150</v>
      </c>
      <c r="D199" t="s">
        <v>50</v>
      </c>
      <c r="E199">
        <v>61</v>
      </c>
      <c r="F199">
        <v>2420152</v>
      </c>
      <c r="G199">
        <v>1011362</v>
      </c>
      <c r="H199" s="5">
        <f t="shared" si="11"/>
        <v>39674.62295081967</v>
      </c>
      <c r="I199" s="6"/>
      <c r="J199" s="7"/>
      <c r="K199" s="7"/>
    </row>
    <row r="200" spans="1:11" x14ac:dyDescent="0.35">
      <c r="A200" t="s">
        <v>175</v>
      </c>
      <c r="B200" t="s">
        <v>80</v>
      </c>
      <c r="C200" t="s">
        <v>151</v>
      </c>
      <c r="D200" t="s">
        <v>49</v>
      </c>
      <c r="E200">
        <v>77</v>
      </c>
      <c r="F200">
        <v>2684823</v>
      </c>
      <c r="G200">
        <v>880304</v>
      </c>
      <c r="H200" s="5">
        <f t="shared" si="11"/>
        <v>34867.831168831166</v>
      </c>
      <c r="I200" s="6"/>
      <c r="J200" s="7"/>
      <c r="K200" s="7"/>
    </row>
    <row r="201" spans="1:11" x14ac:dyDescent="0.35">
      <c r="A201" t="s">
        <v>175</v>
      </c>
      <c r="B201" t="s">
        <v>80</v>
      </c>
      <c r="C201" t="s">
        <v>152</v>
      </c>
      <c r="D201" t="s">
        <v>51</v>
      </c>
      <c r="E201">
        <v>44</v>
      </c>
      <c r="F201">
        <v>1523299</v>
      </c>
      <c r="G201">
        <v>1762981</v>
      </c>
      <c r="H201" s="5">
        <f t="shared" si="11"/>
        <v>34620.431818181816</v>
      </c>
      <c r="I201" s="6"/>
      <c r="J201" s="7"/>
      <c r="K201" s="7"/>
    </row>
    <row r="202" spans="1:11" x14ac:dyDescent="0.35">
      <c r="A202" t="s">
        <v>177</v>
      </c>
      <c r="C202" t="s">
        <v>102</v>
      </c>
      <c r="D202" t="s">
        <v>7</v>
      </c>
      <c r="E202">
        <v>523</v>
      </c>
      <c r="F202">
        <v>15103108</v>
      </c>
      <c r="G202">
        <v>9374397</v>
      </c>
      <c r="H202" s="5">
        <f t="shared" si="11"/>
        <v>28877.835564053537</v>
      </c>
      <c r="I202">
        <v>192363898</v>
      </c>
      <c r="J202" s="5">
        <f t="shared" ref="J202:J230" si="12">I202/F202</f>
        <v>12.73670942431187</v>
      </c>
      <c r="K202" s="5">
        <f t="shared" ref="K202:K230" si="13">I202/G202</f>
        <v>20.520135641791146</v>
      </c>
    </row>
    <row r="203" spans="1:11" x14ac:dyDescent="0.35">
      <c r="A203" t="s">
        <v>177</v>
      </c>
      <c r="C203" t="s">
        <v>104</v>
      </c>
      <c r="D203" t="s">
        <v>9</v>
      </c>
      <c r="E203">
        <v>35</v>
      </c>
      <c r="F203">
        <v>1127828</v>
      </c>
      <c r="G203">
        <v>377936</v>
      </c>
      <c r="H203" s="5">
        <f t="shared" si="11"/>
        <v>32223.657142857144</v>
      </c>
      <c r="I203">
        <v>8462384</v>
      </c>
      <c r="J203" s="5">
        <f t="shared" si="12"/>
        <v>7.5032575889231339</v>
      </c>
      <c r="K203" s="5">
        <f t="shared" si="13"/>
        <v>22.39105033656492</v>
      </c>
    </row>
    <row r="204" spans="1:11" x14ac:dyDescent="0.35">
      <c r="A204" t="s">
        <v>177</v>
      </c>
      <c r="C204" t="s">
        <v>107</v>
      </c>
      <c r="D204" t="s">
        <v>12</v>
      </c>
      <c r="E204">
        <v>12</v>
      </c>
      <c r="F204">
        <v>1206534</v>
      </c>
      <c r="G204">
        <v>338138</v>
      </c>
      <c r="H204" s="5">
        <f t="shared" si="11"/>
        <v>100544.5</v>
      </c>
      <c r="I204">
        <v>12741416</v>
      </c>
      <c r="J204" s="5">
        <f t="shared" si="12"/>
        <v>10.560345584956577</v>
      </c>
      <c r="K204" s="5">
        <f t="shared" si="13"/>
        <v>37.681112445214673</v>
      </c>
    </row>
    <row r="205" spans="1:11" x14ac:dyDescent="0.35">
      <c r="A205" t="s">
        <v>177</v>
      </c>
      <c r="C205" t="s">
        <v>108</v>
      </c>
      <c r="D205" t="s">
        <v>13</v>
      </c>
      <c r="E205">
        <v>181</v>
      </c>
      <c r="F205">
        <v>3708274</v>
      </c>
      <c r="G205">
        <v>2590004</v>
      </c>
      <c r="H205" s="5">
        <f t="shared" si="11"/>
        <v>20487.701657458565</v>
      </c>
      <c r="I205">
        <v>65536645</v>
      </c>
      <c r="J205" s="5">
        <f t="shared" si="12"/>
        <v>17.673085915442062</v>
      </c>
      <c r="K205" s="5">
        <f t="shared" si="13"/>
        <v>25.303684859173963</v>
      </c>
    </row>
    <row r="206" spans="1:11" x14ac:dyDescent="0.35">
      <c r="A206" t="s">
        <v>177</v>
      </c>
      <c r="C206" t="s">
        <v>111</v>
      </c>
      <c r="D206" t="s">
        <v>14</v>
      </c>
      <c r="E206">
        <v>7</v>
      </c>
      <c r="F206">
        <v>183859</v>
      </c>
      <c r="G206">
        <v>170366</v>
      </c>
      <c r="H206" s="5">
        <f t="shared" si="11"/>
        <v>26265.571428571428</v>
      </c>
      <c r="I206">
        <v>4806706</v>
      </c>
      <c r="J206" s="5">
        <f t="shared" si="12"/>
        <v>26.143436002588942</v>
      </c>
      <c r="K206" s="5">
        <f t="shared" si="13"/>
        <v>28.213998098212084</v>
      </c>
    </row>
    <row r="207" spans="1:11" x14ac:dyDescent="0.35">
      <c r="A207" t="s">
        <v>177</v>
      </c>
      <c r="C207" t="s">
        <v>114</v>
      </c>
      <c r="D207" t="s">
        <v>16</v>
      </c>
      <c r="E207">
        <v>2</v>
      </c>
      <c r="F207">
        <v>316684</v>
      </c>
      <c r="G207">
        <v>23175</v>
      </c>
      <c r="H207" s="5">
        <f t="shared" si="11"/>
        <v>158342</v>
      </c>
      <c r="I207">
        <v>1112304</v>
      </c>
      <c r="J207" s="5">
        <f t="shared" si="12"/>
        <v>3.512346692602089</v>
      </c>
      <c r="K207" s="5">
        <f t="shared" si="13"/>
        <v>47.995857605177996</v>
      </c>
    </row>
    <row r="208" spans="1:11" x14ac:dyDescent="0.35">
      <c r="A208" t="s">
        <v>177</v>
      </c>
      <c r="C208" t="s">
        <v>115</v>
      </c>
      <c r="D208" t="s">
        <v>17</v>
      </c>
      <c r="E208">
        <v>3</v>
      </c>
      <c r="F208">
        <v>177480</v>
      </c>
      <c r="G208">
        <v>40303</v>
      </c>
      <c r="H208" s="5">
        <f t="shared" si="11"/>
        <v>59160</v>
      </c>
      <c r="I208">
        <v>281137</v>
      </c>
      <c r="J208" s="5">
        <f t="shared" si="12"/>
        <v>1.5840489069190895</v>
      </c>
      <c r="K208" s="5">
        <f t="shared" si="13"/>
        <v>6.9755849440488298</v>
      </c>
    </row>
    <row r="209" spans="1:11" x14ac:dyDescent="0.35">
      <c r="A209" t="s">
        <v>177</v>
      </c>
      <c r="C209" t="s">
        <v>116</v>
      </c>
      <c r="D209" t="s">
        <v>19</v>
      </c>
      <c r="E209">
        <v>21</v>
      </c>
      <c r="F209">
        <v>366540</v>
      </c>
      <c r="G209">
        <v>125389</v>
      </c>
      <c r="H209" s="5">
        <f t="shared" si="11"/>
        <v>17454.285714285714</v>
      </c>
      <c r="I209">
        <v>2319261</v>
      </c>
      <c r="J209" s="5">
        <f t="shared" si="12"/>
        <v>6.327443116713046</v>
      </c>
      <c r="K209" s="5">
        <f t="shared" si="13"/>
        <v>18.496526808571726</v>
      </c>
    </row>
    <row r="210" spans="1:11" x14ac:dyDescent="0.35">
      <c r="A210" t="s">
        <v>177</v>
      </c>
      <c r="C210" t="s">
        <v>119</v>
      </c>
      <c r="D210" t="s">
        <v>24</v>
      </c>
      <c r="E210">
        <v>5</v>
      </c>
      <c r="F210">
        <v>82175</v>
      </c>
      <c r="G210">
        <v>60822</v>
      </c>
      <c r="H210" s="5">
        <f t="shared" si="11"/>
        <v>16435</v>
      </c>
      <c r="I210">
        <v>1650309</v>
      </c>
      <c r="J210" s="5">
        <f t="shared" si="12"/>
        <v>20.0828597505324</v>
      </c>
      <c r="K210" s="5">
        <f t="shared" si="13"/>
        <v>27.133422116997139</v>
      </c>
    </row>
    <row r="211" spans="1:11" x14ac:dyDescent="0.35">
      <c r="A211" t="s">
        <v>177</v>
      </c>
      <c r="C211" t="s">
        <v>120</v>
      </c>
      <c r="D211" t="s">
        <v>23</v>
      </c>
      <c r="E211">
        <v>280</v>
      </c>
      <c r="F211">
        <v>6636014</v>
      </c>
      <c r="G211">
        <v>3623587</v>
      </c>
      <c r="H211" s="5">
        <f t="shared" si="11"/>
        <v>23700.05</v>
      </c>
      <c r="I211">
        <v>104182716</v>
      </c>
      <c r="J211" s="5">
        <f t="shared" si="12"/>
        <v>15.699592556616064</v>
      </c>
      <c r="K211" s="5">
        <f t="shared" si="13"/>
        <v>28.751266631655319</v>
      </c>
    </row>
    <row r="212" spans="1:11" x14ac:dyDescent="0.35">
      <c r="A212" t="s">
        <v>177</v>
      </c>
      <c r="C212" t="s">
        <v>121</v>
      </c>
      <c r="D212" t="s">
        <v>22</v>
      </c>
      <c r="E212">
        <v>6</v>
      </c>
      <c r="F212">
        <v>113758</v>
      </c>
      <c r="G212">
        <v>9947</v>
      </c>
      <c r="H212" s="5">
        <f t="shared" si="11"/>
        <v>18959.666666666668</v>
      </c>
      <c r="I212">
        <v>456779</v>
      </c>
      <c r="J212" s="5">
        <f t="shared" si="12"/>
        <v>4.0153571616941228</v>
      </c>
      <c r="K212" s="5">
        <f t="shared" si="13"/>
        <v>45.921282798833822</v>
      </c>
    </row>
    <row r="213" spans="1:11" x14ac:dyDescent="0.35">
      <c r="A213" t="s">
        <v>177</v>
      </c>
      <c r="C213" t="s">
        <v>122</v>
      </c>
      <c r="D213" t="s">
        <v>25</v>
      </c>
      <c r="E213">
        <v>8</v>
      </c>
      <c r="F213">
        <v>432546</v>
      </c>
      <c r="G213">
        <v>137512</v>
      </c>
      <c r="H213" s="5">
        <f t="shared" si="11"/>
        <v>54068.25</v>
      </c>
      <c r="I213">
        <v>3398659</v>
      </c>
      <c r="J213" s="5">
        <f t="shared" si="12"/>
        <v>7.8573354047893176</v>
      </c>
      <c r="K213" s="5">
        <f t="shared" si="13"/>
        <v>24.71536302286346</v>
      </c>
    </row>
    <row r="214" spans="1:11" x14ac:dyDescent="0.35">
      <c r="A214" t="s">
        <v>177</v>
      </c>
      <c r="C214" t="s">
        <v>123</v>
      </c>
      <c r="D214" t="s">
        <v>26</v>
      </c>
      <c r="E214">
        <v>4</v>
      </c>
      <c r="F214">
        <v>174446</v>
      </c>
      <c r="G214">
        <v>47147</v>
      </c>
      <c r="H214" s="5">
        <f t="shared" si="11"/>
        <v>43611.5</v>
      </c>
      <c r="I214">
        <v>1293261</v>
      </c>
      <c r="J214" s="5">
        <f t="shared" si="12"/>
        <v>7.4135319812434792</v>
      </c>
      <c r="K214" s="5">
        <f t="shared" si="13"/>
        <v>27.430398540734299</v>
      </c>
    </row>
    <row r="215" spans="1:11" x14ac:dyDescent="0.35">
      <c r="A215" t="s">
        <v>177</v>
      </c>
      <c r="C215" t="s">
        <v>127</v>
      </c>
      <c r="D215" t="s">
        <v>253</v>
      </c>
      <c r="E215">
        <v>94</v>
      </c>
      <c r="F215">
        <v>2548230</v>
      </c>
      <c r="G215">
        <v>1141134</v>
      </c>
      <c r="H215" s="5">
        <f t="shared" si="11"/>
        <v>27108.829787234041</v>
      </c>
      <c r="I215">
        <v>16075368</v>
      </c>
      <c r="J215" s="5">
        <f t="shared" si="12"/>
        <v>6.3084446851343872</v>
      </c>
      <c r="K215" s="5">
        <f t="shared" si="13"/>
        <v>14.08718695613311</v>
      </c>
    </row>
    <row r="216" spans="1:11" x14ac:dyDescent="0.35">
      <c r="A216" t="s">
        <v>177</v>
      </c>
      <c r="C216" t="s">
        <v>131</v>
      </c>
      <c r="D216" t="s">
        <v>33</v>
      </c>
      <c r="E216">
        <v>681</v>
      </c>
      <c r="F216">
        <v>28732680</v>
      </c>
      <c r="G216">
        <v>14852080</v>
      </c>
      <c r="H216" s="5">
        <f t="shared" si="11"/>
        <v>42191.894273127757</v>
      </c>
      <c r="I216">
        <v>549918356</v>
      </c>
      <c r="J216" s="5">
        <f t="shared" si="12"/>
        <v>19.139125065952776</v>
      </c>
      <c r="K216" s="5">
        <f t="shared" si="13"/>
        <v>37.026352941810174</v>
      </c>
    </row>
    <row r="217" spans="1:11" x14ac:dyDescent="0.35">
      <c r="A217" t="s">
        <v>177</v>
      </c>
      <c r="C217" t="s">
        <v>132</v>
      </c>
      <c r="D217" t="s">
        <v>34</v>
      </c>
      <c r="E217">
        <v>8</v>
      </c>
      <c r="F217">
        <v>331362</v>
      </c>
      <c r="G217">
        <v>57678</v>
      </c>
      <c r="H217" s="5">
        <f t="shared" si="11"/>
        <v>41420.25</v>
      </c>
      <c r="I217">
        <v>1106442</v>
      </c>
      <c r="J217" s="5">
        <f t="shared" si="12"/>
        <v>3.3390732793742193</v>
      </c>
      <c r="K217" s="5">
        <f t="shared" si="13"/>
        <v>19.183085405180485</v>
      </c>
    </row>
    <row r="218" spans="1:11" x14ac:dyDescent="0.35">
      <c r="A218" t="s">
        <v>177</v>
      </c>
      <c r="C218" t="s">
        <v>133</v>
      </c>
      <c r="D218" t="s">
        <v>31</v>
      </c>
      <c r="E218">
        <v>7</v>
      </c>
      <c r="F218">
        <v>303754</v>
      </c>
      <c r="G218">
        <v>61361</v>
      </c>
      <c r="H218" s="5">
        <f t="shared" si="11"/>
        <v>43393.428571428572</v>
      </c>
      <c r="I218">
        <v>1213835</v>
      </c>
      <c r="J218" s="5">
        <f t="shared" si="12"/>
        <v>3.9961119853565714</v>
      </c>
      <c r="K218" s="5">
        <f t="shared" si="13"/>
        <v>19.781864702335358</v>
      </c>
    </row>
    <row r="219" spans="1:11" x14ac:dyDescent="0.35">
      <c r="A219" t="s">
        <v>177</v>
      </c>
      <c r="C219" t="s">
        <v>134</v>
      </c>
      <c r="D219" t="s">
        <v>35</v>
      </c>
      <c r="E219">
        <v>610</v>
      </c>
      <c r="F219">
        <v>17139928</v>
      </c>
      <c r="G219">
        <v>13931103</v>
      </c>
      <c r="H219" s="5">
        <f t="shared" si="11"/>
        <v>28098.24262295082</v>
      </c>
      <c r="I219">
        <v>310211405</v>
      </c>
      <c r="J219" s="5">
        <f t="shared" si="12"/>
        <v>18.098757766076965</v>
      </c>
      <c r="K219" s="5">
        <f t="shared" si="13"/>
        <v>22.267540840089978</v>
      </c>
    </row>
    <row r="220" spans="1:11" x14ac:dyDescent="0.35">
      <c r="A220" t="s">
        <v>177</v>
      </c>
      <c r="C220" t="s">
        <v>135</v>
      </c>
      <c r="D220" t="s">
        <v>37</v>
      </c>
      <c r="E220">
        <v>16</v>
      </c>
      <c r="F220">
        <v>515002</v>
      </c>
      <c r="G220">
        <v>154101</v>
      </c>
      <c r="H220" s="5">
        <f t="shared" si="11"/>
        <v>32187.625</v>
      </c>
      <c r="I220">
        <v>3460980</v>
      </c>
      <c r="J220" s="5">
        <f t="shared" si="12"/>
        <v>6.7203234162197427</v>
      </c>
      <c r="K220" s="5">
        <f t="shared" si="13"/>
        <v>22.459166390873516</v>
      </c>
    </row>
    <row r="221" spans="1:11" x14ac:dyDescent="0.35">
      <c r="A221" t="s">
        <v>177</v>
      </c>
      <c r="C221" t="s">
        <v>137</v>
      </c>
      <c r="D221" t="s">
        <v>39</v>
      </c>
      <c r="E221">
        <v>16</v>
      </c>
      <c r="F221">
        <v>489945</v>
      </c>
      <c r="G221">
        <v>216547</v>
      </c>
      <c r="H221" s="5">
        <f t="shared" si="11"/>
        <v>30621.5625</v>
      </c>
      <c r="I221">
        <v>2903895</v>
      </c>
      <c r="J221" s="5">
        <f t="shared" si="12"/>
        <v>5.9269815999755071</v>
      </c>
      <c r="K221" s="5">
        <f t="shared" si="13"/>
        <v>13.409998753157513</v>
      </c>
    </row>
    <row r="222" spans="1:11" x14ac:dyDescent="0.35">
      <c r="A222" t="s">
        <v>177</v>
      </c>
      <c r="C222" t="s">
        <v>138</v>
      </c>
      <c r="D222" t="s">
        <v>40</v>
      </c>
      <c r="E222">
        <v>68</v>
      </c>
      <c r="F222">
        <v>4429626</v>
      </c>
      <c r="G222">
        <v>1255523</v>
      </c>
      <c r="H222" s="5">
        <f t="shared" si="11"/>
        <v>65141.558823529413</v>
      </c>
      <c r="I222">
        <v>79306068</v>
      </c>
      <c r="J222" s="5">
        <f t="shared" si="12"/>
        <v>17.90355844940408</v>
      </c>
      <c r="K222" s="5">
        <f t="shared" si="13"/>
        <v>63.165762793672435</v>
      </c>
    </row>
    <row r="223" spans="1:11" x14ac:dyDescent="0.35">
      <c r="A223" t="s">
        <v>177</v>
      </c>
      <c r="C223" t="s">
        <v>141</v>
      </c>
      <c r="D223" t="s">
        <v>254</v>
      </c>
      <c r="E223">
        <v>15</v>
      </c>
      <c r="F223">
        <v>292486</v>
      </c>
      <c r="G223">
        <v>145672</v>
      </c>
      <c r="H223" s="5">
        <f t="shared" si="11"/>
        <v>19499.066666666666</v>
      </c>
      <c r="I223">
        <v>2568847</v>
      </c>
      <c r="J223" s="5">
        <f t="shared" si="12"/>
        <v>8.7828032794732049</v>
      </c>
      <c r="K223" s="5">
        <f t="shared" si="13"/>
        <v>17.63445960788621</v>
      </c>
    </row>
    <row r="224" spans="1:11" x14ac:dyDescent="0.35">
      <c r="A224" t="s">
        <v>177</v>
      </c>
      <c r="C224" t="s">
        <v>143</v>
      </c>
      <c r="D224" t="s">
        <v>43</v>
      </c>
      <c r="E224">
        <v>19</v>
      </c>
      <c r="F224">
        <v>326460</v>
      </c>
      <c r="G224">
        <v>181831</v>
      </c>
      <c r="H224" s="5">
        <f t="shared" si="11"/>
        <v>17182.105263157893</v>
      </c>
      <c r="I224">
        <v>5898100</v>
      </c>
      <c r="J224" s="5">
        <f t="shared" si="12"/>
        <v>18.066838203761563</v>
      </c>
      <c r="K224" s="5">
        <f t="shared" si="13"/>
        <v>32.437263172946309</v>
      </c>
    </row>
    <row r="225" spans="1:11" x14ac:dyDescent="0.35">
      <c r="A225" t="s">
        <v>177</v>
      </c>
      <c r="C225" t="s">
        <v>144</v>
      </c>
      <c r="D225" t="s">
        <v>44</v>
      </c>
      <c r="E225">
        <v>406</v>
      </c>
      <c r="F225">
        <v>11966269</v>
      </c>
      <c r="G225">
        <v>9588110</v>
      </c>
      <c r="H225" s="5">
        <f t="shared" si="11"/>
        <v>29473.568965517243</v>
      </c>
      <c r="I225">
        <v>187884928</v>
      </c>
      <c r="J225" s="5">
        <f t="shared" si="12"/>
        <v>15.70121213220261</v>
      </c>
      <c r="K225" s="5">
        <f t="shared" si="13"/>
        <v>19.595616654377139</v>
      </c>
    </row>
    <row r="226" spans="1:11" x14ac:dyDescent="0.35">
      <c r="A226" t="s">
        <v>177</v>
      </c>
      <c r="C226" t="s">
        <v>145</v>
      </c>
      <c r="D226" t="s">
        <v>45</v>
      </c>
      <c r="E226">
        <v>41</v>
      </c>
      <c r="F226">
        <v>904101</v>
      </c>
      <c r="G226">
        <v>549661</v>
      </c>
      <c r="H226" s="5">
        <f t="shared" si="11"/>
        <v>22051.243902439026</v>
      </c>
      <c r="I226">
        <v>12128093</v>
      </c>
      <c r="J226" s="5">
        <f t="shared" si="12"/>
        <v>13.414533332006048</v>
      </c>
      <c r="K226" s="5">
        <f t="shared" si="13"/>
        <v>22.064678047014432</v>
      </c>
    </row>
    <row r="227" spans="1:11" x14ac:dyDescent="0.35">
      <c r="A227" t="s">
        <v>177</v>
      </c>
      <c r="C227" t="s">
        <v>146</v>
      </c>
      <c r="D227" t="s">
        <v>47</v>
      </c>
      <c r="E227">
        <v>158</v>
      </c>
      <c r="F227">
        <v>4031352</v>
      </c>
      <c r="G227">
        <v>2849753</v>
      </c>
      <c r="H227" s="5">
        <f t="shared" si="11"/>
        <v>25514.886075949365</v>
      </c>
      <c r="I227">
        <v>77545415</v>
      </c>
      <c r="J227" s="5">
        <f t="shared" si="12"/>
        <v>19.235585232944185</v>
      </c>
      <c r="K227" s="5">
        <f t="shared" si="13"/>
        <v>27.211275854433701</v>
      </c>
    </row>
    <row r="228" spans="1:11" x14ac:dyDescent="0.35">
      <c r="A228" t="s">
        <v>177</v>
      </c>
      <c r="C228" t="s">
        <v>148</v>
      </c>
      <c r="D228" t="s">
        <v>46</v>
      </c>
      <c r="E228">
        <v>20</v>
      </c>
      <c r="F228">
        <v>753501</v>
      </c>
      <c r="G228">
        <v>240536</v>
      </c>
      <c r="H228" s="5">
        <f t="shared" si="11"/>
        <v>37675.050000000003</v>
      </c>
      <c r="I228">
        <v>5288242</v>
      </c>
      <c r="J228" s="5">
        <f t="shared" si="12"/>
        <v>7.0182282438908512</v>
      </c>
      <c r="K228" s="5">
        <f t="shared" si="13"/>
        <v>21.98524129444241</v>
      </c>
    </row>
    <row r="229" spans="1:11" x14ac:dyDescent="0.35">
      <c r="A229" t="s">
        <v>177</v>
      </c>
      <c r="C229" t="s">
        <v>149</v>
      </c>
      <c r="D229" t="s">
        <v>48</v>
      </c>
      <c r="E229">
        <v>387</v>
      </c>
      <c r="F229">
        <v>15103857</v>
      </c>
      <c r="G229">
        <v>20957540</v>
      </c>
      <c r="H229" s="5">
        <f t="shared" si="11"/>
        <v>39028.054263565893</v>
      </c>
      <c r="I229">
        <v>318569658</v>
      </c>
      <c r="J229" s="5">
        <f t="shared" si="12"/>
        <v>21.09194082014945</v>
      </c>
      <c r="K229" s="5">
        <f t="shared" si="13"/>
        <v>15.200718118634153</v>
      </c>
    </row>
    <row r="230" spans="1:11" x14ac:dyDescent="0.35">
      <c r="A230" t="s">
        <v>177</v>
      </c>
      <c r="C230" t="s">
        <v>150</v>
      </c>
      <c r="D230" t="s">
        <v>50</v>
      </c>
      <c r="E230">
        <v>29</v>
      </c>
      <c r="F230">
        <v>880327</v>
      </c>
      <c r="G230">
        <v>292768</v>
      </c>
      <c r="H230" s="5">
        <f t="shared" si="11"/>
        <v>30356.103448275862</v>
      </c>
      <c r="I230">
        <v>7130869</v>
      </c>
      <c r="J230" s="5">
        <f t="shared" si="12"/>
        <v>8.1002502479192398</v>
      </c>
      <c r="K230" s="5">
        <f t="shared" si="13"/>
        <v>24.356722729260028</v>
      </c>
    </row>
    <row r="231" spans="1:11" x14ac:dyDescent="0.35">
      <c r="A231" t="s">
        <v>178</v>
      </c>
      <c r="C231" t="s">
        <v>101</v>
      </c>
      <c r="D231" t="e">
        <f>VLOOKUP(C231, [3]Lookups!$N$5:$O$57, 2, FALSE)</f>
        <v>#N/A</v>
      </c>
      <c r="E231">
        <v>38</v>
      </c>
      <c r="F231">
        <v>3351956</v>
      </c>
      <c r="G231">
        <v>15084312</v>
      </c>
      <c r="H231" s="5">
        <f t="shared" si="11"/>
        <v>88209.368421052626</v>
      </c>
      <c r="I231">
        <v>108918663</v>
      </c>
      <c r="J231" s="5">
        <f t="shared" ref="J231:J278" si="14">I231/F231</f>
        <v>32.494061079560709</v>
      </c>
      <c r="K231" s="5">
        <f t="shared" ref="K231:K278" si="15">I231/G231</f>
        <v>7.2206583236941801</v>
      </c>
    </row>
    <row r="232" spans="1:11" x14ac:dyDescent="0.35">
      <c r="A232" t="s">
        <v>178</v>
      </c>
      <c r="C232" t="s">
        <v>102</v>
      </c>
      <c r="D232" t="str">
        <f>VLOOKUP(C232, [1]Lookups!$N$5:$O$57, 2, FALSE)</f>
        <v>California</v>
      </c>
      <c r="E232">
        <v>573</v>
      </c>
      <c r="F232">
        <v>40027372</v>
      </c>
      <c r="G232">
        <v>165163638</v>
      </c>
      <c r="H232" s="5">
        <f t="shared" si="11"/>
        <v>69855.79755671903</v>
      </c>
      <c r="I232">
        <v>931495117</v>
      </c>
      <c r="J232" s="5">
        <f t="shared" si="14"/>
        <v>23.271453269527662</v>
      </c>
      <c r="K232" s="5">
        <f t="shared" si="15"/>
        <v>5.639831674087973</v>
      </c>
    </row>
    <row r="233" spans="1:11" x14ac:dyDescent="0.35">
      <c r="A233" t="s">
        <v>178</v>
      </c>
      <c r="C233" t="s">
        <v>103</v>
      </c>
      <c r="D233" t="str">
        <f>VLOOKUP(C233, [1]Lookups!$N$5:$O$57, 2, FALSE)</f>
        <v>Colorado</v>
      </c>
      <c r="E233">
        <v>160</v>
      </c>
      <c r="F233">
        <v>14053945</v>
      </c>
      <c r="G233">
        <v>24585300</v>
      </c>
      <c r="H233" s="5">
        <f t="shared" si="11"/>
        <v>87837.15625</v>
      </c>
      <c r="I233">
        <v>178266835</v>
      </c>
      <c r="J233" s="5">
        <f t="shared" si="14"/>
        <v>12.684469378526812</v>
      </c>
      <c r="K233" s="5">
        <f t="shared" si="15"/>
        <v>7.2509521950108402</v>
      </c>
    </row>
    <row r="234" spans="1:11" x14ac:dyDescent="0.35">
      <c r="A234" t="s">
        <v>178</v>
      </c>
      <c r="C234" t="s">
        <v>119</v>
      </c>
      <c r="D234" t="str">
        <f>VLOOKUP(C234, [1]Lookups!$N$5:$O$57, 2, FALSE)</f>
        <v>Massachusetts</v>
      </c>
      <c r="E234">
        <v>151</v>
      </c>
      <c r="F234">
        <v>5698854</v>
      </c>
      <c r="G234">
        <v>56975564</v>
      </c>
      <c r="H234" s="5">
        <f t="shared" si="11"/>
        <v>37740.75496688742</v>
      </c>
      <c r="I234">
        <v>137719112</v>
      </c>
      <c r="J234" s="5">
        <f t="shared" si="14"/>
        <v>24.166106378580675</v>
      </c>
      <c r="K234" s="5">
        <f t="shared" si="15"/>
        <v>2.4171610130967727</v>
      </c>
    </row>
    <row r="235" spans="1:11" x14ac:dyDescent="0.35">
      <c r="A235" t="s">
        <v>178</v>
      </c>
      <c r="C235" t="s">
        <v>120</v>
      </c>
      <c r="D235" t="str">
        <f>VLOOKUP(C235, [1]Lookups!$N$5:$O$57, 2, FALSE)</f>
        <v>Maryland</v>
      </c>
      <c r="E235">
        <v>38</v>
      </c>
      <c r="F235">
        <v>3019591</v>
      </c>
      <c r="G235">
        <v>6966072</v>
      </c>
      <c r="H235" s="5">
        <f t="shared" si="11"/>
        <v>79462.921052631573</v>
      </c>
      <c r="I235">
        <v>39816955</v>
      </c>
      <c r="J235" s="5">
        <f t="shared" si="14"/>
        <v>13.186207999692673</v>
      </c>
      <c r="K235" s="5">
        <f t="shared" si="15"/>
        <v>5.7158402899079999</v>
      </c>
    </row>
    <row r="236" spans="1:11" x14ac:dyDescent="0.35">
      <c r="A236" t="s">
        <v>178</v>
      </c>
      <c r="C236" t="s">
        <v>123</v>
      </c>
      <c r="D236" t="str">
        <f>VLOOKUP(C236, [1]Lookups!$N$5:$O$57, 2, FALSE)</f>
        <v>Minnesota</v>
      </c>
      <c r="E236">
        <v>76</v>
      </c>
      <c r="F236">
        <v>5254481</v>
      </c>
      <c r="G236">
        <v>25299442</v>
      </c>
      <c r="H236" s="5">
        <f t="shared" si="11"/>
        <v>69137.90789473684</v>
      </c>
      <c r="I236">
        <v>100499405</v>
      </c>
      <c r="J236" s="5">
        <f t="shared" si="14"/>
        <v>19.126418955554318</v>
      </c>
      <c r="K236" s="5">
        <f t="shared" si="15"/>
        <v>3.9723961105545333</v>
      </c>
    </row>
    <row r="237" spans="1:11" x14ac:dyDescent="0.35">
      <c r="A237" t="s">
        <v>178</v>
      </c>
      <c r="C237" t="s">
        <v>124</v>
      </c>
      <c r="D237" t="str">
        <f>VLOOKUP(C237, [1]Lookups!$N$5:$O$57, 2, FALSE)</f>
        <v>Missouri</v>
      </c>
      <c r="E237">
        <v>50</v>
      </c>
      <c r="F237">
        <v>6113628</v>
      </c>
      <c r="G237">
        <v>13150909</v>
      </c>
      <c r="H237" s="5">
        <f t="shared" si="11"/>
        <v>122272.56</v>
      </c>
      <c r="I237">
        <v>89068641</v>
      </c>
      <c r="J237" s="5">
        <f t="shared" si="14"/>
        <v>14.568868272652507</v>
      </c>
      <c r="K237" s="5">
        <f t="shared" si="15"/>
        <v>6.7728125105268386</v>
      </c>
    </row>
    <row r="238" spans="1:11" x14ac:dyDescent="0.35">
      <c r="A238" t="s">
        <v>178</v>
      </c>
      <c r="C238" t="s">
        <v>127</v>
      </c>
      <c r="D238" t="str">
        <f>VLOOKUP(C238, [1]Lookups!$N$5:$O$57, 2, FALSE)</f>
        <v>North Carolina</v>
      </c>
      <c r="E238">
        <v>36</v>
      </c>
      <c r="F238">
        <v>2308145</v>
      </c>
      <c r="G238">
        <v>8006852</v>
      </c>
      <c r="H238" s="5">
        <f t="shared" si="11"/>
        <v>64115.138888888891</v>
      </c>
      <c r="I238">
        <v>45024652</v>
      </c>
      <c r="J238" s="5">
        <f t="shared" si="14"/>
        <v>19.506855938426746</v>
      </c>
      <c r="K238" s="5">
        <f t="shared" si="15"/>
        <v>5.6232651733790009</v>
      </c>
    </row>
    <row r="239" spans="1:11" x14ac:dyDescent="0.35">
      <c r="A239" t="s">
        <v>178</v>
      </c>
      <c r="C239" t="s">
        <v>131</v>
      </c>
      <c r="D239" t="str">
        <f>VLOOKUP(C239, [1]Lookups!$N$5:$O$57, 2, FALSE)</f>
        <v>New Jersey</v>
      </c>
      <c r="E239">
        <v>56</v>
      </c>
      <c r="F239">
        <v>2613657</v>
      </c>
      <c r="G239">
        <v>21550401</v>
      </c>
      <c r="H239" s="5">
        <f t="shared" si="11"/>
        <v>46672.446428571428</v>
      </c>
      <c r="I239">
        <v>73704102</v>
      </c>
      <c r="J239" s="5">
        <f t="shared" si="14"/>
        <v>28.199607676141131</v>
      </c>
      <c r="K239" s="5">
        <f t="shared" si="15"/>
        <v>3.4200803038421421</v>
      </c>
    </row>
    <row r="240" spans="1:11" x14ac:dyDescent="0.35">
      <c r="A240" t="s">
        <v>178</v>
      </c>
      <c r="C240" t="s">
        <v>134</v>
      </c>
      <c r="D240" t="str">
        <f>VLOOKUP(C240, [1]Lookups!$N$5:$O$57, 2, FALSE)</f>
        <v>New York</v>
      </c>
      <c r="E240">
        <v>23</v>
      </c>
      <c r="F240">
        <v>921826</v>
      </c>
      <c r="G240">
        <v>4485084</v>
      </c>
      <c r="H240" s="5">
        <f t="shared" si="11"/>
        <v>40079.391304347824</v>
      </c>
      <c r="I240">
        <v>11971472</v>
      </c>
      <c r="J240" s="5">
        <f t="shared" si="14"/>
        <v>12.986693801216282</v>
      </c>
      <c r="K240" s="5">
        <f t="shared" si="15"/>
        <v>2.6691745349696907</v>
      </c>
    </row>
    <row r="241" spans="1:11" x14ac:dyDescent="0.35">
      <c r="A241" t="s">
        <v>178</v>
      </c>
      <c r="C241" t="s">
        <v>135</v>
      </c>
      <c r="D241" t="str">
        <f>VLOOKUP(C241, [1]Lookups!$N$5:$O$57, 2, FALSE)</f>
        <v>Ohio</v>
      </c>
      <c r="E241">
        <v>9</v>
      </c>
      <c r="F241">
        <v>678107</v>
      </c>
      <c r="G241">
        <v>1484863</v>
      </c>
      <c r="H241" s="5">
        <f t="shared" si="11"/>
        <v>75345.222222222219</v>
      </c>
      <c r="I241">
        <v>8974467</v>
      </c>
      <c r="J241" s="5">
        <f t="shared" si="14"/>
        <v>13.234588346676851</v>
      </c>
      <c r="K241" s="5">
        <f t="shared" si="15"/>
        <v>6.0439697130307648</v>
      </c>
    </row>
    <row r="242" spans="1:11" x14ac:dyDescent="0.35">
      <c r="A242" t="s">
        <v>178</v>
      </c>
      <c r="C242" t="s">
        <v>137</v>
      </c>
      <c r="D242" t="str">
        <f>VLOOKUP(C242, [1]Lookups!$N$5:$O$57, 2, FALSE)</f>
        <v>Oregon</v>
      </c>
      <c r="E242">
        <v>116</v>
      </c>
      <c r="F242">
        <v>9047431</v>
      </c>
      <c r="G242">
        <v>38867576</v>
      </c>
      <c r="H242" s="5">
        <f t="shared" si="11"/>
        <v>77995.094827586203</v>
      </c>
      <c r="I242">
        <v>207967836</v>
      </c>
      <c r="J242" s="5">
        <f t="shared" si="14"/>
        <v>22.986396469892945</v>
      </c>
      <c r="K242" s="5">
        <f t="shared" si="15"/>
        <v>5.3506767697579081</v>
      </c>
    </row>
    <row r="243" spans="1:11" x14ac:dyDescent="0.35">
      <c r="A243" t="s">
        <v>178</v>
      </c>
      <c r="C243" t="s">
        <v>138</v>
      </c>
      <c r="D243" t="str">
        <f>VLOOKUP(C243, [1]Lookups!$N$5:$O$57, 2, FALSE)</f>
        <v>Pennsylvania</v>
      </c>
      <c r="E243">
        <v>58</v>
      </c>
      <c r="F243">
        <v>2177387</v>
      </c>
      <c r="G243">
        <v>7162790</v>
      </c>
      <c r="H243" s="5">
        <f t="shared" si="11"/>
        <v>37541.15517241379</v>
      </c>
      <c r="I243">
        <v>28888028</v>
      </c>
      <c r="J243" s="5">
        <f t="shared" si="14"/>
        <v>13.267291482864552</v>
      </c>
      <c r="K243" s="5">
        <f t="shared" si="15"/>
        <v>4.0330692369872629</v>
      </c>
    </row>
    <row r="244" spans="1:11" x14ac:dyDescent="0.35">
      <c r="A244" t="s">
        <v>178</v>
      </c>
      <c r="C244" t="s">
        <v>144</v>
      </c>
      <c r="D244" t="str">
        <f>VLOOKUP(C244, [1]Lookups!$N$5:$O$57, 2, FALSE)</f>
        <v>Texas</v>
      </c>
      <c r="E244">
        <v>171</v>
      </c>
      <c r="F244">
        <v>13786879</v>
      </c>
      <c r="G244">
        <v>46892374</v>
      </c>
      <c r="H244" s="5">
        <f>F244/E244</f>
        <v>80625.023391812865</v>
      </c>
      <c r="I244">
        <v>279333373</v>
      </c>
      <c r="J244" s="5">
        <f t="shared" si="14"/>
        <v>20.260812690094692</v>
      </c>
      <c r="K244" s="5">
        <f t="shared" si="15"/>
        <v>5.9569040586428832</v>
      </c>
    </row>
    <row r="245" spans="1:11" x14ac:dyDescent="0.35">
      <c r="A245" t="s">
        <v>178</v>
      </c>
      <c r="C245" t="s">
        <v>145</v>
      </c>
      <c r="D245" t="str">
        <f>VLOOKUP(C245, [1]Lookups!$N$5:$O$57, 2, FALSE)</f>
        <v>Utah</v>
      </c>
      <c r="E245">
        <v>89</v>
      </c>
      <c r="F245">
        <v>6569208</v>
      </c>
      <c r="G245">
        <v>17128008</v>
      </c>
      <c r="H245" s="5">
        <f t="shared" si="11"/>
        <v>73811.325842696635</v>
      </c>
      <c r="I245">
        <v>83098538</v>
      </c>
      <c r="J245" s="5">
        <f t="shared" si="14"/>
        <v>12.649704195696041</v>
      </c>
      <c r="K245" s="5">
        <f t="shared" si="15"/>
        <v>4.8516171874744574</v>
      </c>
    </row>
    <row r="246" spans="1:11" x14ac:dyDescent="0.35">
      <c r="A246" t="s">
        <v>178</v>
      </c>
      <c r="C246" t="s">
        <v>146</v>
      </c>
      <c r="D246" t="str">
        <f>VLOOKUP(C246, [1]Lookups!$N$5:$O$57, 2, FALSE)</f>
        <v>Virginia</v>
      </c>
      <c r="E246">
        <v>6</v>
      </c>
      <c r="F246">
        <v>385469</v>
      </c>
      <c r="G246">
        <v>1428956</v>
      </c>
      <c r="H246" s="5">
        <f t="shared" ref="H246:H278" si="16">F246/E246</f>
        <v>64244.833333333336</v>
      </c>
      <c r="I246">
        <v>4798117</v>
      </c>
      <c r="J246" s="5">
        <f t="shared" si="14"/>
        <v>12.447478266734809</v>
      </c>
      <c r="K246" s="5">
        <f t="shared" si="15"/>
        <v>3.3577779861661239</v>
      </c>
    </row>
    <row r="247" spans="1:11" x14ac:dyDescent="0.35">
      <c r="A247" t="s">
        <v>178</v>
      </c>
      <c r="C247" t="s">
        <v>149</v>
      </c>
      <c r="D247" t="str">
        <f>VLOOKUP(C247, [1]Lookups!$N$5:$O$57, 2, FALSE)</f>
        <v>Washington</v>
      </c>
      <c r="E247">
        <v>54</v>
      </c>
      <c r="F247">
        <v>5410211</v>
      </c>
      <c r="G247">
        <v>24761684</v>
      </c>
      <c r="H247" s="5">
        <f t="shared" si="16"/>
        <v>100189.0925925926</v>
      </c>
      <c r="I247">
        <v>163463700</v>
      </c>
      <c r="J247" s="5">
        <f t="shared" si="14"/>
        <v>30.21392326473034</v>
      </c>
      <c r="K247" s="5">
        <f t="shared" si="15"/>
        <v>6.6014775085571724</v>
      </c>
    </row>
    <row r="248" spans="1:11" x14ac:dyDescent="0.35">
      <c r="A248" t="s">
        <v>179</v>
      </c>
      <c r="C248" t="s">
        <v>102</v>
      </c>
      <c r="D248" t="str">
        <f>VLOOKUP(C248, [1]Lookups!$N$5:$O$57, 2, FALSE)</f>
        <v>California</v>
      </c>
      <c r="E248">
        <v>656</v>
      </c>
      <c r="F248">
        <v>84860355</v>
      </c>
      <c r="G248">
        <v>168179737</v>
      </c>
      <c r="H248" s="5">
        <f t="shared" si="16"/>
        <v>129360.29725609756</v>
      </c>
      <c r="I248">
        <v>1964029505</v>
      </c>
      <c r="J248" s="5">
        <f t="shared" si="14"/>
        <v>23.144252755011454</v>
      </c>
      <c r="K248" s="5">
        <f t="shared" si="15"/>
        <v>11.678157785441179</v>
      </c>
    </row>
    <row r="249" spans="1:11" x14ac:dyDescent="0.35">
      <c r="A249" t="s">
        <v>179</v>
      </c>
      <c r="C249" t="s">
        <v>105</v>
      </c>
      <c r="D249" t="str">
        <f>VLOOKUP(C249, [1]Lookups!$N$5:$O$57, 2, FALSE)</f>
        <v>District of Columbia</v>
      </c>
      <c r="E249">
        <v>920</v>
      </c>
      <c r="F249">
        <v>85106645</v>
      </c>
      <c r="G249">
        <v>228974810</v>
      </c>
      <c r="H249" s="5">
        <f t="shared" si="16"/>
        <v>92507.22282608696</v>
      </c>
      <c r="I249">
        <v>1313511151</v>
      </c>
      <c r="J249" s="5">
        <f t="shared" si="14"/>
        <v>15.433708507719931</v>
      </c>
      <c r="K249" s="5">
        <f t="shared" si="15"/>
        <v>5.7364875682176564</v>
      </c>
    </row>
    <row r="250" spans="1:11" x14ac:dyDescent="0.35">
      <c r="A250" t="s">
        <v>179</v>
      </c>
      <c r="C250" t="s">
        <v>107</v>
      </c>
      <c r="D250" t="str">
        <f>VLOOKUP(C250, [1]Lookups!$N$5:$O$57, 2, FALSE)</f>
        <v>Florida</v>
      </c>
      <c r="E250">
        <v>76</v>
      </c>
      <c r="F250">
        <v>7957230</v>
      </c>
      <c r="G250">
        <v>18494501</v>
      </c>
      <c r="H250" s="5">
        <f t="shared" si="16"/>
        <v>104700.39473684211</v>
      </c>
      <c r="I250">
        <v>136546053</v>
      </c>
      <c r="J250" s="5">
        <f t="shared" si="14"/>
        <v>17.159998265728149</v>
      </c>
      <c r="K250" s="5">
        <f t="shared" si="15"/>
        <v>7.3830622951113956</v>
      </c>
    </row>
    <row r="251" spans="1:11" x14ac:dyDescent="0.35">
      <c r="A251" t="s">
        <v>179</v>
      </c>
      <c r="C251" t="s">
        <v>108</v>
      </c>
      <c r="D251" t="str">
        <f>VLOOKUP(C251, [1]Lookups!$N$5:$O$57, 2, FALSE)</f>
        <v>Georgia</v>
      </c>
      <c r="E251">
        <v>212</v>
      </c>
      <c r="F251">
        <v>22511413</v>
      </c>
      <c r="G251">
        <v>65217325</v>
      </c>
      <c r="H251" s="5">
        <f t="shared" si="16"/>
        <v>106185.91037735849</v>
      </c>
      <c r="I251">
        <v>450023139</v>
      </c>
      <c r="J251" s="5">
        <f t="shared" si="14"/>
        <v>19.990888133054998</v>
      </c>
      <c r="K251" s="5">
        <f t="shared" si="15"/>
        <v>6.9003618133678435</v>
      </c>
    </row>
    <row r="252" spans="1:11" x14ac:dyDescent="0.35">
      <c r="A252" t="s">
        <v>179</v>
      </c>
      <c r="C252" t="s">
        <v>114</v>
      </c>
      <c r="D252" t="str">
        <f>VLOOKUP(C252, [1]Lookups!$N$5:$O$57, 2, FALSE)</f>
        <v>Illinois</v>
      </c>
      <c r="E252">
        <v>1164</v>
      </c>
      <c r="F252">
        <v>73574040</v>
      </c>
      <c r="G252">
        <v>218467141</v>
      </c>
      <c r="H252" s="5">
        <f t="shared" si="16"/>
        <v>63207.938144329899</v>
      </c>
      <c r="I252">
        <v>1378128437</v>
      </c>
      <c r="J252" s="5">
        <f t="shared" si="14"/>
        <v>18.731177967119926</v>
      </c>
      <c r="K252" s="5">
        <f t="shared" si="15"/>
        <v>6.3081726189660712</v>
      </c>
    </row>
    <row r="253" spans="1:11" x14ac:dyDescent="0.35">
      <c r="A253" t="s">
        <v>179</v>
      </c>
      <c r="C253" t="s">
        <v>119</v>
      </c>
      <c r="D253" t="str">
        <f>VLOOKUP(C253, [1]Lookups!$N$5:$O$57, 2, FALSE)</f>
        <v>Massachusetts</v>
      </c>
      <c r="E253">
        <v>338</v>
      </c>
      <c r="F253">
        <v>23062016</v>
      </c>
      <c r="G253">
        <v>160351814</v>
      </c>
      <c r="H253" s="5">
        <f t="shared" si="16"/>
        <v>68230.816568047332</v>
      </c>
      <c r="I253">
        <v>572046325</v>
      </c>
      <c r="J253" s="5">
        <f t="shared" si="14"/>
        <v>24.804697256302312</v>
      </c>
      <c r="K253" s="5">
        <f t="shared" si="15"/>
        <v>3.5674452987479142</v>
      </c>
    </row>
    <row r="254" spans="1:11" x14ac:dyDescent="0.35">
      <c r="A254" t="s">
        <v>179</v>
      </c>
      <c r="C254" t="s">
        <v>120</v>
      </c>
      <c r="D254" t="str">
        <f>VLOOKUP(C254, [1]Lookups!$N$5:$O$57, 2, FALSE)</f>
        <v>Maryland</v>
      </c>
      <c r="E254">
        <v>54</v>
      </c>
      <c r="F254">
        <v>4380269</v>
      </c>
      <c r="G254">
        <v>7275335</v>
      </c>
      <c r="H254" s="5">
        <f t="shared" si="16"/>
        <v>81116.092592592599</v>
      </c>
      <c r="I254">
        <v>32470539</v>
      </c>
      <c r="J254" s="5">
        <f t="shared" si="14"/>
        <v>7.4129098007451137</v>
      </c>
      <c r="K254" s="5">
        <f t="shared" si="15"/>
        <v>4.4630988126319959</v>
      </c>
    </row>
    <row r="255" spans="1:11" x14ac:dyDescent="0.35">
      <c r="A255" t="s">
        <v>179</v>
      </c>
      <c r="C255" t="s">
        <v>131</v>
      </c>
      <c r="D255" t="str">
        <f>VLOOKUP(C255, [1]Lookups!$N$5:$O$57, 2, FALSE)</f>
        <v>New Jersey</v>
      </c>
      <c r="E255">
        <v>381</v>
      </c>
      <c r="F255">
        <v>18262815</v>
      </c>
      <c r="G255">
        <v>101382655</v>
      </c>
      <c r="H255" s="5">
        <f t="shared" si="16"/>
        <v>47933.897637795279</v>
      </c>
      <c r="I255">
        <v>546353547</v>
      </c>
      <c r="J255" s="5">
        <f t="shared" si="14"/>
        <v>29.916173766201979</v>
      </c>
      <c r="K255" s="5">
        <f t="shared" si="15"/>
        <v>5.3890238621192159</v>
      </c>
    </row>
    <row r="256" spans="1:11" x14ac:dyDescent="0.35">
      <c r="A256" t="s">
        <v>179</v>
      </c>
      <c r="C256" t="s">
        <v>134</v>
      </c>
      <c r="D256" t="str">
        <f>VLOOKUP(C256, [1]Lookups!$N$5:$O$57, 2, FALSE)</f>
        <v>New York</v>
      </c>
      <c r="E256">
        <v>5457</v>
      </c>
      <c r="F256">
        <v>357161378</v>
      </c>
      <c r="G256">
        <v>2720253546</v>
      </c>
      <c r="H256" s="5">
        <f t="shared" si="16"/>
        <v>65450.133406633679</v>
      </c>
      <c r="I256">
        <v>10511005234</v>
      </c>
      <c r="J256" s="5">
        <f t="shared" si="14"/>
        <v>29.429288499385283</v>
      </c>
      <c r="K256" s="5">
        <f t="shared" si="15"/>
        <v>3.8639799769605743</v>
      </c>
    </row>
    <row r="257" spans="1:11" x14ac:dyDescent="0.35">
      <c r="A257" t="s">
        <v>179</v>
      </c>
      <c r="C257" t="s">
        <v>135</v>
      </c>
      <c r="D257" t="str">
        <f>VLOOKUP(C257, [1]Lookups!$N$5:$O$57, 2, FALSE)</f>
        <v>Ohio</v>
      </c>
      <c r="E257">
        <v>24</v>
      </c>
      <c r="F257">
        <v>2488976</v>
      </c>
      <c r="G257">
        <v>5666706</v>
      </c>
      <c r="H257" s="5">
        <f t="shared" si="16"/>
        <v>103707.33333333333</v>
      </c>
      <c r="I257">
        <v>36529680</v>
      </c>
      <c r="J257" s="5">
        <f t="shared" si="14"/>
        <v>14.676589890782394</v>
      </c>
      <c r="K257" s="5">
        <f t="shared" si="15"/>
        <v>6.4463693722596513</v>
      </c>
    </row>
    <row r="258" spans="1:11" x14ac:dyDescent="0.35">
      <c r="A258" t="s">
        <v>179</v>
      </c>
      <c r="C258" t="s">
        <v>138</v>
      </c>
      <c r="D258" t="str">
        <f>VLOOKUP(C258, [1]Lookups!$N$5:$O$57, 2, FALSE)</f>
        <v>Pennsylvania</v>
      </c>
      <c r="E258">
        <v>287</v>
      </c>
      <c r="F258">
        <v>17078643</v>
      </c>
      <c r="G258">
        <v>90754189</v>
      </c>
      <c r="H258" s="5">
        <f t="shared" si="16"/>
        <v>59507.466898954706</v>
      </c>
      <c r="I258">
        <v>399537395</v>
      </c>
      <c r="J258" s="5">
        <f t="shared" si="14"/>
        <v>23.393977788516334</v>
      </c>
      <c r="K258" s="5">
        <f t="shared" si="15"/>
        <v>4.4024127084646194</v>
      </c>
    </row>
    <row r="259" spans="1:11" x14ac:dyDescent="0.35">
      <c r="A259" t="s">
        <v>179</v>
      </c>
      <c r="C259" t="s">
        <v>139</v>
      </c>
      <c r="D259" t="str">
        <f>VLOOKUP(C259, [1]Lookups!$N$5:$O$57, 2, FALSE)</f>
        <v>Puerto Rico</v>
      </c>
      <c r="E259">
        <v>32</v>
      </c>
      <c r="F259">
        <v>1860503</v>
      </c>
      <c r="G259">
        <v>5345703</v>
      </c>
      <c r="H259" s="5">
        <f t="shared" si="16"/>
        <v>58140.71875</v>
      </c>
      <c r="I259">
        <v>25647958</v>
      </c>
      <c r="J259" s="5">
        <f t="shared" si="14"/>
        <v>13.785496717823083</v>
      </c>
      <c r="K259" s="5">
        <f t="shared" si="15"/>
        <v>4.7978643781743955</v>
      </c>
    </row>
    <row r="260" spans="1:11" x14ac:dyDescent="0.35">
      <c r="A260" t="s">
        <v>180</v>
      </c>
      <c r="C260" t="s">
        <v>102</v>
      </c>
      <c r="D260" t="str">
        <f>VLOOKUP(C260, [1]Lookups!$N$5:$O$57, 2, FALSE)</f>
        <v>California</v>
      </c>
      <c r="E260">
        <v>369</v>
      </c>
      <c r="F260">
        <v>24140216</v>
      </c>
      <c r="G260">
        <v>34118539</v>
      </c>
      <c r="H260" s="5">
        <f t="shared" si="16"/>
        <v>65420.639566395665</v>
      </c>
      <c r="I260">
        <v>923680643</v>
      </c>
      <c r="J260" s="5">
        <f t="shared" si="14"/>
        <v>38.263147396858422</v>
      </c>
      <c r="K260" s="5">
        <f t="shared" si="15"/>
        <v>27.072690392750992</v>
      </c>
    </row>
    <row r="261" spans="1:11" x14ac:dyDescent="0.35">
      <c r="A261" t="s">
        <v>180</v>
      </c>
      <c r="C261" t="s">
        <v>103</v>
      </c>
      <c r="D261" t="str">
        <f>VLOOKUP(C261, [1]Lookups!$N$5:$O$57, 2, FALSE)</f>
        <v>Colorado</v>
      </c>
      <c r="E261">
        <v>44</v>
      </c>
      <c r="F261">
        <v>5462832</v>
      </c>
      <c r="G261">
        <v>9711377</v>
      </c>
      <c r="H261" s="5">
        <f t="shared" si="16"/>
        <v>124155.27272727272</v>
      </c>
      <c r="I261">
        <v>121331394</v>
      </c>
      <c r="J261" s="5">
        <f t="shared" si="14"/>
        <v>22.210346940927344</v>
      </c>
      <c r="K261" s="5">
        <f t="shared" si="15"/>
        <v>12.493737396869671</v>
      </c>
    </row>
    <row r="262" spans="1:11" x14ac:dyDescent="0.35">
      <c r="A262" t="s">
        <v>180</v>
      </c>
      <c r="C262" t="s">
        <v>104</v>
      </c>
      <c r="D262" t="str">
        <f>VLOOKUP(C262, [1]Lookups!$N$5:$O$57, 2, FALSE)</f>
        <v>Connecticut</v>
      </c>
      <c r="E262">
        <v>31</v>
      </c>
      <c r="F262">
        <v>1438388</v>
      </c>
      <c r="G262">
        <v>595447</v>
      </c>
      <c r="H262" s="5">
        <f t="shared" si="16"/>
        <v>46399.612903225803</v>
      </c>
      <c r="I262">
        <v>16002355</v>
      </c>
      <c r="J262" s="5">
        <f t="shared" si="14"/>
        <v>11.125200571751154</v>
      </c>
      <c r="K262" s="5">
        <f t="shared" si="15"/>
        <v>26.874524516875557</v>
      </c>
    </row>
    <row r="263" spans="1:11" x14ac:dyDescent="0.35">
      <c r="A263" t="s">
        <v>180</v>
      </c>
      <c r="C263" t="s">
        <v>107</v>
      </c>
      <c r="D263" t="str">
        <f>VLOOKUP(C263, [1]Lookups!$N$5:$O$57, 2, FALSE)</f>
        <v>Florida</v>
      </c>
      <c r="E263">
        <v>76</v>
      </c>
      <c r="F263">
        <v>4611884</v>
      </c>
      <c r="G263">
        <v>5935404</v>
      </c>
      <c r="H263" s="5">
        <f t="shared" si="16"/>
        <v>60682.684210526313</v>
      </c>
      <c r="I263">
        <v>143756233</v>
      </c>
      <c r="J263" s="5">
        <f t="shared" si="14"/>
        <v>31.170825849045638</v>
      </c>
      <c r="K263" s="5">
        <f t="shared" si="15"/>
        <v>24.22012604365263</v>
      </c>
    </row>
    <row r="264" spans="1:11" x14ac:dyDescent="0.35">
      <c r="A264" t="s">
        <v>180</v>
      </c>
      <c r="C264" t="s">
        <v>114</v>
      </c>
      <c r="D264" t="str">
        <f>VLOOKUP(C264, [1]Lookups!$N$5:$O$57, 2, FALSE)</f>
        <v>Illinois</v>
      </c>
      <c r="E264">
        <v>1066</v>
      </c>
      <c r="F264">
        <v>44605656</v>
      </c>
      <c r="G264">
        <v>61456663</v>
      </c>
      <c r="H264" s="5">
        <f t="shared" si="16"/>
        <v>41843.954971857413</v>
      </c>
      <c r="I264">
        <v>1365137921</v>
      </c>
      <c r="J264" s="5">
        <f t="shared" si="14"/>
        <v>30.604592408639839</v>
      </c>
      <c r="K264" s="5">
        <f t="shared" si="15"/>
        <v>22.213017341992682</v>
      </c>
    </row>
    <row r="265" spans="1:11" x14ac:dyDescent="0.35">
      <c r="A265" t="s">
        <v>180</v>
      </c>
      <c r="C265" t="s">
        <v>115</v>
      </c>
      <c r="D265" t="str">
        <f>VLOOKUP(C265, [1]Lookups!$N$5:$O$57, 2, FALSE)</f>
        <v>Indiana</v>
      </c>
      <c r="E265">
        <v>70</v>
      </c>
      <c r="F265">
        <v>4393966</v>
      </c>
      <c r="G265">
        <v>3283603</v>
      </c>
      <c r="H265" s="5">
        <f t="shared" si="16"/>
        <v>62770.942857142858</v>
      </c>
      <c r="I265">
        <v>108385897</v>
      </c>
      <c r="J265" s="5">
        <f t="shared" si="14"/>
        <v>24.666985816458297</v>
      </c>
      <c r="K265" s="5">
        <f t="shared" si="15"/>
        <v>33.00822206582221</v>
      </c>
    </row>
    <row r="266" spans="1:11" x14ac:dyDescent="0.35">
      <c r="A266" t="s">
        <v>180</v>
      </c>
      <c r="C266" t="s">
        <v>119</v>
      </c>
      <c r="D266" t="str">
        <f>VLOOKUP(C266, [1]Lookups!$N$5:$O$57, 2, FALSE)</f>
        <v>Massachusetts</v>
      </c>
      <c r="E266">
        <v>436</v>
      </c>
      <c r="F266">
        <v>24935847</v>
      </c>
      <c r="G266">
        <v>31177738</v>
      </c>
      <c r="H266" s="5">
        <f t="shared" si="16"/>
        <v>57192.309633027522</v>
      </c>
      <c r="I266">
        <v>653570994</v>
      </c>
      <c r="J266" s="5">
        <f t="shared" si="14"/>
        <v>26.210098016722672</v>
      </c>
      <c r="K266" s="5">
        <f t="shared" si="15"/>
        <v>20.962745725812436</v>
      </c>
    </row>
    <row r="267" spans="1:11" x14ac:dyDescent="0.35">
      <c r="A267" t="s">
        <v>180</v>
      </c>
      <c r="C267" t="s">
        <v>120</v>
      </c>
      <c r="D267" t="str">
        <f>VLOOKUP(C267, [1]Lookups!$N$5:$O$57, 2, FALSE)</f>
        <v>Maryland</v>
      </c>
      <c r="E267">
        <v>149</v>
      </c>
      <c r="F267">
        <v>6652197</v>
      </c>
      <c r="G267">
        <v>9190885</v>
      </c>
      <c r="H267" s="5">
        <f t="shared" si="16"/>
        <v>44645.617449664431</v>
      </c>
      <c r="I267">
        <v>271391388</v>
      </c>
      <c r="J267" s="5">
        <f t="shared" si="14"/>
        <v>40.797256605599621</v>
      </c>
      <c r="K267" s="5">
        <f t="shared" si="15"/>
        <v>29.528319416465337</v>
      </c>
    </row>
    <row r="268" spans="1:11" x14ac:dyDescent="0.35">
      <c r="A268" t="s">
        <v>180</v>
      </c>
      <c r="C268" t="s">
        <v>121</v>
      </c>
      <c r="D268" t="str">
        <f>VLOOKUP(C268, [1]Lookups!$N$5:$O$57, 2, FALSE)</f>
        <v>Maine</v>
      </c>
      <c r="E268">
        <v>21</v>
      </c>
      <c r="F268">
        <v>2413224</v>
      </c>
      <c r="G268">
        <v>547293</v>
      </c>
      <c r="H268" s="5">
        <f t="shared" si="16"/>
        <v>114915.42857142857</v>
      </c>
      <c r="I268">
        <v>44297074</v>
      </c>
      <c r="J268" s="5">
        <f t="shared" si="14"/>
        <v>18.355972756776826</v>
      </c>
      <c r="K268" s="5">
        <f t="shared" si="15"/>
        <v>80.938499122042487</v>
      </c>
    </row>
    <row r="269" spans="1:11" x14ac:dyDescent="0.35">
      <c r="A269" t="s">
        <v>180</v>
      </c>
      <c r="C269" t="s">
        <v>123</v>
      </c>
      <c r="D269" t="str">
        <f>VLOOKUP(C269, [1]Lookups!$N$5:$O$57, 2, FALSE)</f>
        <v>Minnesota</v>
      </c>
      <c r="E269">
        <v>20</v>
      </c>
      <c r="F269">
        <v>596892</v>
      </c>
      <c r="G269">
        <v>767768</v>
      </c>
      <c r="H269" s="5">
        <f t="shared" si="16"/>
        <v>29844.6</v>
      </c>
      <c r="I269">
        <v>18965595</v>
      </c>
      <c r="J269" s="5">
        <f t="shared" si="14"/>
        <v>31.773913873866629</v>
      </c>
      <c r="K269" s="5">
        <f t="shared" si="15"/>
        <v>24.70224729345323</v>
      </c>
    </row>
    <row r="270" spans="1:11" x14ac:dyDescent="0.35">
      <c r="A270" t="s">
        <v>180</v>
      </c>
      <c r="C270" t="s">
        <v>131</v>
      </c>
      <c r="D270" t="str">
        <f>VLOOKUP(C270, [1]Lookups!$N$5:$O$57, 2, FALSE)</f>
        <v>New Jersey</v>
      </c>
      <c r="E270">
        <v>923</v>
      </c>
      <c r="F270">
        <v>58567859</v>
      </c>
      <c r="G270">
        <v>89562931</v>
      </c>
      <c r="H270" s="5">
        <f t="shared" si="16"/>
        <v>63453.801733477791</v>
      </c>
      <c r="I270">
        <v>2006197776</v>
      </c>
      <c r="J270" s="5">
        <f t="shared" si="14"/>
        <v>34.254244738568985</v>
      </c>
      <c r="K270" s="5">
        <f t="shared" si="15"/>
        <v>22.399867373701738</v>
      </c>
    </row>
    <row r="271" spans="1:11" x14ac:dyDescent="0.35">
      <c r="A271" t="s">
        <v>180</v>
      </c>
      <c r="C271" t="s">
        <v>132</v>
      </c>
      <c r="D271" t="str">
        <f>VLOOKUP(C271, [1]Lookups!$N$5:$O$57, 2, FALSE)</f>
        <v>New Mexico</v>
      </c>
      <c r="E271">
        <v>26</v>
      </c>
      <c r="F271">
        <v>1338457</v>
      </c>
      <c r="G271">
        <v>763428</v>
      </c>
      <c r="H271" s="5">
        <f t="shared" si="16"/>
        <v>51479.115384615383</v>
      </c>
      <c r="I271">
        <v>35411192</v>
      </c>
      <c r="J271" s="5">
        <f t="shared" si="14"/>
        <v>26.456727410742371</v>
      </c>
      <c r="K271" s="5">
        <f t="shared" si="15"/>
        <v>46.384455377586363</v>
      </c>
    </row>
    <row r="272" spans="1:11" x14ac:dyDescent="0.35">
      <c r="A272" t="s">
        <v>180</v>
      </c>
      <c r="C272" t="s">
        <v>134</v>
      </c>
      <c r="D272" t="str">
        <f>VLOOKUP(C272, [1]Lookups!$N$5:$O$57, 2, FALSE)</f>
        <v>New York</v>
      </c>
      <c r="E272">
        <v>2161</v>
      </c>
      <c r="F272">
        <v>135880065</v>
      </c>
      <c r="G272">
        <v>205675126</v>
      </c>
      <c r="H272" s="5">
        <f t="shared" si="16"/>
        <v>62878.327163350303</v>
      </c>
      <c r="I272">
        <v>5964349570</v>
      </c>
      <c r="J272" s="5">
        <f t="shared" si="14"/>
        <v>43.894220760050416</v>
      </c>
      <c r="K272" s="5">
        <f t="shared" si="15"/>
        <v>28.998886185196746</v>
      </c>
    </row>
    <row r="273" spans="1:11" x14ac:dyDescent="0.35">
      <c r="A273" t="s">
        <v>180</v>
      </c>
      <c r="C273" t="s">
        <v>138</v>
      </c>
      <c r="D273" t="str">
        <f>VLOOKUP(C273, [1]Lookups!$N$5:$O$57, 2, FALSE)</f>
        <v>Pennsylvania</v>
      </c>
      <c r="E273">
        <v>388</v>
      </c>
      <c r="F273">
        <v>24501516</v>
      </c>
      <c r="G273">
        <v>36297750</v>
      </c>
      <c r="H273" s="5">
        <f t="shared" si="16"/>
        <v>63148.237113402065</v>
      </c>
      <c r="I273">
        <v>603541707</v>
      </c>
      <c r="J273" s="5">
        <f t="shared" si="14"/>
        <v>24.632831168487698</v>
      </c>
      <c r="K273" s="5">
        <f t="shared" si="15"/>
        <v>16.627523937434137</v>
      </c>
    </row>
    <row r="274" spans="1:11" x14ac:dyDescent="0.35">
      <c r="A274" t="s">
        <v>180</v>
      </c>
      <c r="C274" t="s">
        <v>143</v>
      </c>
      <c r="D274" t="str">
        <f>VLOOKUP(C274, [1]Lookups!$N$5:$O$57, 2, FALSE)</f>
        <v>Tennessee</v>
      </c>
      <c r="E274">
        <v>8</v>
      </c>
      <c r="F274">
        <v>197967</v>
      </c>
      <c r="G274">
        <v>289524</v>
      </c>
      <c r="H274" s="5">
        <f t="shared" si="16"/>
        <v>24745.875</v>
      </c>
      <c r="I274">
        <v>4544152</v>
      </c>
      <c r="J274" s="5">
        <f t="shared" si="14"/>
        <v>22.954088307647233</v>
      </c>
      <c r="K274" s="5">
        <f t="shared" si="15"/>
        <v>15.695251516281898</v>
      </c>
    </row>
    <row r="275" spans="1:11" x14ac:dyDescent="0.35">
      <c r="A275" t="s">
        <v>180</v>
      </c>
      <c r="C275" t="s">
        <v>144</v>
      </c>
      <c r="D275" t="str">
        <f>VLOOKUP(C275, [1]Lookups!$N$5:$O$57, 2, FALSE)</f>
        <v>Texas</v>
      </c>
      <c r="E275">
        <v>43</v>
      </c>
      <c r="F275">
        <v>2969653</v>
      </c>
      <c r="G275">
        <v>2414414</v>
      </c>
      <c r="H275" s="5">
        <f t="shared" si="16"/>
        <v>69061.69767441861</v>
      </c>
      <c r="I275">
        <v>41940297</v>
      </c>
      <c r="J275" s="5">
        <f t="shared" si="14"/>
        <v>14.122962177735918</v>
      </c>
      <c r="K275" s="5">
        <f t="shared" si="15"/>
        <v>17.370797634539894</v>
      </c>
    </row>
    <row r="276" spans="1:11" x14ac:dyDescent="0.35">
      <c r="A276" t="s">
        <v>180</v>
      </c>
      <c r="C276" t="s">
        <v>145</v>
      </c>
      <c r="D276" t="str">
        <f>VLOOKUP(C276, [1]Lookups!$N$5:$O$57, 2, FALSE)</f>
        <v>Utah</v>
      </c>
      <c r="E276">
        <v>50</v>
      </c>
      <c r="F276">
        <v>5401987</v>
      </c>
      <c r="G276">
        <v>5193879</v>
      </c>
      <c r="H276" s="5">
        <f t="shared" si="16"/>
        <v>108039.74</v>
      </c>
      <c r="I276">
        <v>133685517</v>
      </c>
      <c r="J276" s="5">
        <f t="shared" si="14"/>
        <v>24.747471069441669</v>
      </c>
      <c r="K276" s="5">
        <f t="shared" si="15"/>
        <v>25.73905110226865</v>
      </c>
    </row>
    <row r="277" spans="1:11" x14ac:dyDescent="0.35">
      <c r="A277" t="s">
        <v>180</v>
      </c>
      <c r="C277" t="s">
        <v>146</v>
      </c>
      <c r="D277" t="str">
        <f>VLOOKUP(C277, [1]Lookups!$N$5:$O$57, 2, FALSE)</f>
        <v>Virginia</v>
      </c>
      <c r="E277">
        <v>99</v>
      </c>
      <c r="F277">
        <v>2455796</v>
      </c>
      <c r="G277">
        <v>4408114</v>
      </c>
      <c r="H277" s="5">
        <f t="shared" si="16"/>
        <v>24806.020202020201</v>
      </c>
      <c r="I277">
        <v>135051068</v>
      </c>
      <c r="J277" s="5">
        <f t="shared" si="14"/>
        <v>54.992787674546257</v>
      </c>
      <c r="K277" s="5">
        <f t="shared" si="15"/>
        <v>30.636927266400097</v>
      </c>
    </row>
    <row r="278" spans="1:11" x14ac:dyDescent="0.35">
      <c r="A278" t="s">
        <v>180</v>
      </c>
      <c r="C278" t="s">
        <v>149</v>
      </c>
      <c r="D278" t="str">
        <f>VLOOKUP(C278, [1]Lookups!$N$5:$O$57, 2, FALSE)</f>
        <v>Washington</v>
      </c>
      <c r="E278">
        <v>70</v>
      </c>
      <c r="F278">
        <v>2242727</v>
      </c>
      <c r="G278">
        <v>4612415</v>
      </c>
      <c r="H278" s="5">
        <f t="shared" si="16"/>
        <v>32038.957142857143</v>
      </c>
      <c r="I278">
        <v>116066343</v>
      </c>
      <c r="J278" s="5">
        <f t="shared" si="14"/>
        <v>51.75232785800501</v>
      </c>
      <c r="K278" s="5">
        <f t="shared" si="15"/>
        <v>25.163898521707175</v>
      </c>
    </row>
  </sheetData>
  <pageMargins left="0.7" right="0.7" top="0.75" bottom="0.75" header="0.3" footer="0.3"/>
  <ignoredErrors>
    <ignoredError sqref="D2 D3:D14" calculatedColumn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F21F-CF6E-40C9-A121-647FA35A90C3}">
  <dimension ref="A1:M17"/>
  <sheetViews>
    <sheetView zoomScale="80" zoomScaleNormal="80" workbookViewId="0">
      <selection activeCell="A5" sqref="A5:A16"/>
    </sheetView>
  </sheetViews>
  <sheetFormatPr defaultRowHeight="14.5" x14ac:dyDescent="0.35"/>
  <cols>
    <col min="1" max="1" width="19.453125" bestFit="1" customWidth="1"/>
    <col min="2" max="2" width="16.1796875" bestFit="1" customWidth="1"/>
    <col min="3" max="3" width="15" customWidth="1"/>
    <col min="4" max="4" width="14.90625" customWidth="1"/>
    <col min="5" max="5" width="20.1796875" customWidth="1"/>
    <col min="6" max="6" width="20.08984375" customWidth="1"/>
    <col min="7" max="7" width="18.26953125" bestFit="1" customWidth="1"/>
    <col min="8" max="8" width="18.1796875" bestFit="1" customWidth="1"/>
  </cols>
  <sheetData>
    <row r="1" spans="1:13" x14ac:dyDescent="0.35">
      <c r="A1" t="s">
        <v>52</v>
      </c>
      <c r="B1" t="s">
        <v>53</v>
      </c>
      <c r="C1" t="s">
        <v>194</v>
      </c>
      <c r="D1" t="s">
        <v>195</v>
      </c>
      <c r="E1" t="s">
        <v>196</v>
      </c>
      <c r="F1" t="s">
        <v>197</v>
      </c>
      <c r="G1" t="s">
        <v>200</v>
      </c>
      <c r="H1" t="s">
        <v>201</v>
      </c>
      <c r="I1" t="s">
        <v>203</v>
      </c>
      <c r="J1" t="s">
        <v>202</v>
      </c>
      <c r="K1" t="s">
        <v>205</v>
      </c>
      <c r="L1" t="s">
        <v>207</v>
      </c>
      <c r="M1" t="s">
        <v>206</v>
      </c>
    </row>
    <row r="2" spans="1:13" x14ac:dyDescent="0.35">
      <c r="A2" t="s">
        <v>182</v>
      </c>
      <c r="B2" t="s">
        <v>204</v>
      </c>
      <c r="E2" s="8"/>
      <c r="F2" s="8"/>
      <c r="K2">
        <v>0.157</v>
      </c>
      <c r="L2">
        <v>4.0000000000000001E-3</v>
      </c>
      <c r="M2">
        <v>4.0000000000000001E-3</v>
      </c>
    </row>
    <row r="3" spans="1:13" x14ac:dyDescent="0.35">
      <c r="A3" t="s">
        <v>182</v>
      </c>
      <c r="B3" t="s">
        <v>192</v>
      </c>
      <c r="C3">
        <v>8.0000000000000002E-3</v>
      </c>
      <c r="D3">
        <v>1.2999999999999999E-3</v>
      </c>
      <c r="E3" s="8">
        <f>Fuel_Factors[[#This Row],[CH4_g_per_mi]]*INDEX(GWP[GWP], 1)</f>
        <v>0.2</v>
      </c>
      <c r="F3" s="8">
        <f>Fuel_Factors[[#This Row],[N20_g_per_mi]]*INDEX(GWP[GWP], 2)</f>
        <v>0.38739999999999997</v>
      </c>
      <c r="K3">
        <v>0.29799999999999999</v>
      </c>
      <c r="L3">
        <v>6.0000000000000001E-3</v>
      </c>
      <c r="M3">
        <v>4.0000000000000001E-3</v>
      </c>
    </row>
    <row r="4" spans="1:13" x14ac:dyDescent="0.35">
      <c r="A4" t="s">
        <v>182</v>
      </c>
      <c r="B4" t="s">
        <v>193</v>
      </c>
      <c r="C4">
        <v>3.3000000000000002E-2</v>
      </c>
      <c r="D4">
        <v>9.1000000000000004E-3</v>
      </c>
      <c r="E4" s="8">
        <f>Fuel_Factors[[#This Row],[CH4_g_per_mi]]*INDEX(GWP[GWP], 1)</f>
        <v>0.82500000000000007</v>
      </c>
      <c r="F4" s="8">
        <f>Fuel_Factors[[#This Row],[N20_g_per_mi]]*INDEX(GWP[GWP], 2)</f>
        <v>2.7118000000000002</v>
      </c>
      <c r="K4">
        <v>0.68700000000000006</v>
      </c>
      <c r="L4">
        <v>2.4E-2</v>
      </c>
      <c r="M4">
        <v>8.0000000000000002E-3</v>
      </c>
    </row>
    <row r="5" spans="1:13" x14ac:dyDescent="0.35">
      <c r="A5" t="s">
        <v>156</v>
      </c>
      <c r="B5" t="s">
        <v>204</v>
      </c>
      <c r="C5">
        <v>3.0200000000000001E-2</v>
      </c>
      <c r="D5">
        <v>1.9199999999999998E-2</v>
      </c>
      <c r="E5" s="8">
        <f>Fuel_Factors[[#This Row],[CH4_g_per_mi]]*INDEX(GWP[GWP], 1)</f>
        <v>0.755</v>
      </c>
      <c r="F5" s="8">
        <f>Fuel_Factors[[#This Row],[N20_g_per_mi]]*INDEX(GWP[GWP], 2)</f>
        <v>5.7215999999999996</v>
      </c>
    </row>
    <row r="6" spans="1:13" x14ac:dyDescent="0.35">
      <c r="A6" t="s">
        <v>156</v>
      </c>
      <c r="B6" t="s">
        <v>192</v>
      </c>
      <c r="C6">
        <v>2.9000000000000001E-2</v>
      </c>
      <c r="D6">
        <v>2.1399999999999999E-2</v>
      </c>
      <c r="E6" s="8">
        <f>Fuel_Factors[[#This Row],[CH4_g_per_mi]]*INDEX(GWP[GWP], 1)</f>
        <v>0.72500000000000009</v>
      </c>
      <c r="F6" s="8">
        <f>Fuel_Factors[[#This Row],[N20_g_per_mi]]*INDEX(GWP[GWP], 2)</f>
        <v>6.3771999999999993</v>
      </c>
    </row>
    <row r="7" spans="1:13" x14ac:dyDescent="0.35">
      <c r="A7" t="s">
        <v>156</v>
      </c>
      <c r="B7" t="s">
        <v>193</v>
      </c>
      <c r="C7">
        <v>9.4999999999999998E-3</v>
      </c>
      <c r="D7">
        <v>4.3099999999999999E-2</v>
      </c>
      <c r="E7" s="8">
        <f>Fuel_Factors[[#This Row],[CH4_g_per_mi]]*INDEX(GWP[GWP], 1)</f>
        <v>0.23749999999999999</v>
      </c>
      <c r="F7" s="8">
        <f>Fuel_Factors[[#This Row],[N20_g_per_mi]]*INDEX(GWP[GWP], 2)</f>
        <v>12.8438</v>
      </c>
      <c r="K7">
        <v>3.5179999999999998</v>
      </c>
      <c r="L7">
        <v>7.5999999999999998E-2</v>
      </c>
      <c r="M7">
        <v>1.2999999999999999E-2</v>
      </c>
    </row>
    <row r="8" spans="1:13" x14ac:dyDescent="0.35">
      <c r="A8" t="s">
        <v>66</v>
      </c>
      <c r="B8" t="s">
        <v>192</v>
      </c>
      <c r="C8">
        <v>8.1000000000000003E-2</v>
      </c>
      <c r="D8">
        <v>5.0000000000000001E-3</v>
      </c>
      <c r="E8" s="8">
        <f>Fuel_Factors[[#This Row],[CH4_g_per_mi]]*INDEX(GWP[GWP], 1)</f>
        <v>2.0249999999999999</v>
      </c>
      <c r="F8" s="8">
        <f>Fuel_Factors[[#This Row],[N20_g_per_mi]]*INDEX(GWP[GWP], 2)</f>
        <v>1.49</v>
      </c>
    </row>
    <row r="9" spans="1:13" x14ac:dyDescent="0.35">
      <c r="A9" t="s">
        <v>66</v>
      </c>
      <c r="B9" t="s">
        <v>193</v>
      </c>
      <c r="C9">
        <v>4.2</v>
      </c>
      <c r="D9">
        <v>1E-3</v>
      </c>
      <c r="E9" s="8">
        <f>Fuel_Factors[[#This Row],[CH4_g_per_mi]]*INDEX(GWP[GWP], 1)</f>
        <v>105</v>
      </c>
      <c r="F9" s="8">
        <f>Fuel_Factors[[#This Row],[N20_g_per_mi]]*INDEX(GWP[GWP], 2)</f>
        <v>0.29799999999999999</v>
      </c>
    </row>
    <row r="10" spans="1:13" x14ac:dyDescent="0.35">
      <c r="A10" t="s">
        <v>183</v>
      </c>
      <c r="B10" t="s">
        <v>192</v>
      </c>
      <c r="C10">
        <v>8.0000000000000002E-3</v>
      </c>
      <c r="D10">
        <v>5.0000000000000001E-3</v>
      </c>
      <c r="E10" s="8">
        <f>Fuel_Factors[[#This Row],[CH4_g_per_mi]]*INDEX(GWP[GWP], 1)</f>
        <v>0.2</v>
      </c>
      <c r="F10" s="8">
        <f>Fuel_Factors[[#This Row],[N20_g_per_mi]]*INDEX(GWP[GWP], 2)</f>
        <v>1.49</v>
      </c>
    </row>
    <row r="11" spans="1:13" x14ac:dyDescent="0.35">
      <c r="A11" t="s">
        <v>183</v>
      </c>
      <c r="B11" t="s">
        <v>193</v>
      </c>
      <c r="C11">
        <v>7.4999999999999997E-2</v>
      </c>
      <c r="D11">
        <v>2.8000000000000001E-2</v>
      </c>
      <c r="E11" s="8">
        <f>Fuel_Factors[[#This Row],[CH4_g_per_mi]]*INDEX(GWP[GWP], 1)</f>
        <v>1.875</v>
      </c>
      <c r="F11" s="8">
        <f>Fuel_Factors[[#This Row],[N20_g_per_mi]]*INDEX(GWP[GWP], 2)</f>
        <v>8.3439999999999994</v>
      </c>
    </row>
    <row r="12" spans="1:13" x14ac:dyDescent="0.35">
      <c r="A12" t="s">
        <v>70</v>
      </c>
      <c r="B12" t="s">
        <v>193</v>
      </c>
      <c r="C12">
        <v>1.4E-2</v>
      </c>
      <c r="D12">
        <v>3.4000000000000002E-2</v>
      </c>
      <c r="E12" s="8">
        <f>Fuel_Factors[[#This Row],[CH4_g_per_mi]]*INDEX(GWP[GWP], 1)</f>
        <v>0.35000000000000003</v>
      </c>
      <c r="F12" s="8">
        <f>Fuel_Factors[[#This Row],[N20_g_per_mi]]*INDEX(GWP[GWP], 2)</f>
        <v>10.132000000000001</v>
      </c>
    </row>
    <row r="13" spans="1:13" x14ac:dyDescent="0.35">
      <c r="A13" t="s">
        <v>184</v>
      </c>
      <c r="B13" t="s">
        <v>193</v>
      </c>
      <c r="C13">
        <v>3.7</v>
      </c>
      <c r="D13">
        <v>1E-3</v>
      </c>
      <c r="E13" s="8">
        <f>Fuel_Factors[[#This Row],[CH4_g_per_mi]]*INDEX(GWP[GWP], 1)</f>
        <v>92.5</v>
      </c>
      <c r="F13" s="8">
        <f>Fuel_Factors[[#This Row],[N20_g_per_mi]]*INDEX(GWP[GWP], 2)</f>
        <v>0.29799999999999999</v>
      </c>
    </row>
    <row r="14" spans="1:13" x14ac:dyDescent="0.35">
      <c r="A14" t="s">
        <v>156</v>
      </c>
      <c r="B14" t="s">
        <v>181</v>
      </c>
      <c r="C14" t="s">
        <v>199</v>
      </c>
      <c r="E14" s="8"/>
      <c r="F14" s="8"/>
      <c r="G14">
        <v>0.8</v>
      </c>
      <c r="H14">
        <v>0.26</v>
      </c>
      <c r="I14">
        <f>Fuel_Factors[[#This Row],[CH4_g_per_gallon]]*INDEX(GWP[GWP], 1)</f>
        <v>20</v>
      </c>
      <c r="J14">
        <f>Fuel_Factors[[#This Row],[N20_g_per_gallon]]*INDEX(GWP[GWP], 2)</f>
        <v>77.48</v>
      </c>
      <c r="K14">
        <v>6.474219066903808E-2</v>
      </c>
      <c r="L14">
        <v>1.2907268133754085E-3</v>
      </c>
    </row>
    <row r="15" spans="1:13" x14ac:dyDescent="0.35">
      <c r="A15" t="s">
        <v>182</v>
      </c>
      <c r="B15" t="s">
        <v>208</v>
      </c>
      <c r="E15" s="8"/>
      <c r="F15" s="8"/>
      <c r="K15">
        <v>1.6306666666666665</v>
      </c>
      <c r="L15">
        <v>4.1333333333333333E-2</v>
      </c>
      <c r="M15">
        <v>9.6666666666666672E-3</v>
      </c>
    </row>
    <row r="16" spans="1:13" x14ac:dyDescent="0.35">
      <c r="A16" t="s">
        <v>156</v>
      </c>
      <c r="B16" t="s">
        <v>175</v>
      </c>
      <c r="E16" s="8"/>
      <c r="F16" s="8"/>
      <c r="K16">
        <v>6.4742190669038084</v>
      </c>
      <c r="L16">
        <v>0.12907268133754085</v>
      </c>
      <c r="M16">
        <v>1.1639794377620125E-2</v>
      </c>
    </row>
    <row r="17" spans="1:13" x14ac:dyDescent="0.35">
      <c r="A17" t="s">
        <v>66</v>
      </c>
      <c r="B17" t="s">
        <v>175</v>
      </c>
      <c r="E17" s="8"/>
      <c r="F17" s="8"/>
      <c r="K17">
        <v>3.4541681773635462</v>
      </c>
      <c r="L17">
        <v>2.6133868004108773E-2</v>
      </c>
      <c r="M17">
        <v>1.1639794377620125E-2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B760-61E2-4C3C-B734-67EBC38A98CD}">
  <dimension ref="A1:K39"/>
  <sheetViews>
    <sheetView workbookViewId="0">
      <selection sqref="A1:K39"/>
    </sheetView>
  </sheetViews>
  <sheetFormatPr defaultRowHeight="14.5" x14ac:dyDescent="0.35"/>
  <cols>
    <col min="1" max="1" width="18.36328125" customWidth="1"/>
    <col min="2" max="2" width="13.36328125" bestFit="1" customWidth="1"/>
    <col min="3" max="3" width="20.453125" customWidth="1"/>
    <col min="4" max="4" width="24.81640625" customWidth="1"/>
    <col min="5" max="5" width="16.54296875" customWidth="1"/>
    <col min="6" max="6" width="40.36328125" bestFit="1" customWidth="1"/>
    <col min="7" max="7" width="24.54296875" customWidth="1"/>
    <col min="8" max="8" width="25.6328125" customWidth="1"/>
    <col min="9" max="9" width="16.6328125" customWidth="1"/>
    <col min="10" max="10" width="21.54296875" customWidth="1"/>
    <col min="11" max="11" width="25.90625" customWidth="1"/>
  </cols>
  <sheetData>
    <row r="1" spans="1:11" x14ac:dyDescent="0.35">
      <c r="A1" t="s">
        <v>53</v>
      </c>
      <c r="B1" t="s">
        <v>52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298</v>
      </c>
    </row>
    <row r="2" spans="1:11" x14ac:dyDescent="0.35">
      <c r="A2" t="s">
        <v>204</v>
      </c>
      <c r="B2" t="s">
        <v>55</v>
      </c>
      <c r="C2">
        <v>7.94</v>
      </c>
      <c r="D2" t="s">
        <v>299</v>
      </c>
      <c r="E2">
        <v>1</v>
      </c>
      <c r="F2" t="s">
        <v>300</v>
      </c>
      <c r="G2">
        <v>0.1275</v>
      </c>
      <c r="H2">
        <v>0.44700000000000001</v>
      </c>
      <c r="I2">
        <v>0</v>
      </c>
      <c r="J2">
        <v>0</v>
      </c>
      <c r="K2" t="s">
        <v>300</v>
      </c>
    </row>
    <row r="3" spans="1:11" x14ac:dyDescent="0.35">
      <c r="A3" t="s">
        <v>204</v>
      </c>
      <c r="B3" t="s">
        <v>56</v>
      </c>
      <c r="C3">
        <v>0</v>
      </c>
      <c r="D3" t="s">
        <v>300</v>
      </c>
      <c r="E3">
        <v>0</v>
      </c>
      <c r="F3" t="s">
        <v>300</v>
      </c>
      <c r="G3">
        <v>0</v>
      </c>
      <c r="H3">
        <v>0</v>
      </c>
      <c r="I3">
        <v>1</v>
      </c>
      <c r="J3">
        <v>34</v>
      </c>
      <c r="K3" t="s">
        <v>301</v>
      </c>
    </row>
    <row r="4" spans="1:11" x14ac:dyDescent="0.35">
      <c r="A4" t="s">
        <v>204</v>
      </c>
      <c r="B4" t="s">
        <v>57</v>
      </c>
      <c r="C4">
        <v>0</v>
      </c>
      <c r="D4" t="s">
        <v>300</v>
      </c>
      <c r="E4">
        <v>0</v>
      </c>
      <c r="F4" t="s">
        <v>300</v>
      </c>
      <c r="G4">
        <v>0</v>
      </c>
      <c r="H4">
        <v>0</v>
      </c>
      <c r="I4">
        <v>1</v>
      </c>
      <c r="J4">
        <v>34</v>
      </c>
      <c r="K4" t="s">
        <v>301</v>
      </c>
    </row>
    <row r="5" spans="1:11" x14ac:dyDescent="0.35">
      <c r="A5" t="s">
        <v>204</v>
      </c>
      <c r="B5" t="s">
        <v>58</v>
      </c>
      <c r="C5">
        <v>0</v>
      </c>
      <c r="D5" t="s">
        <v>300</v>
      </c>
      <c r="E5">
        <v>0</v>
      </c>
      <c r="F5" t="s">
        <v>300</v>
      </c>
      <c r="G5">
        <v>0</v>
      </c>
      <c r="H5">
        <v>0</v>
      </c>
      <c r="I5">
        <v>1</v>
      </c>
      <c r="J5">
        <v>34</v>
      </c>
      <c r="K5" t="s">
        <v>301</v>
      </c>
    </row>
    <row r="6" spans="1:11" x14ac:dyDescent="0.35">
      <c r="A6" t="s">
        <v>204</v>
      </c>
      <c r="B6" t="s">
        <v>59</v>
      </c>
      <c r="C6">
        <v>7.94</v>
      </c>
      <c r="D6" t="s">
        <v>299</v>
      </c>
      <c r="E6">
        <v>1</v>
      </c>
      <c r="F6" t="s">
        <v>300</v>
      </c>
      <c r="G6">
        <v>0.1275</v>
      </c>
      <c r="H6">
        <v>0.44700000000000001</v>
      </c>
      <c r="I6">
        <v>0</v>
      </c>
      <c r="J6">
        <v>0</v>
      </c>
      <c r="K6" t="s">
        <v>300</v>
      </c>
    </row>
    <row r="7" spans="1:11" x14ac:dyDescent="0.35">
      <c r="A7" t="s">
        <v>204</v>
      </c>
      <c r="B7" t="s">
        <v>60</v>
      </c>
      <c r="C7">
        <v>9.4</v>
      </c>
      <c r="D7" t="s">
        <v>299</v>
      </c>
      <c r="E7">
        <v>0.89300000000000002</v>
      </c>
      <c r="F7" t="s">
        <v>302</v>
      </c>
      <c r="G7">
        <v>0.755</v>
      </c>
      <c r="H7">
        <v>5.7215999999999996</v>
      </c>
      <c r="I7">
        <v>0</v>
      </c>
      <c r="J7">
        <v>0</v>
      </c>
      <c r="K7" t="s">
        <v>300</v>
      </c>
    </row>
    <row r="8" spans="1:11" x14ac:dyDescent="0.35">
      <c r="A8" t="s">
        <v>204</v>
      </c>
      <c r="B8" t="s">
        <v>61</v>
      </c>
      <c r="C8">
        <v>5.4399999999999997E-2</v>
      </c>
      <c r="D8" t="s">
        <v>303</v>
      </c>
      <c r="E8">
        <v>123.57</v>
      </c>
      <c r="F8" t="s">
        <v>304</v>
      </c>
      <c r="G8">
        <v>2.0249999999999999</v>
      </c>
      <c r="H8">
        <v>1.49</v>
      </c>
      <c r="I8">
        <v>0</v>
      </c>
      <c r="J8">
        <v>0</v>
      </c>
      <c r="K8" t="s">
        <v>300</v>
      </c>
    </row>
    <row r="9" spans="1:11" x14ac:dyDescent="0.35">
      <c r="A9" t="s">
        <v>204</v>
      </c>
      <c r="B9" t="s">
        <v>62</v>
      </c>
      <c r="C9">
        <v>7.94</v>
      </c>
      <c r="D9" t="s">
        <v>299</v>
      </c>
      <c r="E9">
        <v>1</v>
      </c>
      <c r="F9" t="s">
        <v>300</v>
      </c>
      <c r="G9">
        <v>0.1275</v>
      </c>
      <c r="H9">
        <v>0.44700000000000001</v>
      </c>
      <c r="I9">
        <v>0</v>
      </c>
      <c r="J9">
        <v>0</v>
      </c>
      <c r="K9" t="s">
        <v>300</v>
      </c>
    </row>
    <row r="10" spans="1:11" x14ac:dyDescent="0.35">
      <c r="A10" t="s">
        <v>204</v>
      </c>
      <c r="B10" t="s">
        <v>63</v>
      </c>
      <c r="C10">
        <v>7.94</v>
      </c>
      <c r="D10" t="s">
        <v>299</v>
      </c>
      <c r="E10">
        <v>1</v>
      </c>
      <c r="F10" t="s">
        <v>300</v>
      </c>
      <c r="G10">
        <v>0.1275</v>
      </c>
      <c r="H10">
        <v>0.44700000000000001</v>
      </c>
      <c r="I10">
        <v>1</v>
      </c>
      <c r="J10">
        <v>34</v>
      </c>
      <c r="K10" t="s">
        <v>301</v>
      </c>
    </row>
    <row r="11" spans="1:11" x14ac:dyDescent="0.35">
      <c r="A11" t="s">
        <v>204</v>
      </c>
      <c r="B11" t="s">
        <v>64</v>
      </c>
      <c r="C11">
        <v>7.94</v>
      </c>
      <c r="D11" t="s">
        <v>299</v>
      </c>
      <c r="E11">
        <v>1</v>
      </c>
      <c r="F11" t="s">
        <v>300</v>
      </c>
      <c r="G11">
        <v>0.1275</v>
      </c>
      <c r="H11">
        <v>0.44700000000000001</v>
      </c>
      <c r="I11">
        <v>1</v>
      </c>
      <c r="J11">
        <v>34</v>
      </c>
      <c r="K11" t="s">
        <v>301</v>
      </c>
    </row>
    <row r="12" spans="1:11" x14ac:dyDescent="0.35">
      <c r="A12" t="s">
        <v>204</v>
      </c>
      <c r="B12" t="s">
        <v>65</v>
      </c>
      <c r="C12">
        <v>0</v>
      </c>
      <c r="D12" t="s">
        <v>300</v>
      </c>
      <c r="E12">
        <v>0</v>
      </c>
      <c r="F12" t="s">
        <v>300</v>
      </c>
      <c r="G12">
        <v>0</v>
      </c>
      <c r="H12">
        <v>0</v>
      </c>
      <c r="I12">
        <v>0</v>
      </c>
      <c r="J12">
        <v>0</v>
      </c>
      <c r="K12" t="s">
        <v>300</v>
      </c>
    </row>
    <row r="13" spans="1:11" x14ac:dyDescent="0.35">
      <c r="A13" t="s">
        <v>192</v>
      </c>
      <c r="B13" t="s">
        <v>55</v>
      </c>
      <c r="C13">
        <v>7.94</v>
      </c>
      <c r="D13" t="s">
        <v>299</v>
      </c>
      <c r="E13">
        <v>1</v>
      </c>
      <c r="F13" t="s">
        <v>300</v>
      </c>
      <c r="G13">
        <v>0.2</v>
      </c>
      <c r="H13">
        <v>0.38739999999999997</v>
      </c>
      <c r="I13">
        <v>0</v>
      </c>
      <c r="J13">
        <v>0</v>
      </c>
      <c r="K13" t="s">
        <v>300</v>
      </c>
    </row>
    <row r="14" spans="1:11" x14ac:dyDescent="0.35">
      <c r="A14" t="s">
        <v>192</v>
      </c>
      <c r="B14" t="s">
        <v>56</v>
      </c>
      <c r="C14">
        <v>0</v>
      </c>
      <c r="D14" t="s">
        <v>300</v>
      </c>
      <c r="E14">
        <v>0</v>
      </c>
      <c r="F14" t="s">
        <v>300</v>
      </c>
      <c r="G14">
        <v>0</v>
      </c>
      <c r="H14">
        <v>0</v>
      </c>
      <c r="I14">
        <v>1</v>
      </c>
      <c r="J14">
        <v>34</v>
      </c>
      <c r="K14" t="s">
        <v>301</v>
      </c>
    </row>
    <row r="15" spans="1:11" x14ac:dyDescent="0.35">
      <c r="A15" t="s">
        <v>192</v>
      </c>
      <c r="B15" t="s">
        <v>57</v>
      </c>
      <c r="C15">
        <v>0</v>
      </c>
      <c r="D15" t="s">
        <v>300</v>
      </c>
      <c r="E15">
        <v>0</v>
      </c>
      <c r="F15" t="s">
        <v>300</v>
      </c>
      <c r="G15">
        <v>0</v>
      </c>
      <c r="H15">
        <v>0</v>
      </c>
      <c r="I15">
        <v>1</v>
      </c>
      <c r="J15">
        <v>34</v>
      </c>
      <c r="K15" t="s">
        <v>301</v>
      </c>
    </row>
    <row r="16" spans="1:11" x14ac:dyDescent="0.35">
      <c r="A16" t="s">
        <v>192</v>
      </c>
      <c r="B16" t="s">
        <v>58</v>
      </c>
      <c r="C16">
        <v>0</v>
      </c>
      <c r="D16" t="s">
        <v>300</v>
      </c>
      <c r="E16">
        <v>0</v>
      </c>
      <c r="F16" t="s">
        <v>300</v>
      </c>
      <c r="G16">
        <v>0</v>
      </c>
      <c r="H16">
        <v>0</v>
      </c>
      <c r="I16">
        <v>1</v>
      </c>
      <c r="J16">
        <v>34</v>
      </c>
      <c r="K16" t="s">
        <v>301</v>
      </c>
    </row>
    <row r="17" spans="1:11" x14ac:dyDescent="0.35">
      <c r="A17" t="s">
        <v>192</v>
      </c>
      <c r="B17" t="s">
        <v>59</v>
      </c>
      <c r="C17">
        <v>7.94</v>
      </c>
      <c r="D17" t="s">
        <v>299</v>
      </c>
      <c r="E17">
        <v>1</v>
      </c>
      <c r="F17" t="s">
        <v>300</v>
      </c>
      <c r="G17">
        <v>0.2</v>
      </c>
      <c r="H17">
        <v>1.49</v>
      </c>
      <c r="I17">
        <v>0</v>
      </c>
      <c r="J17">
        <v>0</v>
      </c>
      <c r="K17" t="s">
        <v>300</v>
      </c>
    </row>
    <row r="18" spans="1:11" x14ac:dyDescent="0.35">
      <c r="A18" t="s">
        <v>192</v>
      </c>
      <c r="B18" t="s">
        <v>60</v>
      </c>
      <c r="C18">
        <v>9.4</v>
      </c>
      <c r="D18" t="s">
        <v>299</v>
      </c>
      <c r="E18">
        <v>0.89300000000000002</v>
      </c>
      <c r="F18" t="s">
        <v>302</v>
      </c>
      <c r="G18">
        <v>0.72500000000000009</v>
      </c>
      <c r="H18">
        <v>6.3771999999999993</v>
      </c>
      <c r="I18">
        <v>0</v>
      </c>
      <c r="J18">
        <v>0</v>
      </c>
      <c r="K18" t="s">
        <v>300</v>
      </c>
    </row>
    <row r="19" spans="1:11" x14ac:dyDescent="0.35">
      <c r="A19" t="s">
        <v>192</v>
      </c>
      <c r="B19" t="s">
        <v>61</v>
      </c>
      <c r="C19">
        <v>5.4399999999999997E-2</v>
      </c>
      <c r="D19" t="s">
        <v>303</v>
      </c>
      <c r="E19">
        <v>123.57</v>
      </c>
      <c r="F19" t="s">
        <v>304</v>
      </c>
      <c r="G19">
        <v>2.0249999999999999</v>
      </c>
      <c r="H19">
        <v>1.49</v>
      </c>
      <c r="I19">
        <v>0</v>
      </c>
      <c r="J19">
        <v>0</v>
      </c>
      <c r="K19" t="s">
        <v>300</v>
      </c>
    </row>
    <row r="20" spans="1:11" x14ac:dyDescent="0.35">
      <c r="A20" t="s">
        <v>192</v>
      </c>
      <c r="B20" t="s">
        <v>62</v>
      </c>
      <c r="C20">
        <v>7.94</v>
      </c>
      <c r="D20" t="s">
        <v>299</v>
      </c>
      <c r="E20">
        <v>1</v>
      </c>
      <c r="F20" t="s">
        <v>300</v>
      </c>
      <c r="G20">
        <v>0.2</v>
      </c>
      <c r="H20">
        <v>0.38739999999999997</v>
      </c>
      <c r="I20">
        <v>0</v>
      </c>
      <c r="J20">
        <v>0</v>
      </c>
      <c r="K20" t="s">
        <v>300</v>
      </c>
    </row>
    <row r="21" spans="1:11" x14ac:dyDescent="0.35">
      <c r="A21" t="s">
        <v>192</v>
      </c>
      <c r="B21" t="s">
        <v>63</v>
      </c>
      <c r="C21">
        <v>7.94</v>
      </c>
      <c r="D21" t="s">
        <v>299</v>
      </c>
      <c r="E21">
        <v>1</v>
      </c>
      <c r="F21" t="s">
        <v>300</v>
      </c>
      <c r="G21">
        <v>0.2</v>
      </c>
      <c r="H21">
        <v>0.38739999999999997</v>
      </c>
      <c r="I21">
        <v>1</v>
      </c>
      <c r="J21">
        <v>34</v>
      </c>
      <c r="K21" t="s">
        <v>301</v>
      </c>
    </row>
    <row r="22" spans="1:11" x14ac:dyDescent="0.35">
      <c r="A22" t="s">
        <v>192</v>
      </c>
      <c r="B22" t="s">
        <v>64</v>
      </c>
      <c r="C22">
        <v>7.94</v>
      </c>
      <c r="D22" t="s">
        <v>299</v>
      </c>
      <c r="E22">
        <v>1</v>
      </c>
      <c r="F22" t="s">
        <v>300</v>
      </c>
      <c r="G22">
        <v>0.2</v>
      </c>
      <c r="H22">
        <v>0.38739999999999997</v>
      </c>
      <c r="I22">
        <v>1</v>
      </c>
      <c r="J22">
        <v>34</v>
      </c>
      <c r="K22" t="s">
        <v>301</v>
      </c>
    </row>
    <row r="23" spans="1:11" x14ac:dyDescent="0.35">
      <c r="A23" t="s">
        <v>192</v>
      </c>
      <c r="B23" t="s">
        <v>65</v>
      </c>
      <c r="C23">
        <v>0</v>
      </c>
      <c r="D23" t="s">
        <v>300</v>
      </c>
      <c r="E23">
        <v>0</v>
      </c>
      <c r="F23" t="s">
        <v>300</v>
      </c>
      <c r="G23">
        <v>0</v>
      </c>
      <c r="H23">
        <v>0</v>
      </c>
      <c r="I23">
        <v>0</v>
      </c>
      <c r="J23">
        <v>0</v>
      </c>
      <c r="K23" t="s">
        <v>300</v>
      </c>
    </row>
    <row r="24" spans="1:11" x14ac:dyDescent="0.35">
      <c r="A24" t="s">
        <v>222</v>
      </c>
      <c r="B24" t="s">
        <v>55</v>
      </c>
      <c r="C24">
        <v>7.94</v>
      </c>
      <c r="D24" t="s">
        <v>299</v>
      </c>
      <c r="E24">
        <v>1</v>
      </c>
      <c r="F24" t="s">
        <v>300</v>
      </c>
      <c r="G24">
        <v>0.82500000000000007</v>
      </c>
      <c r="H24">
        <v>2.7118000000000002</v>
      </c>
      <c r="I24">
        <v>0</v>
      </c>
      <c r="J24">
        <v>0</v>
      </c>
      <c r="K24" t="s">
        <v>300</v>
      </c>
    </row>
    <row r="25" spans="1:11" x14ac:dyDescent="0.35">
      <c r="A25" t="s">
        <v>222</v>
      </c>
      <c r="B25" t="s">
        <v>60</v>
      </c>
      <c r="C25">
        <v>9.4</v>
      </c>
      <c r="D25" t="s">
        <v>299</v>
      </c>
      <c r="E25">
        <v>0.89300000000000002</v>
      </c>
      <c r="F25" t="s">
        <v>302</v>
      </c>
      <c r="G25">
        <v>0.23749999999999999</v>
      </c>
      <c r="H25">
        <v>12.8438</v>
      </c>
      <c r="I25">
        <v>0</v>
      </c>
      <c r="J25">
        <v>0</v>
      </c>
      <c r="K25" t="s">
        <v>300</v>
      </c>
    </row>
    <row r="26" spans="1:11" x14ac:dyDescent="0.35">
      <c r="A26" t="s">
        <v>222</v>
      </c>
      <c r="B26" t="s">
        <v>66</v>
      </c>
      <c r="C26">
        <v>5.4399999999999997E-2</v>
      </c>
      <c r="D26" t="s">
        <v>303</v>
      </c>
      <c r="E26">
        <v>123.57</v>
      </c>
      <c r="F26" t="s">
        <v>304</v>
      </c>
      <c r="G26">
        <v>105</v>
      </c>
      <c r="H26">
        <v>0.29799999999999999</v>
      </c>
      <c r="I26">
        <v>0</v>
      </c>
      <c r="J26">
        <v>0</v>
      </c>
      <c r="K26" t="s">
        <v>300</v>
      </c>
    </row>
    <row r="27" spans="1:11" x14ac:dyDescent="0.35">
      <c r="A27" t="s">
        <v>222</v>
      </c>
      <c r="B27" t="s">
        <v>59</v>
      </c>
      <c r="C27">
        <v>7.94</v>
      </c>
      <c r="D27" t="s">
        <v>299</v>
      </c>
      <c r="E27">
        <v>1</v>
      </c>
      <c r="F27" t="s">
        <v>300</v>
      </c>
      <c r="G27">
        <v>1.875</v>
      </c>
      <c r="H27">
        <v>8.3439999999999994</v>
      </c>
      <c r="I27">
        <v>0</v>
      </c>
      <c r="J27">
        <v>0</v>
      </c>
      <c r="K27" t="s">
        <v>300</v>
      </c>
    </row>
    <row r="28" spans="1:11" x14ac:dyDescent="0.35">
      <c r="A28" t="s">
        <v>222</v>
      </c>
      <c r="B28" t="s">
        <v>67</v>
      </c>
      <c r="C28">
        <v>0</v>
      </c>
      <c r="D28" t="s">
        <v>300</v>
      </c>
      <c r="E28">
        <v>0</v>
      </c>
      <c r="F28" t="s">
        <v>300</v>
      </c>
      <c r="G28">
        <v>0</v>
      </c>
      <c r="H28">
        <v>0</v>
      </c>
      <c r="I28">
        <v>1</v>
      </c>
      <c r="J28">
        <v>34</v>
      </c>
      <c r="K28" t="s">
        <v>301</v>
      </c>
    </row>
    <row r="29" spans="1:11" x14ac:dyDescent="0.35">
      <c r="A29" t="s">
        <v>222</v>
      </c>
      <c r="B29" t="s">
        <v>69</v>
      </c>
      <c r="C29">
        <v>7.94</v>
      </c>
      <c r="D29" t="s">
        <v>299</v>
      </c>
      <c r="E29">
        <v>1</v>
      </c>
      <c r="F29" t="s">
        <v>300</v>
      </c>
      <c r="G29">
        <v>0.82500000000000007</v>
      </c>
      <c r="H29">
        <v>2.7118000000000002</v>
      </c>
      <c r="I29">
        <v>1</v>
      </c>
      <c r="J29">
        <v>34</v>
      </c>
      <c r="K29" t="s">
        <v>301</v>
      </c>
    </row>
    <row r="30" spans="1:11" x14ac:dyDescent="0.35">
      <c r="A30" t="s">
        <v>222</v>
      </c>
      <c r="B30" t="s">
        <v>68</v>
      </c>
      <c r="C30">
        <v>9.4</v>
      </c>
      <c r="D30" t="s">
        <v>299</v>
      </c>
      <c r="E30">
        <v>0.89300000000000002</v>
      </c>
      <c r="F30" t="s">
        <v>302</v>
      </c>
      <c r="G30">
        <v>0.23749999999999999</v>
      </c>
      <c r="H30">
        <v>12.8438</v>
      </c>
      <c r="I30">
        <v>1</v>
      </c>
      <c r="J30">
        <v>34</v>
      </c>
      <c r="K30" t="s">
        <v>301</v>
      </c>
    </row>
    <row r="31" spans="1:11" x14ac:dyDescent="0.35">
      <c r="A31" t="s">
        <v>222</v>
      </c>
      <c r="B31" t="s">
        <v>65</v>
      </c>
      <c r="C31">
        <v>0</v>
      </c>
      <c r="D31" t="s">
        <v>300</v>
      </c>
      <c r="E31">
        <v>0</v>
      </c>
      <c r="F31" t="s">
        <v>300</v>
      </c>
      <c r="G31">
        <v>0</v>
      </c>
      <c r="H31">
        <v>0</v>
      </c>
      <c r="I31">
        <v>0</v>
      </c>
      <c r="J31">
        <v>0</v>
      </c>
      <c r="K31" t="s">
        <v>300</v>
      </c>
    </row>
    <row r="32" spans="1:11" x14ac:dyDescent="0.35">
      <c r="A32" t="s">
        <v>193</v>
      </c>
      <c r="B32" t="s">
        <v>55</v>
      </c>
      <c r="C32">
        <v>7.94</v>
      </c>
      <c r="D32" t="s">
        <v>299</v>
      </c>
      <c r="E32">
        <v>1</v>
      </c>
      <c r="F32" t="s">
        <v>300</v>
      </c>
      <c r="G32">
        <v>0.82500000000000007</v>
      </c>
      <c r="H32">
        <v>2.7118000000000002</v>
      </c>
      <c r="I32">
        <v>0</v>
      </c>
      <c r="J32">
        <v>0</v>
      </c>
      <c r="K32" t="s">
        <v>300</v>
      </c>
    </row>
    <row r="33" spans="1:11" x14ac:dyDescent="0.35">
      <c r="A33" t="s">
        <v>193</v>
      </c>
      <c r="B33" t="s">
        <v>60</v>
      </c>
      <c r="C33">
        <v>9.4</v>
      </c>
      <c r="D33" t="s">
        <v>299</v>
      </c>
      <c r="E33">
        <v>0.89300000000000002</v>
      </c>
      <c r="F33" t="s">
        <v>302</v>
      </c>
      <c r="G33">
        <v>0.23749999999999999</v>
      </c>
      <c r="H33">
        <v>12.8438</v>
      </c>
      <c r="I33">
        <v>0</v>
      </c>
      <c r="J33">
        <v>0</v>
      </c>
      <c r="K33" t="s">
        <v>300</v>
      </c>
    </row>
    <row r="34" spans="1:11" x14ac:dyDescent="0.35">
      <c r="A34" t="s">
        <v>193</v>
      </c>
      <c r="B34" t="s">
        <v>66</v>
      </c>
      <c r="C34">
        <v>5.4399999999999997E-2</v>
      </c>
      <c r="D34" t="s">
        <v>303</v>
      </c>
      <c r="E34">
        <v>123.57</v>
      </c>
      <c r="F34" t="s">
        <v>304</v>
      </c>
      <c r="G34">
        <v>105</v>
      </c>
      <c r="H34">
        <v>0.29799999999999999</v>
      </c>
      <c r="I34">
        <v>0</v>
      </c>
      <c r="J34">
        <v>0</v>
      </c>
      <c r="K34" t="s">
        <v>300</v>
      </c>
    </row>
    <row r="35" spans="1:11" x14ac:dyDescent="0.35">
      <c r="A35" t="s">
        <v>193</v>
      </c>
      <c r="B35" t="s">
        <v>70</v>
      </c>
      <c r="C35">
        <v>5.72</v>
      </c>
      <c r="D35" t="s">
        <v>299</v>
      </c>
      <c r="E35">
        <v>1.3513513513513513</v>
      </c>
      <c r="F35" t="s">
        <v>305</v>
      </c>
      <c r="G35">
        <v>0.35000000000000003</v>
      </c>
      <c r="H35">
        <v>10.132000000000001</v>
      </c>
      <c r="I35">
        <v>0</v>
      </c>
      <c r="J35">
        <v>0</v>
      </c>
      <c r="K35" t="s">
        <v>300</v>
      </c>
    </row>
    <row r="36" spans="1:11" x14ac:dyDescent="0.35">
      <c r="A36" t="s">
        <v>193</v>
      </c>
      <c r="B36" t="s">
        <v>67</v>
      </c>
      <c r="C36">
        <v>0</v>
      </c>
      <c r="D36" t="s">
        <v>300</v>
      </c>
      <c r="E36">
        <v>0</v>
      </c>
      <c r="F36" t="s">
        <v>300</v>
      </c>
      <c r="G36">
        <v>0</v>
      </c>
      <c r="H36">
        <v>0</v>
      </c>
      <c r="I36">
        <v>1</v>
      </c>
      <c r="J36">
        <v>34</v>
      </c>
      <c r="K36" t="s">
        <v>301</v>
      </c>
    </row>
    <row r="37" spans="1:11" x14ac:dyDescent="0.35">
      <c r="A37" t="s">
        <v>193</v>
      </c>
      <c r="B37" t="s">
        <v>69</v>
      </c>
      <c r="C37">
        <v>7.94</v>
      </c>
      <c r="D37" t="s">
        <v>299</v>
      </c>
      <c r="E37">
        <v>1</v>
      </c>
      <c r="F37" t="s">
        <v>300</v>
      </c>
      <c r="G37">
        <v>0.82500000000000007</v>
      </c>
      <c r="H37">
        <v>2.7118000000000002</v>
      </c>
      <c r="I37">
        <v>1</v>
      </c>
      <c r="J37">
        <v>34</v>
      </c>
      <c r="K37" t="s">
        <v>301</v>
      </c>
    </row>
    <row r="38" spans="1:11" x14ac:dyDescent="0.35">
      <c r="A38" t="s">
        <v>193</v>
      </c>
      <c r="B38" t="s">
        <v>68</v>
      </c>
      <c r="C38">
        <v>9.4</v>
      </c>
      <c r="D38" t="s">
        <v>299</v>
      </c>
      <c r="E38">
        <v>0.89300000000000002</v>
      </c>
      <c r="F38" t="s">
        <v>302</v>
      </c>
      <c r="G38">
        <v>0.23749999999999999</v>
      </c>
      <c r="H38">
        <v>12.8438</v>
      </c>
      <c r="I38">
        <v>1</v>
      </c>
      <c r="J38">
        <v>34</v>
      </c>
      <c r="K38" t="s">
        <v>301</v>
      </c>
    </row>
    <row r="39" spans="1:11" x14ac:dyDescent="0.35">
      <c r="A39" t="s">
        <v>193</v>
      </c>
      <c r="B39" t="s">
        <v>65</v>
      </c>
      <c r="C39">
        <v>0</v>
      </c>
      <c r="D39" t="s">
        <v>300</v>
      </c>
      <c r="E39">
        <v>0</v>
      </c>
      <c r="F39" t="s">
        <v>300</v>
      </c>
      <c r="G39">
        <v>0</v>
      </c>
      <c r="H39">
        <v>0</v>
      </c>
      <c r="I39">
        <v>0</v>
      </c>
      <c r="J39">
        <v>0</v>
      </c>
      <c r="K39" t="s">
        <v>300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8310-0F86-4489-96AB-7F1DA3A7B2B6}">
  <dimension ref="A1:B3"/>
  <sheetViews>
    <sheetView workbookViewId="0">
      <selection activeCell="E12" sqref="E12"/>
    </sheetView>
  </sheetViews>
  <sheetFormatPr defaultRowHeight="14.5" x14ac:dyDescent="0.35"/>
  <sheetData>
    <row r="1" spans="1:2" x14ac:dyDescent="0.35">
      <c r="A1" t="s">
        <v>185</v>
      </c>
      <c r="B1" t="s">
        <v>186</v>
      </c>
    </row>
    <row r="2" spans="1:2" x14ac:dyDescent="0.35">
      <c r="A2" t="s">
        <v>187</v>
      </c>
      <c r="B2">
        <v>25</v>
      </c>
    </row>
    <row r="3" spans="1:2" x14ac:dyDescent="0.35">
      <c r="A3" t="s">
        <v>198</v>
      </c>
      <c r="B3">
        <v>298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D77E8DF26214E8A3D3B6DC2CB3456" ma:contentTypeVersion="10" ma:contentTypeDescription="Create a new document." ma:contentTypeScope="" ma:versionID="540a33700147f10daa2148a31047025c">
  <xsd:schema xmlns:xsd="http://www.w3.org/2001/XMLSchema" xmlns:xs="http://www.w3.org/2001/XMLSchema" xmlns:p="http://schemas.microsoft.com/office/2006/metadata/properties" xmlns:ns2="1bc9650b-f3ad-4a63-850f-e6e893a434d8" targetNamespace="http://schemas.microsoft.com/office/2006/metadata/properties" ma:root="true" ma:fieldsID="78fd43bcea03852b8aad0c2a75101358" ns2:_="">
    <xsd:import namespace="1bc9650b-f3ad-4a63-850f-e6e893a434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9650b-f3ad-4a63-850f-e6e893a43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D81DBB-41E8-4D5D-9C32-6323A696B3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97D3734-930B-466A-983E-167E66A51E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7EEF9A-64DD-4C94-AADA-3FA669138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9650b-f3ad-4a63-850f-e6e893a434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State_Populations</vt:lpstr>
      <vt:lpstr>Fuel_Econs</vt:lpstr>
      <vt:lpstr>Stock_Type_Tech_BASE</vt:lpstr>
      <vt:lpstr>AEO_VMT_Base</vt:lpstr>
      <vt:lpstr>HPMS</vt:lpstr>
      <vt:lpstr>NHS_VMT</vt:lpstr>
      <vt:lpstr>Electricity_EmRate</vt:lpstr>
      <vt:lpstr>VMT_State_Allocation</vt:lpstr>
      <vt:lpstr>State_Prices</vt:lpstr>
      <vt:lpstr>Bike_Ped</vt:lpstr>
      <vt:lpstr>Transit_Costs</vt:lpstr>
      <vt:lpstr>NTD_Service</vt:lpstr>
      <vt:lpstr>Fuel_Factors</vt:lpstr>
      <vt:lpstr>Fuel_Factors_Revision</vt:lpstr>
      <vt:lpstr>Warming_Potential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 Si</dc:creator>
  <cp:keywords/>
  <dc:description/>
  <cp:lastModifiedBy>Seth LaRue</cp:lastModifiedBy>
  <cp:revision/>
  <dcterms:created xsi:type="dcterms:W3CDTF">2023-11-30T23:16:39Z</dcterms:created>
  <dcterms:modified xsi:type="dcterms:W3CDTF">2023-12-21T14:35:52Z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0x01010074FD77E8DF26214E8A3D3B6DC2CB3456</vt:lpwstr>
  </property>
</Properties>
</file>