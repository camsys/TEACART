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8" documentId="13_ncr:1_{A8768608-D9D2-477D-99C5-B0E3581760F5}" xr6:coauthVersionLast="47" xr6:coauthVersionMax="47" xr10:uidLastSave="{76126DA9-5793-4CA5-8C43-C66D6BE1CFD9}"/>
  <bookViews>
    <workbookView xWindow="270" yWindow="-16320" windowWidth="29040" windowHeight="16440" tabRatio="955" firstSheet="6" activeTab="9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<sst xmlns="http://schemas.openxmlformats.org/spreadsheetml/2006/main" count="9115" uniqueCount="341">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</sst>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  <numFmt numFmtId="171" formatCode="&quot;$&quot;#,##0.0000_);[Red]\(&quot;$&quot;#,##0.0000\)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  <xf numFmtId="171" fontId="2" fillId="0" borderId="0" xfId="0" applyNumberFormat="1" applyFont="1"/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71" formatCode="&quot;$&quot;#,##0.0000_);[Red]\(&quot;$&quot;#,##0.0000\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1"/>
    <tableColumn id="4" xr3:uid="{30495008-5280-426E-A40F-3CBF7D9B9A92}" name="gas_mid" dataDxfId="33"/>
    <tableColumn id="5" xr3:uid="{66FA34E8-985C-461A-9962-D27A2E7BC3B6}" name="gas_premium" dataDxfId="32"/>
    <tableColumn id="6" xr3:uid="{9B04AF70-034B-4C94-AFF3-98D10D1FD236}" name="gas_diesel" dataDxfId="31"/>
    <tableColumn id="7" xr3:uid="{2118497B-7145-40BC-9331-03F557AA7959}" name="electricity_retail_avg" dataDxfId="0"/>
    <tableColumn id="8" xr3:uid="{ACAB8D01-5214-4549-830E-B7BF39440F10}" name="electricity_summer_capacity" dataDxfId="30"/>
    <tableColumn id="9" xr3:uid="{E2BC6161-14F8-44FD-9F20-BBB936BC725E}" name="electricity_net_generation" dataDxfId="29"/>
    <tableColumn id="10" xr3:uid="{EBA42203-1B14-46B5-AF40-8E9C9B3EBA3C}" name="electricity_retail_sales" dataDxfId="2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7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6">
      <calculatedColumnFormula>F2/E2</calculatedColumnFormula>
    </tableColumn>
    <tableColumn id="8" xr3:uid="{D8D93C7A-8CA9-4D72-844F-B335D2C20C19}" name="total_pass_miles" dataDxfId="25"/>
    <tableColumn id="10" xr3:uid="{F5AEBFD2-08D8-4868-BAFE-9688429964B0}" name="load_factor" dataDxfId="24"/>
    <tableColumn id="11" xr3:uid="{05EF0C75-B302-4BAB-8F15-9D21DC18BA9D}" name="avg_trip_length" dataDxfId="2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2"/>
    <tableColumn id="6" xr3:uid="{E24522AC-FEF6-4CF1-A652-CD1CACE1519C}" name="GWP_N20_g_per_mi" dataDxfId="21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20"/>
    <tableColumn id="10" xr3:uid="{236B1E85-CD34-4728-A85A-22981CBD37AD}" name="GWP_N20_g_per_gallon" dataDxfId="19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8" dataCellStyle="Percent"/>
    <tableColumn id="4" xr3:uid="{90B22AB7-09D3-478F-9332-A43F01153923}" name="percEVstock_ACCII" dataDxfId="17" dataCellStyle="Percent"/>
    <tableColumn id="5" xr3:uid="{9E74B659-0BA6-49D3-B2D3-90597DD2EC69}" name="percEVstock_ACC" dataDxfId="16" dataCellStyle="Percent"/>
    <tableColumn id="6" xr3:uid="{F1F34D16-9DBA-4424-8131-17A6341BA4B9}" name="percEVstock_ACCACT" dataDxfId="15" dataCellStyle="Percent"/>
    <tableColumn id="7" xr3:uid="{E3E867C6-D263-4410-8FD8-E556B08C116B}" name="percEVstock_ACCIIACT" dataDxfId="14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3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2"/>
    <tableColumn id="3" xr3:uid="{E65C9314-C120-4F4A-B346-84C59D802685}" name="CR_Energy_Intensity_BTUPerPaxMil" dataDxfId="11"/>
    <tableColumn id="4" xr3:uid="{425B37B1-3EA8-495D-91F4-852DA9CC3D68}" name="HR_Energy_Intensity_BTUPerPaxMil" dataDxfId="10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9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8" dataDxfId="7">
  <autoFilter ref="A1:E57" xr:uid="{C901F22A-A043-4FE0-8C77-891B5FA3758C}"/>
  <tableColumns count="5">
    <tableColumn id="2" xr3:uid="{F5A4F286-87E2-4E79-8A9B-680A1C2FAED3}" name="State" dataDxfId="6"/>
    <tableColumn id="1" xr3:uid="{933F9A1A-A0A7-4F3E-8987-E1DBBEA5652B}" name="year" dataDxfId="5"/>
    <tableColumn id="3" xr3:uid="{180BA1B0-69F9-4548-A8B9-F87BA72BD396}" name="CB" dataDxfId="4"/>
    <tableColumn id="4" xr3:uid="{8161DDC3-4000-4841-89A1-08C8420F7E4E}" name="DR" dataDxfId="3"/>
    <tableColumn id="5" xr3:uid="{9E575DE0-C23F-4F23-AC43-20D0423FD10F}" name="MB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5" t="s">
        <v>333</v>
      </c>
      <c r="B156">
        <v>2030</v>
      </c>
      <c r="C156">
        <v>357975718.83530015</v>
      </c>
    </row>
    <row r="157" spans="1:3" ht="15" thickTop="1" x14ac:dyDescent="0.35">
      <c r="A157" s="25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5" t="s">
        <v>55</v>
      </c>
      <c r="C2" s="13">
        <v>115.37436700000001</v>
      </c>
      <c r="D2" s="13">
        <v>112.572182</v>
      </c>
      <c r="E2" s="13">
        <v>109.58744799999999</v>
      </c>
      <c r="F2" s="13">
        <v>106.49374400000001</v>
      </c>
      <c r="G2" s="13">
        <v>103.333977</v>
      </c>
      <c r="H2" s="13">
        <v>100.192627</v>
      </c>
      <c r="I2" s="13">
        <v>97.046645999999996</v>
      </c>
      <c r="J2" s="13">
        <v>93.890281999999999</v>
      </c>
      <c r="K2" s="13">
        <v>90.741355999999996</v>
      </c>
      <c r="L2" s="13">
        <v>87.630218999999997</v>
      </c>
      <c r="M2" s="13">
        <v>84.583977000000004</v>
      </c>
      <c r="N2" s="13">
        <v>81.612433999999993</v>
      </c>
      <c r="O2" s="13">
        <v>78.739922000000007</v>
      </c>
      <c r="P2" s="13">
        <v>75.984168999999994</v>
      </c>
      <c r="Q2" s="13">
        <v>73.372314000000003</v>
      </c>
      <c r="R2" s="13">
        <v>70.965423999999999</v>
      </c>
      <c r="S2" s="13">
        <v>68.809134999999998</v>
      </c>
      <c r="T2" s="13">
        <v>66.916008000000005</v>
      </c>
      <c r="U2" s="13">
        <v>65.254784000000001</v>
      </c>
      <c r="V2" s="13">
        <v>63.836910000000003</v>
      </c>
      <c r="W2" s="13">
        <v>62.607716000000003</v>
      </c>
      <c r="X2" s="13">
        <v>61.529677999999997</v>
      </c>
      <c r="Y2" s="13">
        <v>60.584193999999997</v>
      </c>
      <c r="Z2" s="14">
        <v>59.737273999999999</v>
      </c>
      <c r="AA2" s="14">
        <v>58.957667999999998</v>
      </c>
      <c r="AB2" s="14">
        <v>58.242046000000002</v>
      </c>
      <c r="AC2" s="14">
        <v>57.552638999999999</v>
      </c>
      <c r="AD2" s="14">
        <v>56.880378999999998</v>
      </c>
      <c r="AE2" s="14">
        <v>56.231440999999997</v>
      </c>
      <c r="AF2" s="14">
        <v>55.599792000000001</v>
      </c>
    </row>
    <row r="3" spans="1:32" x14ac:dyDescent="0.35">
      <c r="A3" t="s">
        <v>192</v>
      </c>
      <c r="B3" s="15" t="s">
        <v>56</v>
      </c>
      <c r="C3" s="13">
        <v>0.19997799999999999</v>
      </c>
      <c r="D3" s="13">
        <v>0.19559599999999999</v>
      </c>
      <c r="E3" s="13">
        <v>0.190665</v>
      </c>
      <c r="F3" s="13">
        <v>0.18495600000000001</v>
      </c>
      <c r="G3" s="13">
        <v>0.17861299999999999</v>
      </c>
      <c r="H3" s="13">
        <v>0.17150399999999999</v>
      </c>
      <c r="I3" s="13">
        <v>0.16356200000000001</v>
      </c>
      <c r="J3" s="13">
        <v>0.154612</v>
      </c>
      <c r="K3" s="13">
        <v>0.144735</v>
      </c>
      <c r="L3" s="13">
        <v>0.13400799999999999</v>
      </c>
      <c r="M3" s="13">
        <v>0.122701</v>
      </c>
      <c r="N3" s="13">
        <v>0.111079</v>
      </c>
      <c r="O3" s="13">
        <v>9.9503999999999995E-2</v>
      </c>
      <c r="P3" s="13">
        <v>8.8347999999999996E-2</v>
      </c>
      <c r="Q3" s="13">
        <v>7.7912999999999996E-2</v>
      </c>
      <c r="R3" s="13">
        <v>6.8575999999999998E-2</v>
      </c>
      <c r="S3" s="13">
        <v>6.055E-2</v>
      </c>
      <c r="T3" s="13">
        <v>5.4181E-2</v>
      </c>
      <c r="U3" s="13">
        <v>4.9052999999999999E-2</v>
      </c>
      <c r="V3" s="13">
        <v>4.5315000000000001E-2</v>
      </c>
      <c r="W3" s="13">
        <v>4.2597000000000003E-2</v>
      </c>
      <c r="X3" s="13">
        <v>4.0642999999999999E-2</v>
      </c>
      <c r="Y3" s="13">
        <v>3.9255999999999999E-2</v>
      </c>
      <c r="Z3" s="14">
        <v>3.8199999999999998E-2</v>
      </c>
      <c r="AA3" s="14">
        <v>3.7447000000000001E-2</v>
      </c>
      <c r="AB3" s="14">
        <v>3.6795000000000001E-2</v>
      </c>
      <c r="AC3" s="14">
        <v>3.6179999999999997E-2</v>
      </c>
      <c r="AD3" s="14">
        <v>3.5603000000000003E-2</v>
      </c>
      <c r="AE3" s="14">
        <v>3.5092999999999999E-2</v>
      </c>
      <c r="AF3" s="14">
        <v>3.4639000000000003E-2</v>
      </c>
    </row>
    <row r="4" spans="1:32" x14ac:dyDescent="0.35">
      <c r="A4" t="s">
        <v>192</v>
      </c>
      <c r="B4" s="15" t="s">
        <v>57</v>
      </c>
      <c r="C4" s="13">
        <v>0.14000599999999999</v>
      </c>
      <c r="D4" s="13">
        <v>0.16708700000000001</v>
      </c>
      <c r="E4" s="13">
        <v>0.19413800000000001</v>
      </c>
      <c r="F4" s="13">
        <v>0.221276</v>
      </c>
      <c r="G4" s="13">
        <v>0.24609200000000001</v>
      </c>
      <c r="H4" s="13">
        <v>0.27038699999999999</v>
      </c>
      <c r="I4" s="13">
        <v>0.29333399999999998</v>
      </c>
      <c r="J4" s="13">
        <v>0.31505100000000003</v>
      </c>
      <c r="K4" s="13">
        <v>0.33624500000000002</v>
      </c>
      <c r="L4" s="13">
        <v>0.35731000000000002</v>
      </c>
      <c r="M4" s="13">
        <v>0.37893700000000002</v>
      </c>
      <c r="N4" s="13">
        <v>0.40075300000000003</v>
      </c>
      <c r="O4" s="13">
        <v>0.422788</v>
      </c>
      <c r="P4" s="13">
        <v>0.44495400000000002</v>
      </c>
      <c r="Q4" s="13">
        <v>0.46716400000000002</v>
      </c>
      <c r="R4" s="13">
        <v>0.48966399999999999</v>
      </c>
      <c r="S4" s="13">
        <v>0.51269399999999998</v>
      </c>
      <c r="T4" s="13">
        <v>0.53646400000000005</v>
      </c>
      <c r="U4" s="13">
        <v>0.56038100000000002</v>
      </c>
      <c r="V4" s="13">
        <v>0.58515300000000003</v>
      </c>
      <c r="W4" s="13">
        <v>0.61018300000000003</v>
      </c>
      <c r="X4" s="13">
        <v>0.635216</v>
      </c>
      <c r="Y4" s="13">
        <v>0.66075600000000001</v>
      </c>
      <c r="Z4" s="14">
        <v>0.687002</v>
      </c>
      <c r="AA4" s="14">
        <v>0.71308000000000005</v>
      </c>
      <c r="AB4" s="14">
        <v>0.73954399999999998</v>
      </c>
      <c r="AC4" s="14">
        <v>0.76512000000000002</v>
      </c>
      <c r="AD4" s="14">
        <v>0.78944700000000001</v>
      </c>
      <c r="AE4" s="14">
        <v>0.81286400000000003</v>
      </c>
      <c r="AF4" s="14">
        <v>0.83520300000000003</v>
      </c>
    </row>
    <row r="5" spans="1:32" x14ac:dyDescent="0.35">
      <c r="A5" t="s">
        <v>192</v>
      </c>
      <c r="B5" s="15" t="s">
        <v>58</v>
      </c>
      <c r="C5" s="13">
        <v>0.72293300000000005</v>
      </c>
      <c r="D5" s="13">
        <v>0.89649100000000004</v>
      </c>
      <c r="E5" s="13">
        <v>1.0838049999999999</v>
      </c>
      <c r="F5" s="13">
        <v>1.2745420000000001</v>
      </c>
      <c r="G5" s="13">
        <v>1.4550540000000001</v>
      </c>
      <c r="H5" s="13">
        <v>1.629734</v>
      </c>
      <c r="I5" s="13">
        <v>1.796921</v>
      </c>
      <c r="J5" s="13">
        <v>1.955848</v>
      </c>
      <c r="K5" s="13">
        <v>2.110598</v>
      </c>
      <c r="L5" s="13">
        <v>2.2686299999999999</v>
      </c>
      <c r="M5" s="13">
        <v>2.4309379999999998</v>
      </c>
      <c r="N5" s="13">
        <v>2.5961590000000001</v>
      </c>
      <c r="O5" s="13">
        <v>2.7629100000000002</v>
      </c>
      <c r="P5" s="13">
        <v>2.9299080000000002</v>
      </c>
      <c r="Q5" s="13">
        <v>3.0955629999999998</v>
      </c>
      <c r="R5" s="13">
        <v>3.2605840000000001</v>
      </c>
      <c r="S5" s="13">
        <v>3.426056</v>
      </c>
      <c r="T5" s="13">
        <v>3.5930819999999999</v>
      </c>
      <c r="U5" s="13">
        <v>3.7602440000000001</v>
      </c>
      <c r="V5" s="13">
        <v>3.9305669999999999</v>
      </c>
      <c r="W5" s="13">
        <v>4.1023860000000001</v>
      </c>
      <c r="X5" s="13">
        <v>4.2740799999999997</v>
      </c>
      <c r="Y5" s="13">
        <v>4.451632</v>
      </c>
      <c r="Z5" s="14">
        <v>4.6342949999999998</v>
      </c>
      <c r="AA5" s="14">
        <v>4.8226069999999996</v>
      </c>
      <c r="AB5" s="14">
        <v>5.0166219999999999</v>
      </c>
      <c r="AC5" s="14">
        <v>5.2112660000000002</v>
      </c>
      <c r="AD5" s="14">
        <v>5.4042690000000002</v>
      </c>
      <c r="AE5" s="14">
        <v>5.5970870000000001</v>
      </c>
      <c r="AF5" s="14">
        <v>5.7896770000000002</v>
      </c>
    </row>
    <row r="6" spans="1:32" x14ac:dyDescent="0.35">
      <c r="A6" t="s">
        <v>192</v>
      </c>
      <c r="B6" s="15" t="s">
        <v>59</v>
      </c>
      <c r="C6" s="13">
        <v>4.4986389999999998</v>
      </c>
      <c r="D6" s="13">
        <v>4.3357970000000003</v>
      </c>
      <c r="E6" s="13">
        <v>4.1571069999999999</v>
      </c>
      <c r="F6" s="13">
        <v>3.961878</v>
      </c>
      <c r="G6" s="13">
        <v>3.7503760000000002</v>
      </c>
      <c r="H6" s="13">
        <v>3.524416</v>
      </c>
      <c r="I6" s="13">
        <v>3.2853720000000002</v>
      </c>
      <c r="J6" s="13">
        <v>3.036918</v>
      </c>
      <c r="K6" s="13">
        <v>2.783455</v>
      </c>
      <c r="L6" s="13">
        <v>2.5317180000000001</v>
      </c>
      <c r="M6" s="13">
        <v>2.2894890000000001</v>
      </c>
      <c r="N6" s="13">
        <v>2.061788</v>
      </c>
      <c r="O6" s="13">
        <v>1.855067</v>
      </c>
      <c r="P6" s="13">
        <v>1.6700250000000001</v>
      </c>
      <c r="Q6" s="13">
        <v>1.508821</v>
      </c>
      <c r="R6" s="13">
        <v>1.375845</v>
      </c>
      <c r="S6" s="13">
        <v>1.2709079999999999</v>
      </c>
      <c r="T6" s="13">
        <v>1.1867369999999999</v>
      </c>
      <c r="U6" s="13">
        <v>1.121621</v>
      </c>
      <c r="V6" s="13">
        <v>1.0719320000000001</v>
      </c>
      <c r="W6" s="13">
        <v>1.0305800000000001</v>
      </c>
      <c r="X6" s="13">
        <v>0.99465000000000003</v>
      </c>
      <c r="Y6" s="13">
        <v>0.96315899999999999</v>
      </c>
      <c r="Z6" s="14">
        <v>0.93524799999999997</v>
      </c>
      <c r="AA6" s="14">
        <v>0.90928500000000001</v>
      </c>
      <c r="AB6" s="14">
        <v>0.88524599999999998</v>
      </c>
      <c r="AC6" s="14">
        <v>0.86248599999999997</v>
      </c>
      <c r="AD6" s="14">
        <v>0.840862</v>
      </c>
      <c r="AE6" s="14">
        <v>0.82047099999999995</v>
      </c>
      <c r="AF6" s="14">
        <v>0.800925</v>
      </c>
    </row>
    <row r="7" spans="1:32" x14ac:dyDescent="0.35">
      <c r="A7" t="s">
        <v>192</v>
      </c>
      <c r="B7" s="15" t="s">
        <v>205</v>
      </c>
      <c r="C7" s="13">
        <v>0.54956199999999999</v>
      </c>
      <c r="D7" s="13">
        <v>0.51478400000000002</v>
      </c>
      <c r="E7" s="13">
        <v>0.48101500000000003</v>
      </c>
      <c r="F7" s="13">
        <v>0.44810800000000001</v>
      </c>
      <c r="G7" s="13">
        <v>0.41583999999999999</v>
      </c>
      <c r="H7" s="13">
        <v>0.38402799999999998</v>
      </c>
      <c r="I7" s="13">
        <v>0.35266700000000001</v>
      </c>
      <c r="J7" s="13">
        <v>0.321432</v>
      </c>
      <c r="K7" s="13">
        <v>0.29014699999999999</v>
      </c>
      <c r="L7" s="13">
        <v>0.25947900000000002</v>
      </c>
      <c r="M7" s="13">
        <v>0.23015099999999999</v>
      </c>
      <c r="N7" s="13">
        <v>0.20202200000000001</v>
      </c>
      <c r="O7" s="13">
        <v>0.17585400000000001</v>
      </c>
      <c r="P7" s="13">
        <v>0.15219299999999999</v>
      </c>
      <c r="Q7" s="13">
        <v>0.13145200000000001</v>
      </c>
      <c r="R7" s="13">
        <v>0.114123</v>
      </c>
      <c r="S7" s="13">
        <v>0.100039</v>
      </c>
      <c r="T7" s="13">
        <v>8.9008000000000004E-2</v>
      </c>
      <c r="U7" s="13">
        <v>8.0946000000000004E-2</v>
      </c>
      <c r="V7" s="13">
        <v>7.4876999999999999E-2</v>
      </c>
      <c r="W7" s="13">
        <v>6.9400000000000003E-2</v>
      </c>
      <c r="X7" s="13">
        <v>6.4491999999999994E-2</v>
      </c>
      <c r="Y7" s="13">
        <v>6.0061999999999997E-2</v>
      </c>
      <c r="Z7" s="14">
        <v>5.5959000000000002E-2</v>
      </c>
      <c r="AA7" s="14">
        <v>5.2142000000000001E-2</v>
      </c>
      <c r="AB7" s="14">
        <v>4.8589E-2</v>
      </c>
      <c r="AC7" s="14">
        <v>4.5282000000000003E-2</v>
      </c>
      <c r="AD7" s="14">
        <v>4.2203999999999998E-2</v>
      </c>
      <c r="AE7" s="14">
        <v>3.9338999999999999E-2</v>
      </c>
      <c r="AF7" s="14">
        <v>3.6672000000000003E-2</v>
      </c>
    </row>
    <row r="8" spans="1:32" x14ac:dyDescent="0.35">
      <c r="A8" t="s">
        <v>192</v>
      </c>
      <c r="B8" s="15" t="s">
        <v>61</v>
      </c>
      <c r="C8" s="13">
        <v>1.9574000000000001E-2</v>
      </c>
      <c r="D8" s="13">
        <v>1.8075999999999998E-2</v>
      </c>
      <c r="E8" s="13">
        <v>1.6765000000000002E-2</v>
      </c>
      <c r="F8" s="13">
        <v>1.5574000000000001E-2</v>
      </c>
      <c r="G8" s="13">
        <v>1.4487E-2</v>
      </c>
      <c r="H8" s="13">
        <v>1.3576999999999999E-2</v>
      </c>
      <c r="I8" s="13">
        <v>1.2792999999999999E-2</v>
      </c>
      <c r="J8" s="13">
        <v>1.2050999999999999E-2</v>
      </c>
      <c r="K8" s="13">
        <v>1.137E-2</v>
      </c>
      <c r="L8" s="13">
        <v>1.0825999999999999E-2</v>
      </c>
      <c r="M8" s="13">
        <v>1.0332000000000001E-2</v>
      </c>
      <c r="N8" s="13">
        <v>9.9209999999999993E-3</v>
      </c>
      <c r="O8" s="13">
        <v>9.5929999999999991E-3</v>
      </c>
      <c r="P8" s="13">
        <v>9.3479999999999987E-3</v>
      </c>
      <c r="Q8" s="13">
        <v>9.1600000000000015E-3</v>
      </c>
      <c r="R8" s="13">
        <v>9.0219999999999988E-3</v>
      </c>
      <c r="S8" s="13">
        <v>8.9580000000000007E-3</v>
      </c>
      <c r="T8" s="13">
        <v>8.9020000000000002E-3</v>
      </c>
      <c r="U8" s="13">
        <v>8.8570000000000003E-3</v>
      </c>
      <c r="V8" s="13">
        <v>8.8100000000000001E-3</v>
      </c>
      <c r="W8" s="13">
        <v>8.7549999999999989E-3</v>
      </c>
      <c r="X8" s="13">
        <v>8.6950000000000013E-3</v>
      </c>
      <c r="Y8" s="13">
        <v>8.6300000000000005E-3</v>
      </c>
      <c r="Z8" s="14">
        <v>8.5690000000000002E-3</v>
      </c>
      <c r="AA8" s="14">
        <v>8.5129999999999997E-3</v>
      </c>
      <c r="AB8" s="14">
        <v>8.4690000000000008E-3</v>
      </c>
      <c r="AC8" s="14">
        <v>8.4320000000000003E-3</v>
      </c>
      <c r="AD8" s="14">
        <v>8.4030000000000007E-3</v>
      </c>
      <c r="AE8" s="14">
        <v>8.3789999999999993E-3</v>
      </c>
      <c r="AF8" s="14">
        <v>8.3639999999999999E-3</v>
      </c>
    </row>
    <row r="9" spans="1:32" x14ac:dyDescent="0.35">
      <c r="A9" t="s">
        <v>192</v>
      </c>
      <c r="B9" s="15" t="s">
        <v>62</v>
      </c>
      <c r="C9" s="13">
        <v>3.9712109999999998</v>
      </c>
      <c r="D9" s="13">
        <v>4.1729229999999999</v>
      </c>
      <c r="E9" s="13">
        <v>4.3819309999999998</v>
      </c>
      <c r="F9" s="13">
        <v>4.5665909999999998</v>
      </c>
      <c r="G9" s="13">
        <v>4.7195210000000003</v>
      </c>
      <c r="H9" s="13">
        <v>4.8566339999999997</v>
      </c>
      <c r="I9" s="13">
        <v>4.9798299999999998</v>
      </c>
      <c r="J9" s="13">
        <v>5.0908439999999997</v>
      </c>
      <c r="K9" s="13">
        <v>5.1945670000000002</v>
      </c>
      <c r="L9" s="13">
        <v>5.2972530000000004</v>
      </c>
      <c r="M9" s="13">
        <v>5.4043700000000001</v>
      </c>
      <c r="N9" s="13">
        <v>5.5130369999999997</v>
      </c>
      <c r="O9" s="13">
        <v>5.6237880000000002</v>
      </c>
      <c r="P9" s="13">
        <v>5.734591</v>
      </c>
      <c r="Q9" s="13">
        <v>5.845567</v>
      </c>
      <c r="R9" s="13">
        <v>5.9553560000000001</v>
      </c>
      <c r="S9" s="13">
        <v>6.065709</v>
      </c>
      <c r="T9" s="13">
        <v>6.1761780000000002</v>
      </c>
      <c r="U9" s="13">
        <v>6.281809</v>
      </c>
      <c r="V9" s="13">
        <v>6.3856099999999998</v>
      </c>
      <c r="W9" s="13">
        <v>6.4840119999999999</v>
      </c>
      <c r="X9" s="13">
        <v>6.5741519999999998</v>
      </c>
      <c r="Y9" s="13">
        <v>6.6591009999999997</v>
      </c>
      <c r="Z9" s="14">
        <v>6.7399959999999997</v>
      </c>
      <c r="AA9" s="14">
        <v>6.8168160000000002</v>
      </c>
      <c r="AB9" s="14">
        <v>6.8935370000000002</v>
      </c>
      <c r="AC9" s="14">
        <v>6.965776</v>
      </c>
      <c r="AD9" s="14">
        <v>7.0329870000000003</v>
      </c>
      <c r="AE9" s="14">
        <v>7.0966399999999998</v>
      </c>
      <c r="AF9" s="14">
        <v>7.1562359999999998</v>
      </c>
    </row>
    <row r="10" spans="1:32" x14ac:dyDescent="0.35">
      <c r="A10" t="s">
        <v>192</v>
      </c>
      <c r="B10" s="15" t="s">
        <v>63</v>
      </c>
      <c r="C10" s="13">
        <v>0.346105</v>
      </c>
      <c r="D10" s="13">
        <v>0.38659500000000002</v>
      </c>
      <c r="E10" s="13">
        <v>0.41896299999999997</v>
      </c>
      <c r="F10" s="13">
        <v>0.44758700000000001</v>
      </c>
      <c r="G10" s="13">
        <v>0.47419699999999998</v>
      </c>
      <c r="H10" s="13">
        <v>0.49900299999999997</v>
      </c>
      <c r="I10" s="13">
        <v>0.52174399999999999</v>
      </c>
      <c r="J10" s="13">
        <v>0.54231099999999999</v>
      </c>
      <c r="K10" s="13">
        <v>0.56120300000000001</v>
      </c>
      <c r="L10" s="13">
        <v>0.57936699999999997</v>
      </c>
      <c r="M10" s="13">
        <v>0.59795299999999996</v>
      </c>
      <c r="N10" s="13">
        <v>0.61644600000000005</v>
      </c>
      <c r="O10" s="13">
        <v>0.63485999999999998</v>
      </c>
      <c r="P10" s="13">
        <v>0.65315299999999998</v>
      </c>
      <c r="Q10" s="13">
        <v>0.67130100000000004</v>
      </c>
      <c r="R10" s="13">
        <v>0.68981999999999999</v>
      </c>
      <c r="S10" s="13">
        <v>0.709171</v>
      </c>
      <c r="T10" s="13">
        <v>0.72983299999999995</v>
      </c>
      <c r="U10" s="13">
        <v>0.75137500000000002</v>
      </c>
      <c r="V10" s="13">
        <v>0.77444100000000005</v>
      </c>
      <c r="W10" s="13">
        <v>0.79812099999999997</v>
      </c>
      <c r="X10" s="13">
        <v>0.82241699999999995</v>
      </c>
      <c r="Y10" s="13">
        <v>0.84761500000000001</v>
      </c>
      <c r="Z10" s="14">
        <v>0.87327200000000005</v>
      </c>
      <c r="AA10" s="14">
        <v>0.89893800000000001</v>
      </c>
      <c r="AB10" s="14">
        <v>0.92504200000000003</v>
      </c>
      <c r="AC10" s="14">
        <v>0.95041299999999995</v>
      </c>
      <c r="AD10" s="14">
        <v>0.97455199999999997</v>
      </c>
      <c r="AE10" s="14">
        <v>0.99763299999999999</v>
      </c>
      <c r="AF10" s="14">
        <v>1.0195270000000001</v>
      </c>
    </row>
    <row r="11" spans="1:32" x14ac:dyDescent="0.35">
      <c r="A11" t="s">
        <v>192</v>
      </c>
      <c r="B11" s="15" t="s">
        <v>64</v>
      </c>
      <c r="C11" s="13">
        <v>0.20677499999999999</v>
      </c>
      <c r="D11" s="13">
        <v>0.20372899999999999</v>
      </c>
      <c r="E11" s="13">
        <v>0.20005300000000001</v>
      </c>
      <c r="F11" s="13">
        <v>0.19575100000000001</v>
      </c>
      <c r="G11" s="13">
        <v>0.19072800000000001</v>
      </c>
      <c r="H11" s="13">
        <v>0.185026</v>
      </c>
      <c r="I11" s="13">
        <v>0.17844299999999999</v>
      </c>
      <c r="J11" s="13">
        <v>0.17084199999999999</v>
      </c>
      <c r="K11" s="13">
        <v>0.16228600000000001</v>
      </c>
      <c r="L11" s="13">
        <v>0.152949</v>
      </c>
      <c r="M11" s="13">
        <v>0.14301900000000001</v>
      </c>
      <c r="N11" s="13">
        <v>0.13261400000000001</v>
      </c>
      <c r="O11" s="13">
        <v>0.122007</v>
      </c>
      <c r="P11" s="13">
        <v>0.11156000000000001</v>
      </c>
      <c r="Q11" s="13">
        <v>0.101647</v>
      </c>
      <c r="R11" s="13">
        <v>9.2688999999999994E-2</v>
      </c>
      <c r="S11" s="13">
        <v>8.5040000000000004E-2</v>
      </c>
      <c r="T11" s="13">
        <v>7.8936999999999993E-2</v>
      </c>
      <c r="U11" s="13">
        <v>7.4398000000000006E-2</v>
      </c>
      <c r="V11" s="13">
        <v>7.1180999999999994E-2</v>
      </c>
      <c r="W11" s="13">
        <v>6.8981000000000001E-2</v>
      </c>
      <c r="X11" s="13">
        <v>6.8053000000000002E-2</v>
      </c>
      <c r="Y11" s="13">
        <v>6.8265999999999993E-2</v>
      </c>
      <c r="Z11" s="14">
        <v>6.8913000000000002E-2</v>
      </c>
      <c r="AA11" s="14">
        <v>6.9766999999999996E-2</v>
      </c>
      <c r="AB11" s="14">
        <v>7.0767999999999998E-2</v>
      </c>
      <c r="AC11" s="14">
        <v>7.1789000000000006E-2</v>
      </c>
      <c r="AD11" s="14">
        <v>7.2805999999999996E-2</v>
      </c>
      <c r="AE11" s="14">
        <v>7.3863999999999999E-2</v>
      </c>
      <c r="AF11" s="14">
        <v>7.4945999999999999E-2</v>
      </c>
    </row>
    <row r="12" spans="1:32" x14ac:dyDescent="0.35">
      <c r="A12" t="s">
        <v>192</v>
      </c>
      <c r="B12" s="15" t="s">
        <v>65</v>
      </c>
      <c r="C12" s="13">
        <v>1.2274999999999999E-2</v>
      </c>
      <c r="D12" s="13">
        <v>1.5100000000000001E-2</v>
      </c>
      <c r="E12" s="13">
        <v>1.8180000000000002E-2</v>
      </c>
      <c r="F12" s="13">
        <v>2.1357000000000001E-2</v>
      </c>
      <c r="G12" s="13">
        <v>2.4799000000000002E-2</v>
      </c>
      <c r="H12" s="13">
        <v>2.8684999999999999E-2</v>
      </c>
      <c r="I12" s="13">
        <v>3.2951000000000001E-2</v>
      </c>
      <c r="J12" s="13">
        <v>3.7581000000000003E-2</v>
      </c>
      <c r="K12" s="13">
        <v>4.2563999999999998E-2</v>
      </c>
      <c r="L12" s="13">
        <v>4.7872999999999999E-2</v>
      </c>
      <c r="M12" s="13">
        <v>5.3511000000000003E-2</v>
      </c>
      <c r="N12" s="13">
        <v>5.9404999999999999E-2</v>
      </c>
      <c r="O12" s="13">
        <v>6.5362000000000003E-2</v>
      </c>
      <c r="P12" s="13">
        <v>7.1263999999999994E-2</v>
      </c>
      <c r="Q12" s="13">
        <v>7.6980999999999994E-2</v>
      </c>
      <c r="R12" s="13">
        <v>8.2437999999999997E-2</v>
      </c>
      <c r="S12" s="13">
        <v>8.7597999999999995E-2</v>
      </c>
      <c r="T12" s="13">
        <v>9.2711000000000002E-2</v>
      </c>
      <c r="U12" s="13">
        <v>9.7784999999999997E-2</v>
      </c>
      <c r="V12" s="13">
        <v>0.10280300000000001</v>
      </c>
      <c r="W12" s="13">
        <v>0.107728</v>
      </c>
      <c r="X12" s="13">
        <v>0.112512</v>
      </c>
      <c r="Y12" s="13">
        <v>0.117118</v>
      </c>
      <c r="Z12" s="14">
        <v>0.12156699999999999</v>
      </c>
      <c r="AA12" s="14">
        <v>0.12586</v>
      </c>
      <c r="AB12" s="14">
        <v>0.12997</v>
      </c>
      <c r="AC12" s="14">
        <v>0.13381599999999999</v>
      </c>
      <c r="AD12" s="14">
        <v>0.13734299999999999</v>
      </c>
      <c r="AE12" s="14">
        <v>0.14056199999999999</v>
      </c>
      <c r="AF12" s="14">
        <v>0.143487</v>
      </c>
    </row>
    <row r="13" spans="1:32" x14ac:dyDescent="0.35">
      <c r="A13" t="s">
        <v>337</v>
      </c>
      <c r="B13" s="15" t="s">
        <v>55</v>
      </c>
      <c r="C13" s="13">
        <v>124.03193473</v>
      </c>
      <c r="D13" s="13">
        <v>127.24011356199999</v>
      </c>
      <c r="E13" s="13">
        <v>130.58533171900001</v>
      </c>
      <c r="F13" s="13">
        <v>134.015427023</v>
      </c>
      <c r="G13" s="13">
        <v>137.54716588300002</v>
      </c>
      <c r="H13" s="13">
        <v>141.19373553899999</v>
      </c>
      <c r="I13" s="13">
        <v>144.81895829699999</v>
      </c>
      <c r="J13" s="13">
        <v>148.31089071099998</v>
      </c>
      <c r="K13" s="13">
        <v>151.70561628099998</v>
      </c>
      <c r="L13" s="13">
        <v>154.935496812</v>
      </c>
      <c r="M13" s="13">
        <v>157.91720121899999</v>
      </c>
      <c r="N13" s="13">
        <v>160.664010031</v>
      </c>
      <c r="O13" s="13">
        <v>163.172020352</v>
      </c>
      <c r="P13" s="13">
        <v>165.39863610199998</v>
      </c>
      <c r="Q13" s="13">
        <v>167.35642797700001</v>
      </c>
      <c r="R13" s="13">
        <v>169.07055791399998</v>
      </c>
      <c r="S13" s="13">
        <v>170.58707801599999</v>
      </c>
      <c r="T13" s="13">
        <v>171.90661535199999</v>
      </c>
      <c r="U13" s="13">
        <v>173.088564445</v>
      </c>
      <c r="V13" s="13">
        <v>174.18038544500001</v>
      </c>
      <c r="W13" s="13">
        <v>175.14346708600002</v>
      </c>
      <c r="X13" s="13">
        <v>175.98377133599999</v>
      </c>
      <c r="Y13" s="13">
        <v>176.728313875</v>
      </c>
      <c r="Z13" s="13">
        <v>177.38405560900003</v>
      </c>
      <c r="AA13" s="14">
        <v>177.97139934399999</v>
      </c>
      <c r="AB13" s="14">
        <v>178.518429602</v>
      </c>
      <c r="AC13" s="14">
        <v>178.99983404699998</v>
      </c>
      <c r="AD13" s="14">
        <v>179.44353743800002</v>
      </c>
      <c r="AE13" s="14">
        <v>179.883328664</v>
      </c>
      <c r="AF13" s="14">
        <v>180.321231219</v>
      </c>
    </row>
    <row r="14" spans="1:32" x14ac:dyDescent="0.35">
      <c r="A14" t="s">
        <v>337</v>
      </c>
      <c r="B14" s="15" t="s">
        <v>56</v>
      </c>
      <c r="C14" s="13">
        <v>1.2110000000000001E-3</v>
      </c>
      <c r="D14" s="13">
        <v>1.225E-3</v>
      </c>
      <c r="E14" s="13">
        <v>1.2409999999999999E-3</v>
      </c>
      <c r="F14" s="13">
        <v>1.2520000000000001E-3</v>
      </c>
      <c r="G14" s="13">
        <v>1.263E-3</v>
      </c>
      <c r="H14" s="13">
        <v>1.271E-3</v>
      </c>
      <c r="I14" s="13">
        <v>1.2780000000000001E-3</v>
      </c>
      <c r="J14" s="13">
        <v>1.2780000000000001E-3</v>
      </c>
      <c r="K14" s="13">
        <v>1.273E-3</v>
      </c>
      <c r="L14" s="13">
        <v>1.261E-3</v>
      </c>
      <c r="M14" s="13">
        <v>1.2440000000000001E-3</v>
      </c>
      <c r="N14" s="13">
        <v>1.2210000000000001E-3</v>
      </c>
      <c r="O14" s="13">
        <v>1.194E-3</v>
      </c>
      <c r="P14" s="13">
        <v>1.16E-3</v>
      </c>
      <c r="Q14" s="13">
        <v>1.1199999999999999E-3</v>
      </c>
      <c r="R14" s="13">
        <v>1.0790000000000001E-3</v>
      </c>
      <c r="S14" s="13">
        <v>1.0330000000000001E-3</v>
      </c>
      <c r="T14" s="13">
        <v>9.8200000000000002E-4</v>
      </c>
      <c r="U14" s="13">
        <v>9.3099999999999997E-4</v>
      </c>
      <c r="V14" s="13">
        <v>8.7799999999999998E-4</v>
      </c>
      <c r="W14" s="13">
        <v>8.25E-4</v>
      </c>
      <c r="X14" s="13">
        <v>7.7300000000000003E-4</v>
      </c>
      <c r="Y14" s="13">
        <v>7.2199999999999999E-4</v>
      </c>
      <c r="Z14" s="13">
        <v>6.7100000000000005E-4</v>
      </c>
      <c r="AA14" s="14">
        <v>6.2799999999999998E-4</v>
      </c>
      <c r="AB14" s="14">
        <v>5.8600000000000004E-4</v>
      </c>
      <c r="AC14" s="14">
        <v>5.44E-4</v>
      </c>
      <c r="AD14" s="14">
        <v>5.0199999999999995E-4</v>
      </c>
      <c r="AE14" s="14">
        <v>4.6000000000000001E-4</v>
      </c>
      <c r="AF14" s="14">
        <v>4.1899999999999999E-4</v>
      </c>
    </row>
    <row r="15" spans="1:32" x14ac:dyDescent="0.35">
      <c r="A15" t="s">
        <v>337</v>
      </c>
      <c r="B15" s="15" t="s">
        <v>57</v>
      </c>
      <c r="C15" s="13">
        <v>5.4580999999999998E-2</v>
      </c>
      <c r="D15" s="13">
        <v>9.7881999999999997E-2</v>
      </c>
      <c r="E15" s="13">
        <v>0.14941399999999999</v>
      </c>
      <c r="F15" s="13">
        <v>0.20760600000000001</v>
      </c>
      <c r="G15" s="13">
        <v>0.26834599999999997</v>
      </c>
      <c r="H15" s="13">
        <v>0.33122600000000002</v>
      </c>
      <c r="I15" s="13">
        <v>0.39512799999999998</v>
      </c>
      <c r="J15" s="13">
        <v>0.45936300000000002</v>
      </c>
      <c r="K15" s="13">
        <v>0.52484600000000003</v>
      </c>
      <c r="L15" s="13">
        <v>0.59209999999999996</v>
      </c>
      <c r="M15" s="13">
        <v>0.65851800000000005</v>
      </c>
      <c r="N15" s="13">
        <v>0.72399599999999997</v>
      </c>
      <c r="O15" s="13">
        <v>0.78807700000000003</v>
      </c>
      <c r="P15" s="13">
        <v>0.85033000000000003</v>
      </c>
      <c r="Q15" s="13">
        <v>0.91017499999999996</v>
      </c>
      <c r="R15" s="13">
        <v>0.96740000000000004</v>
      </c>
      <c r="S15" s="13">
        <v>1.0220370000000001</v>
      </c>
      <c r="T15" s="13">
        <v>1.0734950000000001</v>
      </c>
      <c r="U15" s="13">
        <v>1.1214729999999999</v>
      </c>
      <c r="V15" s="13">
        <v>1.166253</v>
      </c>
      <c r="W15" s="13">
        <v>1.206815</v>
      </c>
      <c r="X15" s="13">
        <v>1.243174</v>
      </c>
      <c r="Y15" s="13">
        <v>1.2759069999999999</v>
      </c>
      <c r="Z15" s="13">
        <v>1.305021</v>
      </c>
      <c r="AA15" s="14">
        <v>1.3312330000000001</v>
      </c>
      <c r="AB15" s="14">
        <v>1.3551150000000001</v>
      </c>
      <c r="AC15" s="14">
        <v>1.3762239999999999</v>
      </c>
      <c r="AD15" s="14">
        <v>1.395238</v>
      </c>
      <c r="AE15" s="14">
        <v>1.413087</v>
      </c>
      <c r="AF15" s="14">
        <v>1.429932</v>
      </c>
    </row>
    <row r="16" spans="1:32" x14ac:dyDescent="0.35">
      <c r="A16" t="s">
        <v>337</v>
      </c>
      <c r="B16" s="15" t="s">
        <v>58</v>
      </c>
      <c r="C16" s="13">
        <v>0.17292758599999999</v>
      </c>
      <c r="D16" s="13">
        <v>0.32445219700000005</v>
      </c>
      <c r="E16" s="13">
        <v>0.50962695199999997</v>
      </c>
      <c r="F16" s="13">
        <v>0.72936472400000008</v>
      </c>
      <c r="G16" s="13">
        <v>0.96865955299999995</v>
      </c>
      <c r="H16" s="13">
        <v>1.225026497</v>
      </c>
      <c r="I16" s="13">
        <v>1.493845369</v>
      </c>
      <c r="J16" s="13">
        <v>1.772103102</v>
      </c>
      <c r="K16" s="13">
        <v>2.0643178169999996</v>
      </c>
      <c r="L16" s="13">
        <v>2.370744314</v>
      </c>
      <c r="M16" s="13">
        <v>2.6943935919999999</v>
      </c>
      <c r="N16" s="13">
        <v>3.0352896390000002</v>
      </c>
      <c r="O16" s="13">
        <v>3.3925044460000002</v>
      </c>
      <c r="P16" s="13">
        <v>3.764365975</v>
      </c>
      <c r="Q16" s="13">
        <v>4.1482681960000001</v>
      </c>
      <c r="R16" s="13">
        <v>4.5442811350000003</v>
      </c>
      <c r="S16" s="13">
        <v>4.9525268110000003</v>
      </c>
      <c r="T16" s="13">
        <v>5.3723192009999998</v>
      </c>
      <c r="U16" s="13">
        <v>5.7992813129999998</v>
      </c>
      <c r="V16" s="13">
        <v>6.236033172</v>
      </c>
      <c r="W16" s="13">
        <v>6.6773927090000003</v>
      </c>
      <c r="X16" s="13">
        <v>7.1200839030000003</v>
      </c>
      <c r="Y16" s="13">
        <v>7.5685087759999998</v>
      </c>
      <c r="Z16" s="13">
        <v>8.0215143159999993</v>
      </c>
      <c r="AA16" s="14">
        <v>8.4787075690000009</v>
      </c>
      <c r="AB16" s="14">
        <v>8.9428755379999991</v>
      </c>
      <c r="AC16" s="14">
        <v>9.4060801709999993</v>
      </c>
      <c r="AD16" s="14">
        <v>9.8660664850000011</v>
      </c>
      <c r="AE16" s="14">
        <v>10.325788526</v>
      </c>
      <c r="AF16" s="14">
        <v>10.785335303</v>
      </c>
    </row>
    <row r="17" spans="1:32" x14ac:dyDescent="0.35">
      <c r="A17" t="s">
        <v>337</v>
      </c>
      <c r="B17" s="15" t="s">
        <v>59</v>
      </c>
      <c r="C17" s="13">
        <v>17.496743414000001</v>
      </c>
      <c r="D17" s="13">
        <v>17.600727307</v>
      </c>
      <c r="E17" s="13">
        <v>17.677282503000001</v>
      </c>
      <c r="F17" s="13">
        <v>17.719744677999998</v>
      </c>
      <c r="G17" s="13">
        <v>17.734270561999999</v>
      </c>
      <c r="H17" s="13">
        <v>17.720748323999999</v>
      </c>
      <c r="I17" s="13">
        <v>17.672927602000001</v>
      </c>
      <c r="J17" s="13">
        <v>17.588981723</v>
      </c>
      <c r="K17" s="13">
        <v>17.480949396</v>
      </c>
      <c r="L17" s="13">
        <v>17.349141498000002</v>
      </c>
      <c r="M17" s="13">
        <v>17.197644191000002</v>
      </c>
      <c r="N17" s="13">
        <v>17.046173225</v>
      </c>
      <c r="O17" s="13">
        <v>16.902685733999999</v>
      </c>
      <c r="P17" s="13">
        <v>16.770630979</v>
      </c>
      <c r="Q17" s="13">
        <v>16.661508248000001</v>
      </c>
      <c r="R17" s="13">
        <v>16.586304648000002</v>
      </c>
      <c r="S17" s="13">
        <v>16.547595570000002</v>
      </c>
      <c r="T17" s="13">
        <v>16.546085941000001</v>
      </c>
      <c r="U17" s="13">
        <v>16.580552637</v>
      </c>
      <c r="V17" s="13">
        <v>16.644393395000002</v>
      </c>
      <c r="W17" s="13">
        <v>16.725117039000001</v>
      </c>
      <c r="X17" s="13">
        <v>16.824037391000001</v>
      </c>
      <c r="Y17" s="13">
        <v>16.936776668</v>
      </c>
      <c r="Z17" s="13">
        <v>17.055458723000001</v>
      </c>
      <c r="AA17" s="14">
        <v>17.183000925999998</v>
      </c>
      <c r="AB17" s="14">
        <v>17.320076691000001</v>
      </c>
      <c r="AC17" s="14">
        <v>17.460637612999999</v>
      </c>
      <c r="AD17" s="14">
        <v>17.609468648</v>
      </c>
      <c r="AE17" s="14">
        <v>17.766246390999999</v>
      </c>
      <c r="AF17" s="14">
        <v>17.934249820000002</v>
      </c>
    </row>
    <row r="18" spans="1:32" x14ac:dyDescent="0.35">
      <c r="A18" t="s">
        <v>337</v>
      </c>
      <c r="B18" s="15" t="s">
        <v>205</v>
      </c>
      <c r="C18" s="13">
        <v>5.8331860430000004</v>
      </c>
      <c r="D18" s="13">
        <v>6.0075742660000007</v>
      </c>
      <c r="E18" s="13">
        <v>6.1866530510000004</v>
      </c>
      <c r="F18" s="13">
        <v>6.3628517230000003</v>
      </c>
      <c r="G18" s="13">
        <v>6.5396625270000008</v>
      </c>
      <c r="H18" s="13">
        <v>6.722126492000001</v>
      </c>
      <c r="I18" s="13">
        <v>6.9029675159999995</v>
      </c>
      <c r="J18" s="13">
        <v>7.0793397659999995</v>
      </c>
      <c r="K18" s="13">
        <v>7.2533892849999999</v>
      </c>
      <c r="L18" s="13">
        <v>7.4208423319999994</v>
      </c>
      <c r="M18" s="13">
        <v>7.5738687110000003</v>
      </c>
      <c r="N18" s="13">
        <v>7.7366628090000003</v>
      </c>
      <c r="O18" s="13">
        <v>7.8873467660000003</v>
      </c>
      <c r="P18" s="13">
        <v>8.0293070469999996</v>
      </c>
      <c r="Q18" s="13">
        <v>8.1526439569999987</v>
      </c>
      <c r="R18" s="13">
        <v>8.2662899379999999</v>
      </c>
      <c r="S18" s="13">
        <v>8.370393945</v>
      </c>
      <c r="T18" s="13">
        <v>8.4629064490000001</v>
      </c>
      <c r="U18" s="13">
        <v>8.5541975309999998</v>
      </c>
      <c r="V18" s="13">
        <v>8.6397562380000004</v>
      </c>
      <c r="W18" s="13">
        <v>8.7373446880000003</v>
      </c>
      <c r="X18" s="13">
        <v>8.8416869299999998</v>
      </c>
      <c r="Y18" s="13">
        <v>8.9711352930000015</v>
      </c>
      <c r="Z18" s="13">
        <v>9.1156886559999997</v>
      </c>
      <c r="AA18" s="14">
        <v>9.2602275939999998</v>
      </c>
      <c r="AB18" s="14">
        <v>9.4039763090000008</v>
      </c>
      <c r="AC18" s="14">
        <v>9.5477891170000007</v>
      </c>
      <c r="AD18" s="14">
        <v>9.6901922190000001</v>
      </c>
      <c r="AE18" s="14">
        <v>9.8169517420000005</v>
      </c>
      <c r="AF18" s="14">
        <v>9.9317202269999996</v>
      </c>
    </row>
    <row r="19" spans="1:32" x14ac:dyDescent="0.35">
      <c r="A19" t="s">
        <v>337</v>
      </c>
      <c r="B19" s="15" t="s">
        <v>61</v>
      </c>
      <c r="C19" s="13">
        <v>2.9621199000000001E-2</v>
      </c>
      <c r="D19" s="13">
        <v>3.1271495999999996E-2</v>
      </c>
      <c r="E19" s="13">
        <v>3.3190786E-2</v>
      </c>
      <c r="F19" s="13">
        <v>3.5328314E-2</v>
      </c>
      <c r="G19" s="13">
        <v>3.7612181000000001E-2</v>
      </c>
      <c r="H19" s="13">
        <v>4.0063397000000001E-2</v>
      </c>
      <c r="I19" s="13">
        <v>4.2597218999999999E-2</v>
      </c>
      <c r="J19" s="13">
        <v>4.5133929000000003E-2</v>
      </c>
      <c r="K19" s="13">
        <v>4.7727564E-2</v>
      </c>
      <c r="L19" s="13">
        <v>5.0327366999999998E-2</v>
      </c>
      <c r="M19" s="13">
        <v>5.2930158000000005E-2</v>
      </c>
      <c r="N19" s="13">
        <v>5.5508471000000004E-2</v>
      </c>
      <c r="O19" s="13">
        <v>5.8023447000000006E-2</v>
      </c>
      <c r="P19" s="13">
        <v>6.0601125999999998E-2</v>
      </c>
      <c r="Q19" s="13">
        <v>6.3206758000000002E-2</v>
      </c>
      <c r="R19" s="13">
        <v>6.5849413999999995E-2</v>
      </c>
      <c r="S19" s="13">
        <v>6.8538917000000005E-2</v>
      </c>
      <c r="T19" s="13">
        <v>7.1256504999999998E-2</v>
      </c>
      <c r="U19" s="13">
        <v>7.4005105000000002E-2</v>
      </c>
      <c r="V19" s="13">
        <v>7.6788453999999992E-2</v>
      </c>
      <c r="W19" s="13">
        <v>7.9580973000000013E-2</v>
      </c>
      <c r="X19" s="13">
        <v>8.2380022999999997E-2</v>
      </c>
      <c r="Y19" s="13">
        <v>8.5207966999999996E-2</v>
      </c>
      <c r="Z19" s="13">
        <v>8.8061054E-2</v>
      </c>
      <c r="AA19" s="14">
        <v>9.0964933999999997E-2</v>
      </c>
      <c r="AB19" s="14">
        <v>9.3879351E-2</v>
      </c>
      <c r="AC19" s="14">
        <v>9.6760118000000006E-2</v>
      </c>
      <c r="AD19" s="14">
        <v>9.9737799999999988E-2</v>
      </c>
      <c r="AE19" s="14">
        <v>0.102828668</v>
      </c>
      <c r="AF19" s="14">
        <v>0.10611132600000001</v>
      </c>
    </row>
    <row r="20" spans="1:32" x14ac:dyDescent="0.35">
      <c r="A20" t="s">
        <v>337</v>
      </c>
      <c r="B20" s="15" t="s">
        <v>62</v>
      </c>
      <c r="C20" s="13">
        <v>1.361432</v>
      </c>
      <c r="D20" s="13">
        <v>1.9009750000000001</v>
      </c>
      <c r="E20" s="13">
        <v>2.4832580000000002</v>
      </c>
      <c r="F20" s="13">
        <v>3.073788</v>
      </c>
      <c r="G20" s="13">
        <v>3.6655570000000002</v>
      </c>
      <c r="H20" s="13">
        <v>4.2602029999999997</v>
      </c>
      <c r="I20" s="13">
        <v>4.8492050000000004</v>
      </c>
      <c r="J20" s="13">
        <v>5.4278639999999996</v>
      </c>
      <c r="K20" s="13">
        <v>5.9984659999999996</v>
      </c>
      <c r="L20" s="13">
        <v>6.5609890000000002</v>
      </c>
      <c r="M20" s="13">
        <v>7.1151390000000001</v>
      </c>
      <c r="N20" s="13">
        <v>7.6566720000000004</v>
      </c>
      <c r="O20" s="13">
        <v>8.1844190000000001</v>
      </c>
      <c r="P20" s="13">
        <v>8.6934920000000009</v>
      </c>
      <c r="Q20" s="13">
        <v>9.1786910000000006</v>
      </c>
      <c r="R20" s="13">
        <v>9.6400240000000004</v>
      </c>
      <c r="S20" s="13">
        <v>10.078022000000001</v>
      </c>
      <c r="T20" s="13">
        <v>10.490627</v>
      </c>
      <c r="U20" s="13">
        <v>10.877283</v>
      </c>
      <c r="V20" s="13">
        <v>11.241063</v>
      </c>
      <c r="W20" s="13">
        <v>11.578118</v>
      </c>
      <c r="X20" s="13">
        <v>11.888999</v>
      </c>
      <c r="Y20" s="13">
        <v>12.178069000000001</v>
      </c>
      <c r="Z20" s="13">
        <v>12.447089999999999</v>
      </c>
      <c r="AA20" s="14">
        <v>12.702023000000001</v>
      </c>
      <c r="AB20" s="14">
        <v>12.947836000000001</v>
      </c>
      <c r="AC20" s="14">
        <v>13.181870999999999</v>
      </c>
      <c r="AD20" s="14">
        <v>13.406072</v>
      </c>
      <c r="AE20" s="14">
        <v>13.623893000000001</v>
      </c>
      <c r="AF20" s="14">
        <v>13.835825</v>
      </c>
    </row>
    <row r="21" spans="1:32" x14ac:dyDescent="0.35">
      <c r="A21" t="s">
        <v>337</v>
      </c>
      <c r="B21" s="15" t="s">
        <v>63</v>
      </c>
      <c r="C21" s="13">
        <v>0.144815</v>
      </c>
      <c r="D21" s="13">
        <v>0.204095</v>
      </c>
      <c r="E21" s="13">
        <v>0.26401799999999997</v>
      </c>
      <c r="F21" s="13">
        <v>0.322658</v>
      </c>
      <c r="G21" s="13">
        <v>0.37985799999999997</v>
      </c>
      <c r="H21" s="13">
        <v>0.43646600000000002</v>
      </c>
      <c r="I21" s="13">
        <v>0.49207499999999998</v>
      </c>
      <c r="J21" s="13">
        <v>0.54652999999999996</v>
      </c>
      <c r="K21" s="13">
        <v>0.60038499999999995</v>
      </c>
      <c r="L21" s="13">
        <v>0.65416399999999997</v>
      </c>
      <c r="M21" s="13">
        <v>0.70808599999999999</v>
      </c>
      <c r="N21" s="13">
        <v>0.76210800000000001</v>
      </c>
      <c r="O21" s="13">
        <v>0.81611400000000001</v>
      </c>
      <c r="P21" s="13">
        <v>0.86977599999999999</v>
      </c>
      <c r="Q21" s="13">
        <v>0.92245900000000003</v>
      </c>
      <c r="R21" s="13">
        <v>0.97417600000000004</v>
      </c>
      <c r="S21" s="13">
        <v>1.0251479999999999</v>
      </c>
      <c r="T21" s="13">
        <v>1.075202</v>
      </c>
      <c r="U21" s="13">
        <v>1.124161</v>
      </c>
      <c r="V21" s="13">
        <v>1.172525</v>
      </c>
      <c r="W21" s="13">
        <v>1.219684</v>
      </c>
      <c r="X21" s="13">
        <v>1.2654540000000001</v>
      </c>
      <c r="Y21" s="13">
        <v>1.310575</v>
      </c>
      <c r="Z21" s="13">
        <v>1.3548800000000001</v>
      </c>
      <c r="AA21" s="14">
        <v>1.398714</v>
      </c>
      <c r="AB21" s="14">
        <v>1.4426559999999999</v>
      </c>
      <c r="AC21" s="14">
        <v>1.486</v>
      </c>
      <c r="AD21" s="14">
        <v>1.5286960000000001</v>
      </c>
      <c r="AE21" s="14">
        <v>1.5710029999999999</v>
      </c>
      <c r="AF21" s="14">
        <v>1.612841</v>
      </c>
    </row>
    <row r="22" spans="1:32" x14ac:dyDescent="0.35">
      <c r="A22" t="s">
        <v>337</v>
      </c>
      <c r="B22" s="15" t="s">
        <v>64</v>
      </c>
      <c r="C22" s="13">
        <v>3.9378621000000003E-2</v>
      </c>
      <c r="D22" s="13">
        <v>0.21826271300000002</v>
      </c>
      <c r="E22" s="13">
        <v>0.43795792499999997</v>
      </c>
      <c r="F22" s="13">
        <v>0.66085608299999998</v>
      </c>
      <c r="G22" s="13">
        <v>0.88215106900000007</v>
      </c>
      <c r="H22" s="13">
        <v>1.1027574800000002</v>
      </c>
      <c r="I22" s="13">
        <v>1.3209078460000001</v>
      </c>
      <c r="J22" s="13">
        <v>1.5360557539999999</v>
      </c>
      <c r="K22" s="13">
        <v>1.750316078</v>
      </c>
      <c r="L22" s="13">
        <v>1.9657645530000001</v>
      </c>
      <c r="M22" s="13">
        <v>2.183821499</v>
      </c>
      <c r="N22" s="13">
        <v>2.404209942</v>
      </c>
      <c r="O22" s="13">
        <v>2.6255113539999999</v>
      </c>
      <c r="P22" s="13">
        <v>2.8465035470000002</v>
      </c>
      <c r="Q22" s="13">
        <v>3.0651825609999999</v>
      </c>
      <c r="R22" s="13">
        <v>3.280453992</v>
      </c>
      <c r="S22" s="13">
        <v>3.49177515</v>
      </c>
      <c r="T22" s="13">
        <v>3.6982873029999999</v>
      </c>
      <c r="U22" s="13">
        <v>3.8987537810000004</v>
      </c>
      <c r="V22" s="13">
        <v>4.0933197479999999</v>
      </c>
      <c r="W22" s="13">
        <v>4.2799199220000004</v>
      </c>
      <c r="X22" s="13">
        <v>4.4579391230000001</v>
      </c>
      <c r="Y22" s="13">
        <v>4.6288477060000002</v>
      </c>
      <c r="Z22" s="13">
        <v>4.7932249899999997</v>
      </c>
      <c r="AA22" s="14">
        <v>4.9529086150000001</v>
      </c>
      <c r="AB22" s="14">
        <v>5.1087671490000002</v>
      </c>
      <c r="AC22" s="14">
        <v>5.2612625029999993</v>
      </c>
      <c r="AD22" s="14">
        <v>5.4108441580000006</v>
      </c>
      <c r="AE22" s="14">
        <v>5.5585680689999997</v>
      </c>
      <c r="AF22" s="14">
        <v>5.7044228599999993</v>
      </c>
    </row>
    <row r="23" spans="1:32" x14ac:dyDescent="0.35">
      <c r="A23" t="s">
        <v>337</v>
      </c>
      <c r="B23" s="15" t="s">
        <v>65</v>
      </c>
      <c r="C23" s="13">
        <v>9.9999999999999995E-7</v>
      </c>
      <c r="D23" s="13">
        <v>5.0000000000000004E-6</v>
      </c>
      <c r="E23" s="13">
        <v>1.2999999999999999E-5</v>
      </c>
      <c r="F23" s="13">
        <v>2.5999999999999998E-5</v>
      </c>
      <c r="G23" s="13">
        <v>4.5000000000000003E-5</v>
      </c>
      <c r="H23" s="13">
        <v>6.7999999999999999E-5</v>
      </c>
      <c r="I23" s="13">
        <v>9.7E-5</v>
      </c>
      <c r="J23" s="13">
        <v>1.3100000000000001E-4</v>
      </c>
      <c r="K23" s="13">
        <v>1.7100000000000001E-4</v>
      </c>
      <c r="L23" s="13">
        <v>2.1699999999999999E-4</v>
      </c>
      <c r="M23" s="13">
        <v>2.6800000000000001E-4</v>
      </c>
      <c r="N23" s="13">
        <v>3.2600000000000001E-4</v>
      </c>
      <c r="O23" s="13">
        <v>3.8900000000000002E-4</v>
      </c>
      <c r="P23" s="13">
        <v>4.6000000000000001E-4</v>
      </c>
      <c r="Q23" s="13">
        <v>5.3700000000000004E-4</v>
      </c>
      <c r="R23" s="13">
        <v>6.2299999999999996E-4</v>
      </c>
      <c r="S23" s="13">
        <v>7.1699999999999997E-4</v>
      </c>
      <c r="T23" s="13">
        <v>8.1999999999999998E-4</v>
      </c>
      <c r="U23" s="13">
        <v>9.3300000000000002E-4</v>
      </c>
      <c r="V23" s="13">
        <v>1.0560000000000001E-3</v>
      </c>
      <c r="W23" s="13">
        <v>1.191E-3</v>
      </c>
      <c r="X23" s="13">
        <v>1.3359999999999999E-3</v>
      </c>
      <c r="Y23" s="13">
        <v>1.493E-3</v>
      </c>
      <c r="Z23" s="13">
        <v>1.6609999999999999E-3</v>
      </c>
      <c r="AA23" s="14">
        <v>1.843E-3</v>
      </c>
      <c r="AB23" s="14">
        <v>2.0379999999999999E-3</v>
      </c>
      <c r="AC23" s="14">
        <v>2.2439999999999999E-3</v>
      </c>
      <c r="AD23" s="14">
        <v>2.4629999999999999E-3</v>
      </c>
      <c r="AE23" s="14">
        <v>2.6949999999999999E-3</v>
      </c>
      <c r="AF23" s="14">
        <v>2.9399999999999999E-3</v>
      </c>
    </row>
    <row r="24" spans="1:32" x14ac:dyDescent="0.35">
      <c r="A24" t="s">
        <v>338</v>
      </c>
      <c r="B24" s="15" t="s">
        <v>205</v>
      </c>
      <c r="C24" s="13">
        <v>5.1051279999999997</v>
      </c>
      <c r="D24" s="13">
        <v>5.2969710000000001</v>
      </c>
      <c r="E24" s="13">
        <v>5.4910589999999999</v>
      </c>
      <c r="F24" s="13">
        <v>5.6818290000000005</v>
      </c>
      <c r="G24" s="13">
        <v>5.87087</v>
      </c>
      <c r="H24" s="13">
        <v>6.0604259999999996</v>
      </c>
      <c r="I24" s="13">
        <v>6.2426010000000005</v>
      </c>
      <c r="J24" s="13">
        <v>6.4145849999999998</v>
      </c>
      <c r="K24" s="13">
        <v>6.5775350000000001</v>
      </c>
      <c r="L24" s="13">
        <v>6.7344330000000001</v>
      </c>
      <c r="M24" s="13">
        <v>6.881704</v>
      </c>
      <c r="N24" s="13">
        <v>7.0231759999999994</v>
      </c>
      <c r="O24" s="13">
        <v>7.1453059999999997</v>
      </c>
      <c r="P24" s="13">
        <v>7.2557179999999999</v>
      </c>
      <c r="Q24" s="13">
        <v>7.3553510000000006</v>
      </c>
      <c r="R24" s="13">
        <v>7.4508559999999999</v>
      </c>
      <c r="S24" s="13">
        <v>7.5433129999999995</v>
      </c>
      <c r="T24" s="13">
        <v>7.6321010000000005</v>
      </c>
      <c r="U24" s="13">
        <v>7.7110950000000003</v>
      </c>
      <c r="V24" s="13">
        <v>7.7786720000000003</v>
      </c>
      <c r="W24" s="13">
        <v>7.8410930000000008</v>
      </c>
      <c r="X24" s="13">
        <v>7.899527</v>
      </c>
      <c r="Y24" s="13">
        <v>7.972893</v>
      </c>
      <c r="Z24" s="13">
        <v>8.0559520000000013</v>
      </c>
      <c r="AA24" s="13">
        <v>8.1346239999999987</v>
      </c>
      <c r="AB24" s="13">
        <v>8.2057350000000007</v>
      </c>
      <c r="AC24" s="13">
        <v>8.2780629999999995</v>
      </c>
      <c r="AD24" s="13">
        <v>8.3482810000000001</v>
      </c>
      <c r="AE24" s="13">
        <v>8.4092009999999995</v>
      </c>
      <c r="AF24" s="13">
        <v>8.4671290000000017</v>
      </c>
    </row>
    <row r="25" spans="1:32" x14ac:dyDescent="0.35">
      <c r="A25" t="s">
        <v>338</v>
      </c>
      <c r="B25" s="15" t="s">
        <v>55</v>
      </c>
      <c r="C25" s="13">
        <v>2.6444559999999999</v>
      </c>
      <c r="D25" s="13">
        <v>2.6935289999999998</v>
      </c>
      <c r="E25" s="13">
        <v>2.7530039999999998</v>
      </c>
      <c r="F25" s="13">
        <v>2.8197670000000001</v>
      </c>
      <c r="G25" s="13">
        <v>2.8940960000000002</v>
      </c>
      <c r="H25" s="13">
        <v>2.975616</v>
      </c>
      <c r="I25" s="13">
        <v>3.0608430000000002</v>
      </c>
      <c r="J25" s="13">
        <v>3.1458889999999999</v>
      </c>
      <c r="K25" s="13">
        <v>3.2316090000000002</v>
      </c>
      <c r="L25" s="13">
        <v>3.3207779999999998</v>
      </c>
      <c r="M25" s="13">
        <v>3.4092899999999999</v>
      </c>
      <c r="N25" s="13">
        <v>3.5020999999999995</v>
      </c>
      <c r="O25" s="13">
        <v>3.592994</v>
      </c>
      <c r="P25" s="13">
        <v>3.685146</v>
      </c>
      <c r="Q25" s="13">
        <v>3.7799250000000004</v>
      </c>
      <c r="R25" s="13">
        <v>3.8792960000000001</v>
      </c>
      <c r="S25" s="13">
        <v>3.9844080000000002</v>
      </c>
      <c r="T25" s="13">
        <v>4.0927569999999998</v>
      </c>
      <c r="U25" s="13">
        <v>4.2057180000000001</v>
      </c>
      <c r="V25" s="13">
        <v>4.3221129999999999</v>
      </c>
      <c r="W25" s="13">
        <v>4.4463620000000006</v>
      </c>
      <c r="X25" s="13">
        <v>4.5729069999999998</v>
      </c>
      <c r="Y25" s="13">
        <v>4.7087880000000002</v>
      </c>
      <c r="Z25" s="13">
        <v>4.8546620000000003</v>
      </c>
      <c r="AA25" s="13">
        <v>5.0049000000000001</v>
      </c>
      <c r="AB25" s="13">
        <v>5.1578869999999997</v>
      </c>
      <c r="AC25" s="13">
        <v>5.3139129999999994</v>
      </c>
      <c r="AD25" s="13">
        <v>5.4707340000000002</v>
      </c>
      <c r="AE25" s="13">
        <v>5.6268919999999998</v>
      </c>
      <c r="AF25" s="13">
        <v>5.7826040000000001</v>
      </c>
    </row>
    <row r="26" spans="1:32" x14ac:dyDescent="0.35">
      <c r="A26" t="s">
        <v>338</v>
      </c>
      <c r="B26" s="15" t="s">
        <v>66</v>
      </c>
      <c r="C26" s="13">
        <v>7.0089999999999996E-3</v>
      </c>
      <c r="D26" s="13">
        <v>8.2509999999999997E-3</v>
      </c>
      <c r="E26" s="13">
        <v>9.5610000000000001E-3</v>
      </c>
      <c r="F26" s="13">
        <v>1.0905000000000001E-2</v>
      </c>
      <c r="G26" s="13">
        <v>1.2282E-2</v>
      </c>
      <c r="H26" s="13">
        <v>1.3701000000000001E-2</v>
      </c>
      <c r="I26" s="13">
        <v>1.5122999999999999E-2</v>
      </c>
      <c r="J26" s="13">
        <v>1.6541E-2</v>
      </c>
      <c r="K26" s="13">
        <v>1.7963E-2</v>
      </c>
      <c r="L26" s="13">
        <v>1.9404000000000001E-2</v>
      </c>
      <c r="M26" s="13">
        <v>2.0854999999999999E-2</v>
      </c>
      <c r="N26" s="13">
        <v>2.2316000000000003E-2</v>
      </c>
      <c r="O26" s="13">
        <v>2.3805999999999997E-2</v>
      </c>
      <c r="P26" s="13">
        <v>2.5283999999999997E-2</v>
      </c>
      <c r="Q26" s="13">
        <v>2.6762999999999999E-2</v>
      </c>
      <c r="R26" s="13">
        <v>2.8277E-2</v>
      </c>
      <c r="S26" s="13">
        <v>2.9844000000000002E-2</v>
      </c>
      <c r="T26" s="13">
        <v>3.1460000000000002E-2</v>
      </c>
      <c r="U26" s="13">
        <v>3.3138000000000001E-2</v>
      </c>
      <c r="V26" s="13">
        <v>3.4879999999999994E-2</v>
      </c>
      <c r="W26" s="13">
        <v>3.6658999999999997E-2</v>
      </c>
      <c r="X26" s="13">
        <v>3.8487E-2</v>
      </c>
      <c r="Y26" s="13">
        <v>4.0349000000000003E-2</v>
      </c>
      <c r="Z26" s="13">
        <v>4.2254000000000007E-2</v>
      </c>
      <c r="AA26" s="13">
        <v>4.4239000000000007E-2</v>
      </c>
      <c r="AB26" s="13">
        <v>4.6299999999999994E-2</v>
      </c>
      <c r="AC26" s="13">
        <v>4.8403000000000009E-2</v>
      </c>
      <c r="AD26" s="13">
        <v>5.0542999999999998E-2</v>
      </c>
      <c r="AE26" s="13">
        <v>5.2707999999999998E-2</v>
      </c>
      <c r="AF26" s="13">
        <v>5.4996999999999997E-2</v>
      </c>
    </row>
    <row r="27" spans="1:32" x14ac:dyDescent="0.35">
      <c r="A27" t="s">
        <v>338</v>
      </c>
      <c r="B27" s="15" t="s">
        <v>59</v>
      </c>
      <c r="C27" s="13">
        <v>0.25736900000000001</v>
      </c>
      <c r="D27" s="13">
        <v>0.26880700000000002</v>
      </c>
      <c r="E27" s="13">
        <v>0.28025699999999998</v>
      </c>
      <c r="F27" s="13">
        <v>0.29145900000000002</v>
      </c>
      <c r="G27" s="13">
        <v>0.30239099999999997</v>
      </c>
      <c r="H27" s="13">
        <v>0.31315700000000002</v>
      </c>
      <c r="I27" s="13">
        <v>0.32351600000000003</v>
      </c>
      <c r="J27" s="13">
        <v>0.33341900000000002</v>
      </c>
      <c r="K27" s="13">
        <v>0.34304899999999999</v>
      </c>
      <c r="L27" s="13">
        <v>0.35247600000000001</v>
      </c>
      <c r="M27" s="13">
        <v>0.361682</v>
      </c>
      <c r="N27" s="13">
        <v>0.37069200000000002</v>
      </c>
      <c r="O27" s="13">
        <v>0.37958400000000003</v>
      </c>
      <c r="P27" s="13">
        <v>0.388372</v>
      </c>
      <c r="Q27" s="13">
        <v>0.397032</v>
      </c>
      <c r="R27" s="13">
        <v>0.40565700000000005</v>
      </c>
      <c r="S27" s="13">
        <v>0.41440500000000002</v>
      </c>
      <c r="T27" s="13">
        <v>0.42329600000000001</v>
      </c>
      <c r="U27" s="13">
        <v>0.43244800000000005</v>
      </c>
      <c r="V27" s="13">
        <v>0.44192700000000001</v>
      </c>
      <c r="W27" s="13">
        <v>0.45159300000000002</v>
      </c>
      <c r="X27" s="13">
        <v>0.46150199999999997</v>
      </c>
      <c r="Y27" s="13">
        <v>0.47179700000000002</v>
      </c>
      <c r="Z27" s="13">
        <v>0.48116700000000001</v>
      </c>
      <c r="AA27" s="13">
        <v>0.487869</v>
      </c>
      <c r="AB27" s="13">
        <v>0.49281799999999998</v>
      </c>
      <c r="AC27" s="13">
        <v>0.496479</v>
      </c>
      <c r="AD27" s="13">
        <v>0.49984799999999996</v>
      </c>
      <c r="AE27" s="13">
        <v>0.50066100000000002</v>
      </c>
      <c r="AF27" s="13">
        <v>0.50140099999999999</v>
      </c>
    </row>
    <row r="28" spans="1:32" x14ac:dyDescent="0.35">
      <c r="A28" t="s">
        <v>338</v>
      </c>
      <c r="B28" s="15" t="s">
        <v>67</v>
      </c>
      <c r="C28" s="13">
        <v>2.05E-4</v>
      </c>
      <c r="D28" s="13">
        <v>2.23E-4</v>
      </c>
      <c r="E28" s="13">
        <v>2.3900000000000001E-4</v>
      </c>
      <c r="F28" s="13">
        <v>2.5399999999999999E-4</v>
      </c>
      <c r="G28" s="13">
        <v>2.6699999999999998E-4</v>
      </c>
      <c r="H28" s="13">
        <v>2.7900000000000001E-4</v>
      </c>
      <c r="I28" s="13">
        <v>2.8899999999999998E-4</v>
      </c>
      <c r="J28" s="13">
        <v>2.99E-4</v>
      </c>
      <c r="K28" s="13">
        <v>3.0699999999999998E-4</v>
      </c>
      <c r="L28" s="13">
        <v>3.1300000000000002E-4</v>
      </c>
      <c r="M28" s="13">
        <v>3.19E-4</v>
      </c>
      <c r="N28" s="13">
        <v>3.2299999999999999E-4</v>
      </c>
      <c r="O28" s="13">
        <v>3.2600000000000001E-4</v>
      </c>
      <c r="P28" s="13">
        <v>3.2899999999999997E-4</v>
      </c>
      <c r="Q28" s="13">
        <v>3.3199999999999999E-4</v>
      </c>
      <c r="R28" s="13">
        <v>3.3300000000000002E-4</v>
      </c>
      <c r="S28" s="13">
        <v>3.3399999999999999E-4</v>
      </c>
      <c r="T28" s="13">
        <v>3.3300000000000002E-4</v>
      </c>
      <c r="U28" s="13">
        <v>3.3299999999999996E-4</v>
      </c>
      <c r="V28" s="13">
        <v>3.3199999999999999E-4</v>
      </c>
      <c r="W28" s="13">
        <v>3.3100000000000002E-4</v>
      </c>
      <c r="X28" s="13">
        <v>3.2899999999999997E-4</v>
      </c>
      <c r="Y28" s="13">
        <v>3.2700000000000003E-4</v>
      </c>
      <c r="Z28" s="13">
        <v>3.1800000000000003E-4</v>
      </c>
      <c r="AA28" s="13">
        <v>3.0499999999999999E-4</v>
      </c>
      <c r="AB28" s="13">
        <v>2.9600000000000004E-4</v>
      </c>
      <c r="AC28" s="13">
        <v>2.8899999999999998E-4</v>
      </c>
      <c r="AD28" s="13">
        <v>2.8299999999999999E-4</v>
      </c>
      <c r="AE28" s="13">
        <v>2.7700000000000001E-4</v>
      </c>
      <c r="AF28" s="13">
        <v>2.7300000000000002E-4</v>
      </c>
    </row>
    <row r="29" spans="1:32" x14ac:dyDescent="0.35">
      <c r="A29" t="s">
        <v>338</v>
      </c>
      <c r="B29" s="15" t="s">
        <v>68</v>
      </c>
      <c r="C29" s="13">
        <v>7.4599999999999992E-4</v>
      </c>
      <c r="D29" s="13">
        <v>1.526E-3</v>
      </c>
      <c r="E29" s="13">
        <v>2.3540000000000002E-3</v>
      </c>
      <c r="F29" s="13">
        <v>3.215E-3</v>
      </c>
      <c r="G29" s="13">
        <v>4.1120000000000002E-3</v>
      </c>
      <c r="H29" s="13">
        <v>5.0509999999999999E-3</v>
      </c>
      <c r="I29" s="13">
        <v>6.0180000000000008E-3</v>
      </c>
      <c r="J29" s="13">
        <v>7.0030000000000005E-3</v>
      </c>
      <c r="K29" s="13">
        <v>8.0199999999999994E-3</v>
      </c>
      <c r="L29" s="13">
        <v>9.0699999999999999E-3</v>
      </c>
      <c r="M29" s="13">
        <v>1.0149000000000002E-2</v>
      </c>
      <c r="N29" s="13">
        <v>1.1258000000000001E-2</v>
      </c>
      <c r="O29" s="13">
        <v>1.2401000000000001E-2</v>
      </c>
      <c r="P29" s="13">
        <v>1.3579000000000001E-2</v>
      </c>
      <c r="Q29" s="13">
        <v>1.4787E-2</v>
      </c>
      <c r="R29" s="13">
        <v>1.6033000000000002E-2</v>
      </c>
      <c r="S29" s="13">
        <v>1.7323999999999999E-2</v>
      </c>
      <c r="T29" s="13">
        <v>1.8661999999999998E-2</v>
      </c>
      <c r="U29" s="13">
        <v>2.0053000000000001E-2</v>
      </c>
      <c r="V29" s="13">
        <v>2.1502E-2</v>
      </c>
      <c r="W29" s="13">
        <v>2.3E-2</v>
      </c>
      <c r="X29" s="13">
        <v>2.4545000000000001E-2</v>
      </c>
      <c r="Y29" s="13">
        <v>2.6145000000000002E-2</v>
      </c>
      <c r="Z29" s="13">
        <v>2.7796000000000001E-2</v>
      </c>
      <c r="AA29" s="13">
        <v>2.9506999999999999E-2</v>
      </c>
      <c r="AB29" s="13">
        <v>3.1282000000000004E-2</v>
      </c>
      <c r="AC29" s="13">
        <v>3.3107999999999999E-2</v>
      </c>
      <c r="AD29" s="13">
        <v>3.4980999999999998E-2</v>
      </c>
      <c r="AE29" s="13">
        <v>3.6926E-2</v>
      </c>
      <c r="AF29" s="13">
        <v>3.8959000000000001E-2</v>
      </c>
    </row>
    <row r="30" spans="1:32" x14ac:dyDescent="0.35">
      <c r="A30" t="s">
        <v>338</v>
      </c>
      <c r="B30" s="15" t="s">
        <v>69</v>
      </c>
      <c r="C30" s="13">
        <v>7.229999999999999E-4</v>
      </c>
      <c r="D30" s="13">
        <v>1.48E-3</v>
      </c>
      <c r="E30" s="13">
        <v>2.281E-3</v>
      </c>
      <c r="F30" s="13">
        <v>3.1159999999999998E-3</v>
      </c>
      <c r="G30" s="13">
        <v>3.9849999999999998E-3</v>
      </c>
      <c r="H30" s="13">
        <v>4.8959999999999993E-3</v>
      </c>
      <c r="I30" s="13">
        <v>5.8329999999999996E-3</v>
      </c>
      <c r="J30" s="13">
        <v>6.79E-3</v>
      </c>
      <c r="K30" s="13">
        <v>7.7770000000000001E-3</v>
      </c>
      <c r="L30" s="13">
        <v>8.796E-3</v>
      </c>
      <c r="M30" s="13">
        <v>9.8429999999999993E-3</v>
      </c>
      <c r="N30" s="13">
        <v>1.0921E-2</v>
      </c>
      <c r="O30" s="13">
        <v>1.2031E-2</v>
      </c>
      <c r="P30" s="13">
        <v>1.3174999999999999E-2</v>
      </c>
      <c r="Q30" s="13">
        <v>1.4350000000000002E-2</v>
      </c>
      <c r="R30" s="13">
        <v>1.5559999999999999E-2</v>
      </c>
      <c r="S30" s="13">
        <v>1.6816000000000001E-2</v>
      </c>
      <c r="T30" s="13">
        <v>1.8117999999999999E-2</v>
      </c>
      <c r="U30" s="13">
        <v>1.9470000000000001E-2</v>
      </c>
      <c r="V30" s="13">
        <v>2.0879999999999999E-2</v>
      </c>
      <c r="W30" s="13">
        <v>2.2336000000000002E-2</v>
      </c>
      <c r="X30" s="13">
        <v>2.384E-2</v>
      </c>
      <c r="Y30" s="13">
        <v>2.5397000000000003E-2</v>
      </c>
      <c r="Z30" s="13">
        <v>2.7004E-2</v>
      </c>
      <c r="AA30" s="13">
        <v>2.8670000000000001E-2</v>
      </c>
      <c r="AB30" s="13">
        <v>3.0397E-2</v>
      </c>
      <c r="AC30" s="13">
        <v>3.2176000000000003E-2</v>
      </c>
      <c r="AD30" s="13">
        <v>3.4000000000000002E-2</v>
      </c>
      <c r="AE30" s="13">
        <v>3.5894999999999996E-2</v>
      </c>
      <c r="AF30" s="13">
        <v>3.7873999999999998E-2</v>
      </c>
    </row>
    <row r="31" spans="1:32" x14ac:dyDescent="0.35">
      <c r="A31" t="s">
        <v>338</v>
      </c>
      <c r="B31" s="15" t="s">
        <v>65</v>
      </c>
      <c r="C31" s="13">
        <v>4.84E-4</v>
      </c>
      <c r="D31" s="13">
        <v>9.990000000000001E-4</v>
      </c>
      <c r="E31" s="13">
        <v>1.5460000000000001E-3</v>
      </c>
      <c r="F31" s="13">
        <v>2.1150000000000001E-3</v>
      </c>
      <c r="G31" s="13">
        <v>2.7030000000000001E-3</v>
      </c>
      <c r="H31" s="13">
        <v>3.3149999999999998E-3</v>
      </c>
      <c r="I31" s="13">
        <v>3.9379999999999997E-3</v>
      </c>
      <c r="J31" s="13">
        <v>4.5669999999999999E-3</v>
      </c>
      <c r="K31" s="13">
        <v>5.2119999999999996E-3</v>
      </c>
      <c r="L31" s="13">
        <v>5.8780000000000004E-3</v>
      </c>
      <c r="M31" s="13">
        <v>6.5570000000000003E-3</v>
      </c>
      <c r="N31" s="13">
        <v>7.2500000000000004E-3</v>
      </c>
      <c r="O31" s="13">
        <v>7.9589999999999991E-3</v>
      </c>
      <c r="P31" s="13">
        <v>8.6869999999999985E-3</v>
      </c>
      <c r="Q31" s="13">
        <v>9.4279999999999989E-3</v>
      </c>
      <c r="R31" s="13">
        <v>1.0185999999999999E-2</v>
      </c>
      <c r="S31" s="13">
        <v>1.0969E-2</v>
      </c>
      <c r="T31" s="13">
        <v>1.1777999999999999E-2</v>
      </c>
      <c r="U31" s="13">
        <v>1.2617E-2</v>
      </c>
      <c r="V31" s="13">
        <v>1.3488999999999999E-2</v>
      </c>
      <c r="W31" s="13">
        <v>1.4383999999999999E-2</v>
      </c>
      <c r="X31" s="13">
        <v>1.5306999999999999E-2</v>
      </c>
      <c r="Y31" s="13">
        <v>1.626E-2</v>
      </c>
      <c r="Z31" s="13">
        <v>1.7240999999999999E-2</v>
      </c>
      <c r="AA31" s="13">
        <v>1.8251E-2</v>
      </c>
      <c r="AB31" s="13">
        <v>1.9296000000000001E-2</v>
      </c>
      <c r="AC31" s="13">
        <v>2.0363000000000003E-2</v>
      </c>
      <c r="AD31" s="13">
        <v>2.1448000000000002E-2</v>
      </c>
      <c r="AE31" s="13">
        <v>2.2577E-2</v>
      </c>
      <c r="AF31" s="13">
        <v>2.3769999999999999E-2</v>
      </c>
    </row>
    <row r="32" spans="1:32" x14ac:dyDescent="0.35">
      <c r="A32" t="s">
        <v>339</v>
      </c>
      <c r="B32" s="15" t="s">
        <v>205</v>
      </c>
      <c r="C32" s="13">
        <v>5.1643530000000002</v>
      </c>
      <c r="D32" s="13">
        <v>5.2507930000000007</v>
      </c>
      <c r="E32" s="13">
        <v>5.340326000000001</v>
      </c>
      <c r="F32" s="13">
        <v>5.4261330000000001</v>
      </c>
      <c r="G32" s="13">
        <v>5.5098539999999998</v>
      </c>
      <c r="H32" s="13">
        <v>5.5928799999999992</v>
      </c>
      <c r="I32" s="13">
        <v>5.6663509999999997</v>
      </c>
      <c r="J32" s="13">
        <v>5.7273329999999998</v>
      </c>
      <c r="K32" s="13">
        <v>5.7769250000000003</v>
      </c>
      <c r="L32" s="13">
        <v>5.8211970000000006</v>
      </c>
      <c r="M32" s="13">
        <v>5.8600919999999999</v>
      </c>
      <c r="N32" s="13">
        <v>5.8900649999999999</v>
      </c>
      <c r="O32" s="13">
        <v>5.9101550000000005</v>
      </c>
      <c r="P32" s="13">
        <v>5.9195970000000004</v>
      </c>
      <c r="Q32" s="13">
        <v>5.9261290000000004</v>
      </c>
      <c r="R32" s="13">
        <v>5.9328909999999997</v>
      </c>
      <c r="S32" s="13">
        <v>5.9381449999999996</v>
      </c>
      <c r="T32" s="13">
        <v>5.9399069999999998</v>
      </c>
      <c r="U32" s="13">
        <v>5.9342110000000003</v>
      </c>
      <c r="V32" s="13">
        <v>5.9233280000000006</v>
      </c>
      <c r="W32" s="13">
        <v>5.8999829999999989</v>
      </c>
      <c r="X32" s="13">
        <v>5.8828639999999996</v>
      </c>
      <c r="Y32" s="13">
        <v>5.8690660000000001</v>
      </c>
      <c r="Z32" s="13">
        <v>5.8584269999999998</v>
      </c>
      <c r="AA32" s="13">
        <v>5.8472290000000005</v>
      </c>
      <c r="AB32" s="13">
        <v>5.8299609999999991</v>
      </c>
      <c r="AC32" s="13">
        <v>5.8056590000000003</v>
      </c>
      <c r="AD32" s="13">
        <v>5.7748810000000006</v>
      </c>
      <c r="AE32" s="13">
        <v>5.738353</v>
      </c>
      <c r="AF32" s="13">
        <v>5.6972649999999998</v>
      </c>
    </row>
    <row r="33" spans="1:32" x14ac:dyDescent="0.35">
      <c r="A33" t="s">
        <v>339</v>
      </c>
      <c r="B33" s="15" t="s">
        <v>55</v>
      </c>
      <c r="C33" s="13">
        <v>4.4518000000000002E-2</v>
      </c>
      <c r="D33" s="13">
        <v>3.8718000000000002E-2</v>
      </c>
      <c r="E33" s="13">
        <v>3.3901000000000001E-2</v>
      </c>
      <c r="F33" s="13">
        <v>2.9756999999999999E-2</v>
      </c>
      <c r="G33" s="13">
        <v>2.6207000000000001E-2</v>
      </c>
      <c r="H33" s="13">
        <v>2.3342999999999999E-2</v>
      </c>
      <c r="I33" s="13">
        <v>2.1041000000000001E-2</v>
      </c>
      <c r="J33" s="13">
        <v>1.9141999999999999E-2</v>
      </c>
      <c r="K33" s="13">
        <v>1.7506000000000001E-2</v>
      </c>
      <c r="L33" s="13">
        <v>1.6154000000000002E-2</v>
      </c>
      <c r="M33" s="13">
        <v>1.4955E-2</v>
      </c>
      <c r="N33" s="13">
        <v>1.3946999999999999E-2</v>
      </c>
      <c r="O33" s="13">
        <v>1.3133000000000001E-2</v>
      </c>
      <c r="P33" s="13">
        <v>1.2478E-2</v>
      </c>
      <c r="Q33" s="13">
        <v>1.1988E-2</v>
      </c>
      <c r="R33" s="13">
        <v>1.1573E-2</v>
      </c>
      <c r="S33" s="13">
        <v>1.1284000000000001E-2</v>
      </c>
      <c r="T33" s="13">
        <v>1.1077999999999999E-2</v>
      </c>
      <c r="U33" s="13">
        <v>1.0898E-2</v>
      </c>
      <c r="V33" s="13">
        <v>1.0711999999999999E-2</v>
      </c>
      <c r="W33" s="13">
        <v>1.0573000000000001E-2</v>
      </c>
      <c r="X33" s="13">
        <v>1.0396000000000001E-2</v>
      </c>
      <c r="Y33" s="13">
        <v>1.0226000000000001E-2</v>
      </c>
      <c r="Z33" s="13">
        <v>1.0132E-2</v>
      </c>
      <c r="AA33" s="13">
        <v>1.0087E-2</v>
      </c>
      <c r="AB33" s="13">
        <v>1.0071E-2</v>
      </c>
      <c r="AC33" s="13">
        <v>1.0062E-2</v>
      </c>
      <c r="AD33" s="13">
        <v>1.0063000000000001E-2</v>
      </c>
      <c r="AE33" s="13">
        <v>1.0059999999999999E-2</v>
      </c>
      <c r="AF33" s="13">
        <v>1.0056000000000001E-2</v>
      </c>
    </row>
    <row r="34" spans="1:32" x14ac:dyDescent="0.35">
      <c r="A34" t="s">
        <v>339</v>
      </c>
      <c r="B34" s="15" t="s">
        <v>70</v>
      </c>
      <c r="C34" s="13">
        <v>3.2859999999999999E-3</v>
      </c>
      <c r="D34" s="13">
        <v>3.2269999999999998E-3</v>
      </c>
      <c r="E34" s="13">
        <v>3.1779999999999998E-3</v>
      </c>
      <c r="F34" s="13">
        <v>3.1469999999999996E-3</v>
      </c>
      <c r="G34" s="13">
        <v>3.1359999999999999E-3</v>
      </c>
      <c r="H34" s="13">
        <v>3.1569999999999997E-3</v>
      </c>
      <c r="I34" s="13">
        <v>3.186E-3</v>
      </c>
      <c r="J34" s="13">
        <v>3.2079999999999999E-3</v>
      </c>
      <c r="K34" s="13">
        <v>3.2109999999999999E-3</v>
      </c>
      <c r="L34" s="13">
        <v>3.2230000000000002E-3</v>
      </c>
      <c r="M34" s="13">
        <v>3.2460000000000002E-3</v>
      </c>
      <c r="N34" s="13">
        <v>3.2629999999999998E-3</v>
      </c>
      <c r="O34" s="13">
        <v>3.3090000000000003E-3</v>
      </c>
      <c r="P34" s="13">
        <v>3.3710000000000003E-3</v>
      </c>
      <c r="Q34" s="13">
        <v>3.4429999999999999E-3</v>
      </c>
      <c r="R34" s="13">
        <v>3.522E-3</v>
      </c>
      <c r="S34" s="13">
        <v>3.6039999999999996E-3</v>
      </c>
      <c r="T34" s="13">
        <v>3.6870000000000002E-3</v>
      </c>
      <c r="U34" s="13">
        <v>3.7749999999999997E-3</v>
      </c>
      <c r="V34" s="13">
        <v>3.862E-3</v>
      </c>
      <c r="W34" s="13">
        <v>3.9499999999999995E-3</v>
      </c>
      <c r="X34" s="13">
        <v>4.0340000000000003E-3</v>
      </c>
      <c r="Y34" s="13">
        <v>4.1180000000000001E-3</v>
      </c>
      <c r="Z34" s="13">
        <v>4.202E-3</v>
      </c>
      <c r="AA34" s="13">
        <v>4.2830000000000003E-3</v>
      </c>
      <c r="AB34" s="13">
        <v>4.3619999999999996E-3</v>
      </c>
      <c r="AC34" s="13">
        <v>4.4410000000000005E-3</v>
      </c>
      <c r="AD34" s="13">
        <v>4.5140000000000007E-3</v>
      </c>
      <c r="AE34" s="13">
        <v>4.5750000000000001E-3</v>
      </c>
      <c r="AF34" s="13">
        <v>4.6259999999999999E-3</v>
      </c>
    </row>
    <row r="35" spans="1:32" x14ac:dyDescent="0.35">
      <c r="A35" t="s">
        <v>339</v>
      </c>
      <c r="B35" s="15" t="s">
        <v>66</v>
      </c>
      <c r="C35" s="13">
        <v>4.6627000000000002E-2</v>
      </c>
      <c r="D35" s="13">
        <v>5.0178E-2</v>
      </c>
      <c r="E35" s="13">
        <v>5.3423999999999999E-2</v>
      </c>
      <c r="F35" s="13">
        <v>5.6327000000000002E-2</v>
      </c>
      <c r="G35" s="13">
        <v>5.8932000000000005E-2</v>
      </c>
      <c r="H35" s="13">
        <v>6.1312999999999999E-2</v>
      </c>
      <c r="I35" s="13">
        <v>6.3450000000000006E-2</v>
      </c>
      <c r="J35" s="13">
        <v>6.5373000000000001E-2</v>
      </c>
      <c r="K35" s="13">
        <v>6.7125000000000004E-2</v>
      </c>
      <c r="L35" s="13">
        <v>6.8764000000000006E-2</v>
      </c>
      <c r="M35" s="13">
        <v>7.0296999999999998E-2</v>
      </c>
      <c r="N35" s="13">
        <v>7.1716000000000002E-2</v>
      </c>
      <c r="O35" s="13">
        <v>7.3071999999999998E-2</v>
      </c>
      <c r="P35" s="13">
        <v>7.4393000000000001E-2</v>
      </c>
      <c r="Q35" s="13">
        <v>7.5686000000000003E-2</v>
      </c>
      <c r="R35" s="13">
        <v>7.6987E-2</v>
      </c>
      <c r="S35" s="13">
        <v>7.8377000000000002E-2</v>
      </c>
      <c r="T35" s="13">
        <v>7.9889000000000002E-2</v>
      </c>
      <c r="U35" s="13">
        <v>8.1592999999999999E-2</v>
      </c>
      <c r="V35" s="13">
        <v>8.3552999999999988E-2</v>
      </c>
      <c r="W35" s="13">
        <v>8.5708999999999994E-2</v>
      </c>
      <c r="X35" s="13">
        <v>8.8081000000000007E-2</v>
      </c>
      <c r="Y35" s="13">
        <v>9.0713000000000016E-2</v>
      </c>
      <c r="Z35" s="13">
        <v>9.367700000000001E-2</v>
      </c>
      <c r="AA35" s="13">
        <v>9.6942E-2</v>
      </c>
      <c r="AB35" s="13">
        <v>0.100534</v>
      </c>
      <c r="AC35" s="13">
        <v>0.104466</v>
      </c>
      <c r="AD35" s="13">
        <v>0.108649</v>
      </c>
      <c r="AE35" s="13">
        <v>0.11334100000000001</v>
      </c>
      <c r="AF35" s="13">
        <v>0.118703</v>
      </c>
    </row>
    <row r="36" spans="1:32" x14ac:dyDescent="0.35">
      <c r="A36" t="s">
        <v>339</v>
      </c>
      <c r="B36" s="15" t="s">
        <v>67</v>
      </c>
      <c r="C36" s="13">
        <v>1.2400000000000001E-4</v>
      </c>
      <c r="D36" s="13">
        <v>1.25E-4</v>
      </c>
      <c r="E36" s="13">
        <v>1.25E-4</v>
      </c>
      <c r="F36" s="13">
        <v>1.26E-4</v>
      </c>
      <c r="G36" s="13">
        <v>1.26E-4</v>
      </c>
      <c r="H36" s="13">
        <v>1.27E-4</v>
      </c>
      <c r="I36" s="13">
        <v>1.25E-4</v>
      </c>
      <c r="J36" s="13">
        <v>1.2400000000000001E-4</v>
      </c>
      <c r="K36" s="13">
        <v>1.2400000000000001E-4</v>
      </c>
      <c r="L36" s="13">
        <v>1.21E-4</v>
      </c>
      <c r="M36" s="13">
        <v>1.2100000000000001E-4</v>
      </c>
      <c r="N36" s="13">
        <v>1.18E-4</v>
      </c>
      <c r="O36" s="13">
        <v>1.17E-4</v>
      </c>
      <c r="P36" s="13">
        <v>1.1300000000000001E-4</v>
      </c>
      <c r="Q36" s="13">
        <v>1.1E-4</v>
      </c>
      <c r="R36" s="13">
        <v>1.0899999999999999E-4</v>
      </c>
      <c r="S36" s="13">
        <v>1.06E-4</v>
      </c>
      <c r="T36" s="13">
        <v>1.02E-4</v>
      </c>
      <c r="U36" s="13">
        <v>9.9999999999999991E-5</v>
      </c>
      <c r="V36" s="13">
        <v>9.7E-5</v>
      </c>
      <c r="W36" s="13">
        <v>9.1999999999999987E-5</v>
      </c>
      <c r="X36" s="13">
        <v>8.7999999999999998E-5</v>
      </c>
      <c r="Y36" s="13">
        <v>8.6000000000000003E-5</v>
      </c>
      <c r="Z36" s="13">
        <v>8.3999999999999995E-5</v>
      </c>
      <c r="AA36" s="13">
        <v>7.8999999999999996E-5</v>
      </c>
      <c r="AB36" s="13">
        <v>7.5000000000000007E-5</v>
      </c>
      <c r="AC36" s="13">
        <v>7.2999999999999999E-5</v>
      </c>
      <c r="AD36" s="13">
        <v>6.8999999999999997E-5</v>
      </c>
      <c r="AE36" s="13">
        <v>6.5000000000000008E-5</v>
      </c>
      <c r="AF36" s="13">
        <v>6.3E-5</v>
      </c>
    </row>
    <row r="37" spans="1:32" x14ac:dyDescent="0.35">
      <c r="A37" t="s">
        <v>339</v>
      </c>
      <c r="B37" s="15" t="s">
        <v>68</v>
      </c>
      <c r="C37" s="13">
        <v>2.4600000000000002E-4</v>
      </c>
      <c r="D37" s="13">
        <v>5.0199999999999995E-4</v>
      </c>
      <c r="E37" s="13">
        <v>7.67E-4</v>
      </c>
      <c r="F37" s="13">
        <v>1.0369999999999999E-3</v>
      </c>
      <c r="G37" s="13">
        <v>1.3110000000000001E-3</v>
      </c>
      <c r="H37" s="13">
        <v>1.588E-3</v>
      </c>
      <c r="I37" s="13">
        <v>1.8630000000000001E-3</v>
      </c>
      <c r="J37" s="13">
        <v>2.1350000000000002E-3</v>
      </c>
      <c r="K37" s="13">
        <v>2.4069999999999999E-3</v>
      </c>
      <c r="L37" s="13">
        <v>2.6800000000000001E-3</v>
      </c>
      <c r="M37" s="13">
        <v>2.9529999999999999E-3</v>
      </c>
      <c r="N37" s="13">
        <v>3.2230000000000002E-3</v>
      </c>
      <c r="O37" s="13">
        <v>3.49E-3</v>
      </c>
      <c r="P37" s="13">
        <v>3.7590000000000002E-3</v>
      </c>
      <c r="Q37" s="13">
        <v>4.0260000000000001E-3</v>
      </c>
      <c r="R37" s="13">
        <v>4.2900000000000004E-3</v>
      </c>
      <c r="S37" s="13">
        <v>4.5539999999999999E-3</v>
      </c>
      <c r="T37" s="13">
        <v>4.8180000000000002E-3</v>
      </c>
      <c r="U37" s="13">
        <v>5.0829999999999998E-3</v>
      </c>
      <c r="V37" s="13">
        <v>5.3509999999999999E-3</v>
      </c>
      <c r="W37" s="13">
        <v>5.6160000000000003E-3</v>
      </c>
      <c r="X37" s="13">
        <v>5.8799999999999998E-3</v>
      </c>
      <c r="Y37" s="13">
        <v>6.1440000000000002E-3</v>
      </c>
      <c r="Z37" s="13">
        <v>6.4070000000000004E-3</v>
      </c>
      <c r="AA37" s="13">
        <v>6.6680000000000003E-3</v>
      </c>
      <c r="AB37" s="13">
        <v>6.927E-3</v>
      </c>
      <c r="AC37" s="13">
        <v>7.1809999999999999E-3</v>
      </c>
      <c r="AD37" s="13">
        <v>7.4310000000000001E-3</v>
      </c>
      <c r="AE37" s="13">
        <v>7.6819999999999996E-3</v>
      </c>
      <c r="AF37" s="13">
        <v>7.9380000000000006E-3</v>
      </c>
    </row>
    <row r="38" spans="1:32" x14ac:dyDescent="0.35">
      <c r="A38" t="s">
        <v>339</v>
      </c>
      <c r="B38" s="15" t="s">
        <v>69</v>
      </c>
      <c r="C38" s="13">
        <v>2.5999999999999998E-4</v>
      </c>
      <c r="D38" s="13">
        <v>5.31E-4</v>
      </c>
      <c r="E38" s="13">
        <v>8.12E-4</v>
      </c>
      <c r="F38" s="13">
        <v>1.096E-3</v>
      </c>
      <c r="G38" s="13">
        <v>1.3860000000000001E-3</v>
      </c>
      <c r="H38" s="13">
        <v>1.6800000000000001E-3</v>
      </c>
      <c r="I38" s="13">
        <v>1.97E-3</v>
      </c>
      <c r="J38" s="13">
        <v>2.258E-3</v>
      </c>
      <c r="K38" s="13">
        <v>2.545E-3</v>
      </c>
      <c r="L38" s="13">
        <v>2.8340000000000001E-3</v>
      </c>
      <c r="M38" s="13">
        <v>3.1220000000000002E-3</v>
      </c>
      <c r="N38" s="13">
        <v>3.408E-3</v>
      </c>
      <c r="O38" s="13">
        <v>3.692E-3</v>
      </c>
      <c r="P38" s="13">
        <v>3.9750000000000002E-3</v>
      </c>
      <c r="Q38" s="13">
        <v>4.2570000000000004E-3</v>
      </c>
      <c r="R38" s="13">
        <v>4.5360000000000001E-3</v>
      </c>
      <c r="S38" s="13">
        <v>4.816E-3</v>
      </c>
      <c r="T38" s="13">
        <v>5.0949999999999997E-3</v>
      </c>
      <c r="U38" s="13">
        <v>5.3759999999999997E-3</v>
      </c>
      <c r="V38" s="13">
        <v>5.6579999999999998E-3</v>
      </c>
      <c r="W38" s="13">
        <v>5.9389999999999998E-3</v>
      </c>
      <c r="X38" s="13">
        <v>6.2189999999999997E-3</v>
      </c>
      <c r="Y38" s="13">
        <v>6.4980000000000003E-3</v>
      </c>
      <c r="Z38" s="13">
        <v>6.7759999999999999E-3</v>
      </c>
      <c r="AA38" s="13">
        <v>7.051E-3</v>
      </c>
      <c r="AB38" s="13">
        <v>7.326E-3</v>
      </c>
      <c r="AC38" s="13">
        <v>7.5940000000000001E-3</v>
      </c>
      <c r="AD38" s="13">
        <v>7.8580000000000004E-3</v>
      </c>
      <c r="AE38" s="13">
        <v>8.1239999999999993E-3</v>
      </c>
      <c r="AF38" s="13">
        <v>8.3940000000000004E-3</v>
      </c>
    </row>
    <row r="39" spans="1:32" x14ac:dyDescent="0.35">
      <c r="A39" t="s">
        <v>339</v>
      </c>
      <c r="B39" s="15" t="s">
        <v>65</v>
      </c>
      <c r="C39" s="13">
        <v>3.0800000000000001E-4</v>
      </c>
      <c r="D39" s="13">
        <v>6.2699999999999995E-4</v>
      </c>
      <c r="E39" s="13">
        <v>9.6000000000000002E-4</v>
      </c>
      <c r="F39" s="13">
        <v>1.297E-3</v>
      </c>
      <c r="G39" s="13">
        <v>1.639E-3</v>
      </c>
      <c r="H39" s="13">
        <v>1.9859999999999999E-3</v>
      </c>
      <c r="I39" s="13">
        <v>2.3310000000000002E-3</v>
      </c>
      <c r="J39" s="13">
        <v>2.6710000000000002E-3</v>
      </c>
      <c r="K39" s="13">
        <v>3.0119999999999999E-3</v>
      </c>
      <c r="L39" s="13">
        <v>3.3540000000000002E-3</v>
      </c>
      <c r="M39" s="13">
        <v>3.6949999999999999E-3</v>
      </c>
      <c r="N39" s="13">
        <v>4.0330000000000001E-3</v>
      </c>
      <c r="O39" s="13">
        <v>4.3680000000000004E-3</v>
      </c>
      <c r="P39" s="13">
        <v>4.7039999999999998E-3</v>
      </c>
      <c r="Q39" s="13">
        <v>5.0369999999999998E-3</v>
      </c>
      <c r="R39" s="13">
        <v>5.3680000000000004E-3</v>
      </c>
      <c r="S39" s="13">
        <v>5.6990000000000001E-3</v>
      </c>
      <c r="T39" s="13">
        <v>6.0289999999999996E-3</v>
      </c>
      <c r="U39" s="13">
        <v>6.3610000000000003E-3</v>
      </c>
      <c r="V39" s="13">
        <v>6.6950000000000004E-3</v>
      </c>
      <c r="W39" s="13">
        <v>7.0270000000000003E-3</v>
      </c>
      <c r="X39" s="13">
        <v>7.358E-3</v>
      </c>
      <c r="Y39" s="13">
        <v>7.6889999999999997E-3</v>
      </c>
      <c r="Z39" s="13">
        <v>8.0180000000000008E-3</v>
      </c>
      <c r="AA39" s="13">
        <v>8.3440000000000007E-3</v>
      </c>
      <c r="AB39" s="13">
        <v>8.6680000000000004E-3</v>
      </c>
      <c r="AC39" s="13">
        <v>8.9870000000000002E-3</v>
      </c>
      <c r="AD39" s="13">
        <v>9.2980000000000007E-3</v>
      </c>
      <c r="AE39" s="13">
        <v>9.6120000000000008E-3</v>
      </c>
      <c r="AF39" s="13">
        <v>9.9340000000000001E-3</v>
      </c>
    </row>
    <row r="41" spans="1:32" x14ac:dyDescent="0.35"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2" x14ac:dyDescent="0.35"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2" x14ac:dyDescent="0.35"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1:32" x14ac:dyDescent="0.35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spans="1:32" x14ac:dyDescent="0.35"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spans="1:32" x14ac:dyDescent="0.35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spans="1:32" x14ac:dyDescent="0.35"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spans="1:32" x14ac:dyDescent="0.35"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3:32" x14ac:dyDescent="0.35"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3:32" x14ac:dyDescent="0.35"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spans="3:32" x14ac:dyDescent="0.35"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spans="3:32" x14ac:dyDescent="0.35"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spans="3:32" x14ac:dyDescent="0.35"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spans="3:32" x14ac:dyDescent="0.35"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spans="3:32" x14ac:dyDescent="0.35"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3:32" x14ac:dyDescent="0.35"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3:32" x14ac:dyDescent="0.35"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spans="3:32" x14ac:dyDescent="0.35"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spans="3:32" x14ac:dyDescent="0.35"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spans="3:32" x14ac:dyDescent="0.35"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spans="3:32" x14ac:dyDescent="0.35"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spans="3:32" x14ac:dyDescent="0.35"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3:32" x14ac:dyDescent="0.35"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3:32" x14ac:dyDescent="0.35"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spans="3:32" x14ac:dyDescent="0.35"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spans="3:32" x14ac:dyDescent="0.35"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spans="3:32" x14ac:dyDescent="0.35"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spans="3:32" x14ac:dyDescent="0.35"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spans="3:32" x14ac:dyDescent="0.35"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3:32" x14ac:dyDescent="0.35"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3:32" x14ac:dyDescent="0.35">
      <c r="C71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2021</v>
      </c>
      <c r="C2" s="28">
        <v>175905.05865299999</v>
      </c>
    </row>
    <row r="3" spans="1:3" x14ac:dyDescent="0.35">
      <c r="A3" s="1" t="s">
        <v>337</v>
      </c>
      <c r="B3" s="1">
        <v>2021</v>
      </c>
      <c r="C3" s="28">
        <v>1453415.7089999998</v>
      </c>
    </row>
    <row r="4" spans="1:3" x14ac:dyDescent="0.35">
      <c r="A4" s="1" t="s">
        <v>338</v>
      </c>
      <c r="B4" s="1">
        <v>2021</v>
      </c>
      <c r="C4" s="28">
        <v>120902.86600000001</v>
      </c>
    </row>
    <row r="5" spans="1:3" x14ac:dyDescent="0.35">
      <c r="A5" s="1" t="s">
        <v>192</v>
      </c>
      <c r="B5" s="1">
        <v>2021</v>
      </c>
      <c r="C5" s="28">
        <v>1385678.0070000002</v>
      </c>
    </row>
    <row r="6" spans="1:3" x14ac:dyDescent="0.35">
      <c r="A6" s="1" t="s">
        <v>339</v>
      </c>
      <c r="B6" s="1">
        <v>2022</v>
      </c>
      <c r="C6" s="28">
        <v>180087.624163</v>
      </c>
    </row>
    <row r="7" spans="1:3" x14ac:dyDescent="0.35">
      <c r="A7" s="1" t="s">
        <v>337</v>
      </c>
      <c r="B7" s="1">
        <v>2022</v>
      </c>
      <c r="C7" s="28">
        <v>1587379.9620000005</v>
      </c>
    </row>
    <row r="8" spans="1:3" x14ac:dyDescent="0.35">
      <c r="A8" s="1" t="s">
        <v>338</v>
      </c>
      <c r="B8" s="1">
        <v>2022</v>
      </c>
      <c r="C8" s="28">
        <v>124146.145</v>
      </c>
    </row>
    <row r="9" spans="1:3" x14ac:dyDescent="0.35">
      <c r="A9" s="1" t="s">
        <v>192</v>
      </c>
      <c r="B9" s="1">
        <v>2022</v>
      </c>
      <c r="C9" s="28">
        <v>1293781.5650000002</v>
      </c>
    </row>
    <row r="10" spans="1:3" x14ac:dyDescent="0.35">
      <c r="A10" s="1" t="s">
        <v>339</v>
      </c>
      <c r="B10" s="1">
        <v>2023</v>
      </c>
      <c r="C10" s="28">
        <v>182482.29637099995</v>
      </c>
    </row>
    <row r="11" spans="1:3" x14ac:dyDescent="0.35">
      <c r="A11" s="1" t="s">
        <v>337</v>
      </c>
      <c r="B11" s="1">
        <v>2023</v>
      </c>
      <c r="C11" s="28">
        <v>1697480.8939999999</v>
      </c>
    </row>
    <row r="12" spans="1:3" x14ac:dyDescent="0.35">
      <c r="A12" s="1" t="s">
        <v>338</v>
      </c>
      <c r="B12" s="1">
        <v>2023</v>
      </c>
      <c r="C12" s="28">
        <v>126453.22</v>
      </c>
    </row>
    <row r="13" spans="1:3" x14ac:dyDescent="0.35">
      <c r="A13" s="1" t="s">
        <v>192</v>
      </c>
      <c r="B13" s="1">
        <v>2023</v>
      </c>
      <c r="C13" s="28">
        <v>1314686.4810000006</v>
      </c>
    </row>
    <row r="14" spans="1:3" x14ac:dyDescent="0.35">
      <c r="A14" s="1" t="s">
        <v>339</v>
      </c>
      <c r="B14" s="1">
        <v>2024</v>
      </c>
      <c r="C14" s="28">
        <v>184146.29071699997</v>
      </c>
    </row>
    <row r="15" spans="1:3" x14ac:dyDescent="0.35">
      <c r="A15" s="1" t="s">
        <v>337</v>
      </c>
      <c r="B15" s="1">
        <v>2024</v>
      </c>
      <c r="C15" s="28">
        <v>1797010.4129999999</v>
      </c>
    </row>
    <row r="16" spans="1:3" x14ac:dyDescent="0.35">
      <c r="A16" s="1" t="s">
        <v>338</v>
      </c>
      <c r="B16" s="1">
        <v>2024</v>
      </c>
      <c r="C16" s="28">
        <v>128525.497</v>
      </c>
    </row>
    <row r="17" spans="1:3" x14ac:dyDescent="0.35">
      <c r="A17" s="1" t="s">
        <v>192</v>
      </c>
      <c r="B17" s="1">
        <v>2024</v>
      </c>
      <c r="C17" s="28">
        <v>1316350.7329999998</v>
      </c>
    </row>
    <row r="18" spans="1:3" x14ac:dyDescent="0.35">
      <c r="A18" s="1" t="s">
        <v>339</v>
      </c>
      <c r="B18" s="1">
        <v>2025</v>
      </c>
      <c r="C18" s="28">
        <v>185937.74252800003</v>
      </c>
    </row>
    <row r="19" spans="1:3" x14ac:dyDescent="0.35">
      <c r="A19" s="1" t="s">
        <v>337</v>
      </c>
      <c r="B19" s="1">
        <v>2025</v>
      </c>
      <c r="C19" s="28">
        <v>1871423.4710000004</v>
      </c>
    </row>
    <row r="20" spans="1:3" x14ac:dyDescent="0.35">
      <c r="A20" s="1" t="s">
        <v>338</v>
      </c>
      <c r="B20" s="1">
        <v>2025</v>
      </c>
      <c r="C20" s="28">
        <v>130945.20199999999</v>
      </c>
    </row>
    <row r="21" spans="1:3" x14ac:dyDescent="0.35">
      <c r="A21" s="1" t="s">
        <v>192</v>
      </c>
      <c r="B21" s="1">
        <v>2025</v>
      </c>
      <c r="C21" s="28">
        <v>1290550.6949999991</v>
      </c>
    </row>
    <row r="22" spans="1:3" x14ac:dyDescent="0.35">
      <c r="A22" s="1" t="s">
        <v>339</v>
      </c>
      <c r="B22" s="1">
        <v>2026</v>
      </c>
      <c r="C22" s="28">
        <v>187153.34366000001</v>
      </c>
    </row>
    <row r="23" spans="1:3" x14ac:dyDescent="0.35">
      <c r="A23" s="1" t="s">
        <v>337</v>
      </c>
      <c r="B23" s="1">
        <v>2026</v>
      </c>
      <c r="C23" s="28">
        <v>1946860.6070000005</v>
      </c>
    </row>
    <row r="24" spans="1:3" x14ac:dyDescent="0.35">
      <c r="A24" s="1" t="s">
        <v>338</v>
      </c>
      <c r="B24" s="1">
        <v>2026</v>
      </c>
      <c r="C24" s="28">
        <v>133322.02499999999</v>
      </c>
    </row>
    <row r="25" spans="1:3" x14ac:dyDescent="0.35">
      <c r="A25" s="1" t="s">
        <v>192</v>
      </c>
      <c r="B25" s="1">
        <v>2026</v>
      </c>
      <c r="C25" s="28">
        <v>1260452.5419999997</v>
      </c>
    </row>
    <row r="26" spans="1:3" x14ac:dyDescent="0.35">
      <c r="A26" s="1" t="s">
        <v>339</v>
      </c>
      <c r="B26" s="1">
        <v>2027</v>
      </c>
      <c r="C26" s="28">
        <v>187637.05809599999</v>
      </c>
    </row>
    <row r="27" spans="1:3" x14ac:dyDescent="0.35">
      <c r="A27" s="1" t="s">
        <v>337</v>
      </c>
      <c r="B27" s="1">
        <v>2027</v>
      </c>
      <c r="C27" s="28">
        <v>2019509.8769999996</v>
      </c>
    </row>
    <row r="28" spans="1:3" x14ac:dyDescent="0.35">
      <c r="A28" s="1" t="s">
        <v>338</v>
      </c>
      <c r="B28" s="1">
        <v>2027</v>
      </c>
      <c r="C28" s="28">
        <v>135653.24100000001</v>
      </c>
    </row>
    <row r="29" spans="1:3" x14ac:dyDescent="0.35">
      <c r="A29" s="1" t="s">
        <v>192</v>
      </c>
      <c r="B29" s="1">
        <v>2027</v>
      </c>
      <c r="C29" s="28">
        <v>1224924.4290000005</v>
      </c>
    </row>
    <row r="30" spans="1:3" x14ac:dyDescent="0.35">
      <c r="A30" s="1" t="s">
        <v>339</v>
      </c>
      <c r="B30" s="1">
        <v>2028</v>
      </c>
      <c r="C30" s="28">
        <v>188223.37742799998</v>
      </c>
    </row>
    <row r="31" spans="1:3" x14ac:dyDescent="0.35">
      <c r="A31" s="1" t="s">
        <v>337</v>
      </c>
      <c r="B31" s="1">
        <v>2028</v>
      </c>
      <c r="C31" s="28">
        <v>2086422.263</v>
      </c>
    </row>
    <row r="32" spans="1:3" x14ac:dyDescent="0.35">
      <c r="A32" s="1" t="s">
        <v>338</v>
      </c>
      <c r="B32" s="1">
        <v>2028</v>
      </c>
      <c r="C32" s="28">
        <v>138483.856</v>
      </c>
    </row>
    <row r="33" spans="1:3" x14ac:dyDescent="0.35">
      <c r="A33" s="1" t="s">
        <v>192</v>
      </c>
      <c r="B33" s="1">
        <v>2028</v>
      </c>
      <c r="C33" s="28">
        <v>1184882.7139999995</v>
      </c>
    </row>
    <row r="34" spans="1:3" x14ac:dyDescent="0.35">
      <c r="A34" s="1" t="s">
        <v>339</v>
      </c>
      <c r="B34" s="1">
        <v>2029</v>
      </c>
      <c r="C34" s="28">
        <v>188772.987371</v>
      </c>
    </row>
    <row r="35" spans="1:3" x14ac:dyDescent="0.35">
      <c r="A35" s="1" t="s">
        <v>337</v>
      </c>
      <c r="B35" s="1">
        <v>2029</v>
      </c>
      <c r="C35" s="28">
        <v>2150056.2030000002</v>
      </c>
    </row>
    <row r="36" spans="1:3" x14ac:dyDescent="0.35">
      <c r="A36" s="1" t="s">
        <v>338</v>
      </c>
      <c r="B36" s="1">
        <v>2029</v>
      </c>
      <c r="C36" s="28">
        <v>141633.06</v>
      </c>
    </row>
    <row r="37" spans="1:3" x14ac:dyDescent="0.35">
      <c r="A37" s="1" t="s">
        <v>192</v>
      </c>
      <c r="B37" s="1">
        <v>2029</v>
      </c>
      <c r="C37" s="28">
        <v>1143207.7689999992</v>
      </c>
    </row>
    <row r="38" spans="1:3" x14ac:dyDescent="0.35">
      <c r="A38" s="1" t="s">
        <v>339</v>
      </c>
      <c r="B38" s="1">
        <v>2030</v>
      </c>
      <c r="C38" s="28">
        <v>189083.60568599997</v>
      </c>
    </row>
    <row r="39" spans="1:3" x14ac:dyDescent="0.35">
      <c r="A39" s="1" t="s">
        <v>337</v>
      </c>
      <c r="B39" s="1">
        <v>2030</v>
      </c>
      <c r="C39" s="28">
        <v>2211753.6189999995</v>
      </c>
    </row>
    <row r="40" spans="1:3" x14ac:dyDescent="0.35">
      <c r="A40" s="1" t="s">
        <v>338</v>
      </c>
      <c r="B40" s="1">
        <v>2030</v>
      </c>
      <c r="C40" s="28">
        <v>144797.84</v>
      </c>
    </row>
    <row r="41" spans="1:3" x14ac:dyDescent="0.35">
      <c r="A41" s="1" t="s">
        <v>192</v>
      </c>
      <c r="B41" s="1">
        <v>2030</v>
      </c>
      <c r="C41" s="28">
        <v>1102584.8289999997</v>
      </c>
    </row>
    <row r="42" spans="1:3" x14ac:dyDescent="0.35">
      <c r="A42" s="1" t="s">
        <v>339</v>
      </c>
      <c r="B42" s="1">
        <v>2031</v>
      </c>
      <c r="C42" s="28">
        <v>189308.39297199997</v>
      </c>
    </row>
    <row r="43" spans="1:3" x14ac:dyDescent="0.35">
      <c r="A43" s="1" t="s">
        <v>337</v>
      </c>
      <c r="B43" s="1">
        <v>2031</v>
      </c>
      <c r="C43" s="28">
        <v>2271951.746999999</v>
      </c>
    </row>
    <row r="44" spans="1:3" x14ac:dyDescent="0.35">
      <c r="A44" s="1" t="s">
        <v>338</v>
      </c>
      <c r="B44" s="1">
        <v>2031</v>
      </c>
      <c r="C44" s="28">
        <v>148003.883</v>
      </c>
    </row>
    <row r="45" spans="1:3" x14ac:dyDescent="0.35">
      <c r="A45" s="1" t="s">
        <v>192</v>
      </c>
      <c r="B45" s="1">
        <v>2031</v>
      </c>
      <c r="C45" s="28">
        <v>1064723.1620000002</v>
      </c>
    </row>
    <row r="46" spans="1:3" x14ac:dyDescent="0.35">
      <c r="A46" s="1" t="s">
        <v>339</v>
      </c>
      <c r="B46" s="1">
        <v>2032</v>
      </c>
      <c r="C46" s="28">
        <v>189464.01327199998</v>
      </c>
    </row>
    <row r="47" spans="1:3" x14ac:dyDescent="0.35">
      <c r="A47" s="1" t="s">
        <v>337</v>
      </c>
      <c r="B47" s="1">
        <v>2032</v>
      </c>
      <c r="C47" s="28">
        <v>2329925.5960000004</v>
      </c>
    </row>
    <row r="48" spans="1:3" x14ac:dyDescent="0.35">
      <c r="A48" s="1" t="s">
        <v>338</v>
      </c>
      <c r="B48" s="1">
        <v>2032</v>
      </c>
      <c r="C48" s="28">
        <v>151342.39999999999</v>
      </c>
    </row>
    <row r="49" spans="1:3" x14ac:dyDescent="0.35">
      <c r="A49" s="1" t="s">
        <v>192</v>
      </c>
      <c r="B49" s="1">
        <v>2032</v>
      </c>
      <c r="C49" s="28">
        <v>1029644.0429999996</v>
      </c>
    </row>
    <row r="50" spans="1:3" x14ac:dyDescent="0.35">
      <c r="A50" s="1" t="s">
        <v>339</v>
      </c>
      <c r="B50" s="1">
        <v>2033</v>
      </c>
      <c r="C50" s="28">
        <v>189539.73001099998</v>
      </c>
    </row>
    <row r="51" spans="1:3" x14ac:dyDescent="0.35">
      <c r="A51" s="1" t="s">
        <v>337</v>
      </c>
      <c r="B51" s="1">
        <v>2033</v>
      </c>
      <c r="C51" s="28">
        <v>2381138.9349999996</v>
      </c>
    </row>
    <row r="52" spans="1:3" x14ac:dyDescent="0.35">
      <c r="A52" s="1" t="s">
        <v>338</v>
      </c>
      <c r="B52" s="1">
        <v>2033</v>
      </c>
      <c r="C52" s="28">
        <v>154675.13300000003</v>
      </c>
    </row>
    <row r="53" spans="1:3" x14ac:dyDescent="0.35">
      <c r="A53" s="1" t="s">
        <v>192</v>
      </c>
      <c r="B53" s="1">
        <v>2033</v>
      </c>
      <c r="C53" s="28">
        <v>996160.41800000006</v>
      </c>
    </row>
    <row r="54" spans="1:3" x14ac:dyDescent="0.35">
      <c r="A54" s="1" t="s">
        <v>339</v>
      </c>
      <c r="B54" s="1">
        <v>2034</v>
      </c>
      <c r="C54" s="28">
        <v>189592.37036799995</v>
      </c>
    </row>
    <row r="55" spans="1:3" x14ac:dyDescent="0.35">
      <c r="A55" s="1" t="s">
        <v>337</v>
      </c>
      <c r="B55" s="1">
        <v>2034</v>
      </c>
      <c r="C55" s="28">
        <v>2429660.1640000003</v>
      </c>
    </row>
    <row r="56" spans="1:3" x14ac:dyDescent="0.35">
      <c r="A56" s="1" t="s">
        <v>338</v>
      </c>
      <c r="B56" s="1">
        <v>2034</v>
      </c>
      <c r="C56" s="28">
        <v>157937.71400000001</v>
      </c>
    </row>
    <row r="57" spans="1:3" x14ac:dyDescent="0.35">
      <c r="A57" s="1" t="s">
        <v>192</v>
      </c>
      <c r="B57" s="1">
        <v>2034</v>
      </c>
      <c r="C57" s="28">
        <v>966278.76099999982</v>
      </c>
    </row>
    <row r="58" spans="1:3" x14ac:dyDescent="0.35">
      <c r="A58" s="1" t="s">
        <v>339</v>
      </c>
      <c r="B58" s="1">
        <v>2035</v>
      </c>
      <c r="C58" s="28">
        <v>189671.37849500004</v>
      </c>
    </row>
    <row r="59" spans="1:3" x14ac:dyDescent="0.35">
      <c r="A59" s="1" t="s">
        <v>337</v>
      </c>
      <c r="B59" s="1">
        <v>2035</v>
      </c>
      <c r="C59" s="28">
        <v>2473313.2650000011</v>
      </c>
    </row>
    <row r="60" spans="1:3" x14ac:dyDescent="0.35">
      <c r="A60" s="1" t="s">
        <v>338</v>
      </c>
      <c r="B60" s="1">
        <v>2035</v>
      </c>
      <c r="C60" s="28">
        <v>161310.57800000001</v>
      </c>
    </row>
    <row r="61" spans="1:3" x14ac:dyDescent="0.35">
      <c r="A61" s="1" t="s">
        <v>192</v>
      </c>
      <c r="B61" s="1">
        <v>2035</v>
      </c>
      <c r="C61" s="28">
        <v>939809.07599999988</v>
      </c>
    </row>
    <row r="62" spans="1:3" x14ac:dyDescent="0.35">
      <c r="A62" s="1" t="s">
        <v>339</v>
      </c>
      <c r="B62" s="1">
        <v>2036</v>
      </c>
      <c r="C62" s="28">
        <v>189741.73389199999</v>
      </c>
    </row>
    <row r="63" spans="1:3" x14ac:dyDescent="0.35">
      <c r="A63" s="1" t="s">
        <v>337</v>
      </c>
      <c r="B63" s="1">
        <v>2036</v>
      </c>
      <c r="C63" s="28">
        <v>2512835.2769999993</v>
      </c>
    </row>
    <row r="64" spans="1:3" x14ac:dyDescent="0.35">
      <c r="A64" s="1" t="s">
        <v>338</v>
      </c>
      <c r="B64" s="1">
        <v>2036</v>
      </c>
      <c r="C64" s="28">
        <v>164760.88699999999</v>
      </c>
    </row>
    <row r="65" spans="1:3" x14ac:dyDescent="0.35">
      <c r="A65" s="1" t="s">
        <v>192</v>
      </c>
      <c r="B65" s="1">
        <v>2036</v>
      </c>
      <c r="C65" s="28">
        <v>916837.32799999998</v>
      </c>
    </row>
    <row r="66" spans="1:3" x14ac:dyDescent="0.35">
      <c r="A66" s="1" t="s">
        <v>339</v>
      </c>
      <c r="B66" s="1">
        <v>2037</v>
      </c>
      <c r="C66" s="28">
        <v>190016.355052</v>
      </c>
    </row>
    <row r="67" spans="1:3" x14ac:dyDescent="0.35">
      <c r="A67" s="1" t="s">
        <v>337</v>
      </c>
      <c r="B67" s="1">
        <v>2037</v>
      </c>
      <c r="C67" s="28">
        <v>2549580.134000001</v>
      </c>
    </row>
    <row r="68" spans="1:3" x14ac:dyDescent="0.35">
      <c r="A68" s="1" t="s">
        <v>338</v>
      </c>
      <c r="B68" s="1">
        <v>2037</v>
      </c>
      <c r="C68" s="28">
        <v>168423.584</v>
      </c>
    </row>
    <row r="69" spans="1:3" x14ac:dyDescent="0.35">
      <c r="A69" s="1" t="s">
        <v>192</v>
      </c>
      <c r="B69" s="1">
        <v>2037</v>
      </c>
      <c r="C69" s="28">
        <v>897685.51599999995</v>
      </c>
    </row>
    <row r="70" spans="1:3" x14ac:dyDescent="0.35">
      <c r="A70" s="1" t="s">
        <v>339</v>
      </c>
      <c r="B70" s="1">
        <v>2038</v>
      </c>
      <c r="C70" s="28">
        <v>190293.97641999999</v>
      </c>
    </row>
    <row r="71" spans="1:3" x14ac:dyDescent="0.35">
      <c r="A71" s="1" t="s">
        <v>337</v>
      </c>
      <c r="B71" s="1">
        <v>2038</v>
      </c>
      <c r="C71" s="28">
        <v>2583804.2710000002</v>
      </c>
    </row>
    <row r="72" spans="1:3" x14ac:dyDescent="0.35">
      <c r="A72" s="1" t="s">
        <v>338</v>
      </c>
      <c r="B72" s="1">
        <v>2038</v>
      </c>
      <c r="C72" s="28">
        <v>172034.745</v>
      </c>
    </row>
    <row r="73" spans="1:3" x14ac:dyDescent="0.35">
      <c r="A73" s="1" t="s">
        <v>192</v>
      </c>
      <c r="B73" s="1">
        <v>2038</v>
      </c>
      <c r="C73" s="28">
        <v>882476.03300000029</v>
      </c>
    </row>
    <row r="74" spans="1:3" x14ac:dyDescent="0.35">
      <c r="A74" s="1" t="s">
        <v>339</v>
      </c>
      <c r="B74" s="1">
        <v>2039</v>
      </c>
      <c r="C74" s="28">
        <v>190610.71751999998</v>
      </c>
    </row>
    <row r="75" spans="1:3" x14ac:dyDescent="0.35">
      <c r="A75" s="1" t="s">
        <v>337</v>
      </c>
      <c r="B75" s="1">
        <v>2039</v>
      </c>
      <c r="C75" s="28">
        <v>2615314.9620000003</v>
      </c>
    </row>
    <row r="76" spans="1:3" x14ac:dyDescent="0.35">
      <c r="A76" s="1" t="s">
        <v>338</v>
      </c>
      <c r="B76" s="1">
        <v>2039</v>
      </c>
      <c r="C76" s="28">
        <v>175634.46799999999</v>
      </c>
    </row>
    <row r="77" spans="1:3" x14ac:dyDescent="0.35">
      <c r="A77" s="1" t="s">
        <v>192</v>
      </c>
      <c r="B77" s="1">
        <v>2039</v>
      </c>
      <c r="C77" s="28">
        <v>870383.95500000007</v>
      </c>
    </row>
    <row r="78" spans="1:3" x14ac:dyDescent="0.35">
      <c r="A78" s="1" t="s">
        <v>339</v>
      </c>
      <c r="B78" s="1">
        <v>2040</v>
      </c>
      <c r="C78" s="28">
        <v>190970.98678799998</v>
      </c>
    </row>
    <row r="79" spans="1:3" x14ac:dyDescent="0.35">
      <c r="A79" s="1" t="s">
        <v>337</v>
      </c>
      <c r="B79" s="1">
        <v>2040</v>
      </c>
      <c r="C79" s="28">
        <v>2646150.2909999997</v>
      </c>
    </row>
    <row r="80" spans="1:3" x14ac:dyDescent="0.35">
      <c r="A80" s="1" t="s">
        <v>338</v>
      </c>
      <c r="B80" s="1">
        <v>2040</v>
      </c>
      <c r="C80" s="28">
        <v>179230.97200000001</v>
      </c>
    </row>
    <row r="81" spans="1:3" x14ac:dyDescent="0.35">
      <c r="A81" s="1" t="s">
        <v>192</v>
      </c>
      <c r="B81" s="1">
        <v>2040</v>
      </c>
      <c r="C81" s="28">
        <v>861964.57999999973</v>
      </c>
    </row>
    <row r="82" spans="1:3" x14ac:dyDescent="0.35">
      <c r="A82" s="1" t="s">
        <v>339</v>
      </c>
      <c r="B82" s="1">
        <v>2041</v>
      </c>
      <c r="C82" s="28">
        <v>191453.59776900001</v>
      </c>
    </row>
    <row r="83" spans="1:3" x14ac:dyDescent="0.35">
      <c r="A83" s="1" t="s">
        <v>337</v>
      </c>
      <c r="B83" s="1">
        <v>2041</v>
      </c>
      <c r="C83" s="28">
        <v>2674284.6539999987</v>
      </c>
    </row>
    <row r="84" spans="1:3" x14ac:dyDescent="0.35">
      <c r="A84" s="1" t="s">
        <v>338</v>
      </c>
      <c r="B84" s="1">
        <v>2041</v>
      </c>
      <c r="C84" s="28">
        <v>183064.33099999998</v>
      </c>
    </row>
    <row r="85" spans="1:3" x14ac:dyDescent="0.35">
      <c r="A85" s="1" t="s">
        <v>192</v>
      </c>
      <c r="B85" s="1">
        <v>2041</v>
      </c>
      <c r="C85" s="28">
        <v>855630.73399999982</v>
      </c>
    </row>
    <row r="86" spans="1:3" x14ac:dyDescent="0.35">
      <c r="A86" s="1" t="s">
        <v>339</v>
      </c>
      <c r="B86" s="1">
        <v>2042</v>
      </c>
      <c r="C86" s="28">
        <v>192054.36314900004</v>
      </c>
    </row>
    <row r="87" spans="1:3" x14ac:dyDescent="0.35">
      <c r="A87" s="1" t="s">
        <v>337</v>
      </c>
      <c r="B87" s="1">
        <v>2042</v>
      </c>
      <c r="C87" s="28">
        <v>2699678.1899999985</v>
      </c>
    </row>
    <row r="88" spans="1:3" x14ac:dyDescent="0.35">
      <c r="A88" s="1" t="s">
        <v>338</v>
      </c>
      <c r="B88" s="1">
        <v>2042</v>
      </c>
      <c r="C88" s="28">
        <v>186996.95600000001</v>
      </c>
    </row>
    <row r="89" spans="1:3" x14ac:dyDescent="0.35">
      <c r="A89" s="1" t="s">
        <v>192</v>
      </c>
      <c r="B89" s="1">
        <v>2042</v>
      </c>
      <c r="C89" s="28">
        <v>850804.74700000021</v>
      </c>
    </row>
    <row r="90" spans="1:3" x14ac:dyDescent="0.35">
      <c r="A90" s="1" t="s">
        <v>339</v>
      </c>
      <c r="B90" s="1">
        <v>2043</v>
      </c>
      <c r="C90" s="28">
        <v>192587.74786899996</v>
      </c>
    </row>
    <row r="91" spans="1:3" x14ac:dyDescent="0.35">
      <c r="A91" s="1" t="s">
        <v>337</v>
      </c>
      <c r="B91" s="1">
        <v>2043</v>
      </c>
      <c r="C91" s="28">
        <v>2724653.0090000001</v>
      </c>
    </row>
    <row r="92" spans="1:3" x14ac:dyDescent="0.35">
      <c r="A92" s="1" t="s">
        <v>338</v>
      </c>
      <c r="B92" s="1">
        <v>2043</v>
      </c>
      <c r="C92" s="28">
        <v>190871.391</v>
      </c>
    </row>
    <row r="93" spans="1:3" x14ac:dyDescent="0.35">
      <c r="A93" s="1" t="s">
        <v>192</v>
      </c>
      <c r="B93" s="1">
        <v>2043</v>
      </c>
      <c r="C93" s="28">
        <v>847901.91799999936</v>
      </c>
    </row>
    <row r="94" spans="1:3" x14ac:dyDescent="0.35">
      <c r="A94" s="1" t="s">
        <v>339</v>
      </c>
      <c r="B94" s="1">
        <v>2044</v>
      </c>
      <c r="C94" s="28">
        <v>193047.80614799997</v>
      </c>
    </row>
    <row r="95" spans="1:3" x14ac:dyDescent="0.35">
      <c r="A95" s="1" t="s">
        <v>337</v>
      </c>
      <c r="B95" s="1">
        <v>2044</v>
      </c>
      <c r="C95" s="28">
        <v>2748073.8019999997</v>
      </c>
    </row>
    <row r="96" spans="1:3" x14ac:dyDescent="0.35">
      <c r="A96" s="1" t="s">
        <v>338</v>
      </c>
      <c r="B96" s="1">
        <v>2044</v>
      </c>
      <c r="C96" s="28">
        <v>194784.18700000001</v>
      </c>
    </row>
    <row r="97" spans="1:3" x14ac:dyDescent="0.35">
      <c r="A97" s="1" t="s">
        <v>192</v>
      </c>
      <c r="B97" s="1">
        <v>2044</v>
      </c>
      <c r="C97" s="28">
        <v>846015.01699999988</v>
      </c>
    </row>
    <row r="98" spans="1:3" x14ac:dyDescent="0.35">
      <c r="A98" s="1" t="s">
        <v>339</v>
      </c>
      <c r="B98" s="1">
        <v>2045</v>
      </c>
      <c r="C98" s="28">
        <v>193394.29633300001</v>
      </c>
    </row>
    <row r="99" spans="1:3" x14ac:dyDescent="0.35">
      <c r="A99" s="1" t="s">
        <v>337</v>
      </c>
      <c r="B99" s="1">
        <v>2045</v>
      </c>
      <c r="C99" s="28">
        <v>2770397.1660000002</v>
      </c>
    </row>
    <row r="100" spans="1:3" x14ac:dyDescent="0.35">
      <c r="A100" s="1" t="s">
        <v>338</v>
      </c>
      <c r="B100" s="1">
        <v>2045</v>
      </c>
      <c r="C100" s="28">
        <v>198765.693</v>
      </c>
    </row>
    <row r="101" spans="1:3" x14ac:dyDescent="0.35">
      <c r="A101" s="1" t="s">
        <v>192</v>
      </c>
      <c r="B101" s="1">
        <v>2045</v>
      </c>
      <c r="C101" s="28">
        <v>844884.71200000029</v>
      </c>
    </row>
    <row r="102" spans="1:3" x14ac:dyDescent="0.35">
      <c r="A102" s="1" t="s">
        <v>339</v>
      </c>
      <c r="B102" s="1">
        <v>2046</v>
      </c>
      <c r="C102" s="28">
        <v>193830.55291899998</v>
      </c>
    </row>
    <row r="103" spans="1:3" x14ac:dyDescent="0.35">
      <c r="A103" s="1" t="s">
        <v>337</v>
      </c>
      <c r="B103" s="1">
        <v>2046</v>
      </c>
      <c r="C103" s="28">
        <v>2793342.4110000003</v>
      </c>
    </row>
    <row r="104" spans="1:3" x14ac:dyDescent="0.35">
      <c r="A104" s="1" t="s">
        <v>338</v>
      </c>
      <c r="B104" s="1">
        <v>2046</v>
      </c>
      <c r="C104" s="28">
        <v>202974.11399999997</v>
      </c>
    </row>
    <row r="105" spans="1:3" x14ac:dyDescent="0.35">
      <c r="A105" s="1" t="s">
        <v>192</v>
      </c>
      <c r="B105" s="1">
        <v>2046</v>
      </c>
      <c r="C105" s="28">
        <v>845135.25599999982</v>
      </c>
    </row>
    <row r="106" spans="1:3" x14ac:dyDescent="0.35">
      <c r="A106" s="1" t="s">
        <v>339</v>
      </c>
      <c r="B106" s="1">
        <v>2047</v>
      </c>
      <c r="C106" s="28">
        <v>193839.53119600005</v>
      </c>
    </row>
    <row r="107" spans="1:3" x14ac:dyDescent="0.35">
      <c r="A107" s="1" t="s">
        <v>337</v>
      </c>
      <c r="B107" s="1">
        <v>2047</v>
      </c>
      <c r="C107" s="28">
        <v>2817418.2619999996</v>
      </c>
    </row>
    <row r="108" spans="1:3" x14ac:dyDescent="0.35">
      <c r="A108" s="1" t="s">
        <v>338</v>
      </c>
      <c r="B108" s="1">
        <v>2047</v>
      </c>
      <c r="C108" s="28">
        <v>206951.79</v>
      </c>
    </row>
    <row r="109" spans="1:3" x14ac:dyDescent="0.35">
      <c r="A109" s="1" t="s">
        <v>192</v>
      </c>
      <c r="B109" s="1">
        <v>2047</v>
      </c>
      <c r="C109" s="28">
        <v>845825.82200000016</v>
      </c>
    </row>
    <row r="110" spans="1:3" x14ac:dyDescent="0.35">
      <c r="A110" s="1" t="s">
        <v>339</v>
      </c>
      <c r="B110" s="1">
        <v>2048</v>
      </c>
      <c r="C110" s="28">
        <v>193480.38271799998</v>
      </c>
    </row>
    <row r="111" spans="1:3" x14ac:dyDescent="0.35">
      <c r="A111" s="1" t="s">
        <v>337</v>
      </c>
      <c r="B111" s="1">
        <v>2048</v>
      </c>
      <c r="C111" s="28">
        <v>2841721.6920000012</v>
      </c>
    </row>
    <row r="112" spans="1:3" x14ac:dyDescent="0.35">
      <c r="A112" s="1" t="s">
        <v>338</v>
      </c>
      <c r="B112" s="1">
        <v>2048</v>
      </c>
      <c r="C112" s="28">
        <v>210744.30100000001</v>
      </c>
    </row>
    <row r="113" spans="1:3" x14ac:dyDescent="0.35">
      <c r="A113" s="1" t="s">
        <v>192</v>
      </c>
      <c r="B113" s="1">
        <v>2048</v>
      </c>
      <c r="C113" s="28">
        <v>846651.25100000005</v>
      </c>
    </row>
    <row r="114" spans="1:3" x14ac:dyDescent="0.35">
      <c r="A114" s="1" t="s">
        <v>339</v>
      </c>
      <c r="B114" s="1">
        <v>2049</v>
      </c>
      <c r="C114" s="28">
        <v>193608.07458000001</v>
      </c>
    </row>
    <row r="115" spans="1:3" x14ac:dyDescent="0.35">
      <c r="A115" s="1" t="s">
        <v>337</v>
      </c>
      <c r="B115" s="1">
        <v>2049</v>
      </c>
      <c r="C115" s="28">
        <v>2866483.3050000006</v>
      </c>
    </row>
    <row r="116" spans="1:3" x14ac:dyDescent="0.35">
      <c r="A116" s="1" t="s">
        <v>338</v>
      </c>
      <c r="B116" s="1">
        <v>2049</v>
      </c>
      <c r="C116" s="28">
        <v>215131.821</v>
      </c>
    </row>
    <row r="117" spans="1:3" x14ac:dyDescent="0.35">
      <c r="A117" s="1" t="s">
        <v>192</v>
      </c>
      <c r="B117" s="1">
        <v>2049</v>
      </c>
      <c r="C117" s="28">
        <v>847708.8550000001</v>
      </c>
    </row>
    <row r="118" spans="1:3" x14ac:dyDescent="0.35">
      <c r="A118" s="1" t="s">
        <v>339</v>
      </c>
      <c r="B118" s="1">
        <v>2050</v>
      </c>
      <c r="C118" s="28">
        <v>194188.55050800001</v>
      </c>
    </row>
    <row r="119" spans="1:3" x14ac:dyDescent="0.35">
      <c r="A119" s="1" t="s">
        <v>337</v>
      </c>
      <c r="B119" s="1">
        <v>2050</v>
      </c>
      <c r="C119" s="28">
        <v>2892942.5290000015</v>
      </c>
    </row>
    <row r="120" spans="1:3" x14ac:dyDescent="0.35">
      <c r="A120" s="1" t="s">
        <v>338</v>
      </c>
      <c r="B120" s="1">
        <v>2050</v>
      </c>
      <c r="C120" s="28">
        <v>220055.75599999999</v>
      </c>
    </row>
    <row r="121" spans="1:3" x14ac:dyDescent="0.35">
      <c r="A121" s="1" t="s">
        <v>192</v>
      </c>
      <c r="B121" s="1">
        <v>2050</v>
      </c>
      <c r="C121" s="28">
        <v>849019.72375035367</v>
      </c>
    </row>
    <row r="122" spans="1:3" x14ac:dyDescent="0.35">
      <c r="A122" s="1" t="s">
        <v>339</v>
      </c>
      <c r="B122" s="1">
        <v>2020</v>
      </c>
      <c r="C122" s="28">
        <v>0</v>
      </c>
    </row>
    <row r="123" spans="1:3" x14ac:dyDescent="0.35">
      <c r="A123" s="1" t="s">
        <v>337</v>
      </c>
      <c r="B123" s="1">
        <v>2020</v>
      </c>
      <c r="C123" s="28">
        <v>0</v>
      </c>
    </row>
    <row r="124" spans="1:3" x14ac:dyDescent="0.35">
      <c r="A124" s="1" t="s">
        <v>338</v>
      </c>
      <c r="B124" s="1">
        <v>2020</v>
      </c>
      <c r="C124" s="28">
        <v>0</v>
      </c>
    </row>
    <row r="125" spans="1:3" x14ac:dyDescent="0.35">
      <c r="A125" s="1" t="s">
        <v>192</v>
      </c>
      <c r="B125" s="1">
        <v>2020</v>
      </c>
      <c r="C125" s="28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A1:H743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29" t="s">
        <v>242</v>
      </c>
      <c r="C2" s="29"/>
      <c r="D2" s="29"/>
      <c r="E2" s="29"/>
      <c r="G2" s="16">
        <f>SUM([1]AEO_VMT_Base!$B$6:$B$7)/[1]AEO_VMT_Base!$B$10</f>
        <v>0.90535164725664219</v>
      </c>
      <c r="H2" s="17">
        <f>1-G2</f>
        <v>9.4648352743357811E-2</v>
      </c>
      <c r="I2" s="16">
        <v>0.75199579050384902</v>
      </c>
      <c r="J2" s="16">
        <v>0.87735831905237105</v>
      </c>
      <c r="K2" s="16">
        <v>0.89836813906696733</v>
      </c>
      <c r="L2" s="16">
        <v>0.93268934201593456</v>
      </c>
      <c r="M2" s="16"/>
      <c r="N2" s="16"/>
      <c r="O2" s="16"/>
      <c r="P2" s="16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8">
        <f t="shared" ref="G5:G36" si="0">F5*$G$2</f>
        <v>64945.063462179147</v>
      </c>
      <c r="H5" s="18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6">
        <f>SUM(I5:L5)/G5</f>
        <v>0.42391529055154009</v>
      </c>
      <c r="R5" s="16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8">
        <f t="shared" si="0"/>
        <v>5324.647485814663</v>
      </c>
      <c r="H6" s="18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6">
        <f t="shared" ref="Q6:Q57" si="10">SUM(I6:L6)/G6</f>
        <v>0.47836910501357388</v>
      </c>
      <c r="R6" s="16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8">
        <f t="shared" si="0"/>
        <v>63628.699060929728</v>
      </c>
      <c r="H7" s="18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6">
        <f t="shared" si="10"/>
        <v>0.45403979084147023</v>
      </c>
      <c r="R7" s="16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8">
        <f t="shared" si="0"/>
        <v>33587.658696590297</v>
      </c>
      <c r="H8" s="18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6">
        <f t="shared" si="10"/>
        <v>0.47299412643926969</v>
      </c>
      <c r="R8" s="16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8">
        <f t="shared" si="0"/>
        <v>308576.66176746471</v>
      </c>
      <c r="H9" s="18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6">
        <f t="shared" si="10"/>
        <v>0.6467338779386328</v>
      </c>
      <c r="R9" s="16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8">
        <f t="shared" si="0"/>
        <v>49462.578571114056</v>
      </c>
      <c r="H10" s="18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6">
        <f t="shared" si="10"/>
        <v>0.62321120279901709</v>
      </c>
      <c r="R10" s="16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8">
        <f t="shared" si="0"/>
        <v>28609.880117433357</v>
      </c>
      <c r="H11" s="18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6">
        <f t="shared" si="10"/>
        <v>0.6022530232107518</v>
      </c>
      <c r="R11" s="16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8">
        <f t="shared" si="0"/>
        <v>9275.4715046280817</v>
      </c>
      <c r="H12" s="18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6">
        <f t="shared" si="10"/>
        <v>0.56035762198084349</v>
      </c>
      <c r="R12" s="16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8">
        <f t="shared" si="0"/>
        <v>3400.5639353733441</v>
      </c>
      <c r="H13" s="18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6">
        <f t="shared" si="10"/>
        <v>0.53034685568987816</v>
      </c>
      <c r="R13" s="16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8">
        <f t="shared" si="0"/>
        <v>205075.19976161851</v>
      </c>
      <c r="H14" s="18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6">
        <f t="shared" si="10"/>
        <v>0.50728382763525071</v>
      </c>
      <c r="R14" s="16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8">
        <f t="shared" si="0"/>
        <v>120527.34467394977</v>
      </c>
      <c r="H15" s="18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6">
        <f t="shared" si="10"/>
        <v>0.46610770030034393</v>
      </c>
      <c r="R15" s="16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8">
        <f t="shared" si="0"/>
        <v>9980.6009955802947</v>
      </c>
      <c r="H16" s="18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6">
        <f t="shared" si="10"/>
        <v>0.46551611805284365</v>
      </c>
      <c r="R16" s="16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8">
        <f t="shared" si="0"/>
        <v>16348.533657055979</v>
      </c>
      <c r="H17" s="18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6">
        <f t="shared" si="10"/>
        <v>0.48204968270031279</v>
      </c>
      <c r="R17" s="16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8">
        <f t="shared" si="0"/>
        <v>97347.613982545779</v>
      </c>
      <c r="H18" s="18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6">
        <f t="shared" si="10"/>
        <v>0.54015059326512638</v>
      </c>
      <c r="R18" s="16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8">
        <f t="shared" si="0"/>
        <v>74889.894267674797</v>
      </c>
      <c r="H19" s="18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6">
        <f t="shared" si="10"/>
        <v>0.34243013026546315</v>
      </c>
      <c r="R19" s="16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8">
        <f t="shared" si="0"/>
        <v>30362.795431941373</v>
      </c>
      <c r="H20" s="18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6">
        <f t="shared" si="10"/>
        <v>0.53545112916589743</v>
      </c>
      <c r="R20" s="16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8">
        <f t="shared" si="0"/>
        <v>28828.677871427961</v>
      </c>
      <c r="H21" s="18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6">
        <f t="shared" si="10"/>
        <v>0.47128626597341916</v>
      </c>
      <c r="R21" s="16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8">
        <f t="shared" si="0"/>
        <v>44733.725295680772</v>
      </c>
      <c r="H22" s="18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6">
        <f t="shared" si="10"/>
        <v>0.49470383972113191</v>
      </c>
      <c r="R22" s="16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8">
        <f t="shared" si="0"/>
        <v>46499.135150988179</v>
      </c>
      <c r="H23" s="18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6">
        <f t="shared" si="10"/>
        <v>0.50235651264098347</v>
      </c>
      <c r="R23" s="16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8">
        <f t="shared" si="0"/>
        <v>13463.908195780707</v>
      </c>
      <c r="H24" s="18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6">
        <f t="shared" si="10"/>
        <v>0.3917299243326206</v>
      </c>
      <c r="R24" s="16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8">
        <f t="shared" si="0"/>
        <v>54516.558588539927</v>
      </c>
      <c r="H25" s="18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6">
        <f t="shared" si="10"/>
        <v>0.62737594298845334</v>
      </c>
      <c r="R25" s="16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8">
        <f t="shared" si="0"/>
        <v>58748.071241108802</v>
      </c>
      <c r="H26" s="18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6">
        <f t="shared" si="10"/>
        <v>0.59420624757640517</v>
      </c>
      <c r="R26" s="16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8">
        <f t="shared" si="0"/>
        <v>92503.14349022739</v>
      </c>
      <c r="H27" s="18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6">
        <f t="shared" si="10"/>
        <v>0.52864795652387031</v>
      </c>
      <c r="R27" s="16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8">
        <f t="shared" si="0"/>
        <v>54982.893769343485</v>
      </c>
      <c r="H28" s="18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6">
        <f t="shared" si="10"/>
        <v>0.47378114735212234</v>
      </c>
      <c r="R28" s="16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8">
        <f t="shared" si="0"/>
        <v>37201.723553717835</v>
      </c>
      <c r="H29" s="18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6">
        <f t="shared" si="10"/>
        <v>0.47599193319256822</v>
      </c>
      <c r="R29" s="16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8">
        <f t="shared" si="0"/>
        <v>71675.105448336981</v>
      </c>
      <c r="H30" s="18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6">
        <f t="shared" si="10"/>
        <v>0.50243352241382722</v>
      </c>
      <c r="R30" s="16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8">
        <f t="shared" si="0"/>
        <v>11671.745932631698</v>
      </c>
      <c r="H31" s="18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6">
        <f t="shared" si="10"/>
        <v>0.50842166951078371</v>
      </c>
      <c r="R31" s="16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8">
        <f t="shared" si="0"/>
        <v>19231.291513685708</v>
      </c>
      <c r="H32" s="18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6">
        <f t="shared" si="10"/>
        <v>0.51536877274680637</v>
      </c>
      <c r="R32" s="16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8">
        <f t="shared" si="0"/>
        <v>26068.457621979251</v>
      </c>
      <c r="H33" s="18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6">
        <f t="shared" si="10"/>
        <v>0.47445011269424797</v>
      </c>
      <c r="R33" s="16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8">
        <f t="shared" si="0"/>
        <v>12519.312569436475</v>
      </c>
      <c r="H34" s="18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6">
        <f t="shared" si="10"/>
        <v>0.52526063149506497</v>
      </c>
      <c r="R34" s="16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8">
        <f t="shared" si="0"/>
        <v>70803.294635161743</v>
      </c>
      <c r="H35" s="18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6">
        <f t="shared" si="10"/>
        <v>0.61500942835769612</v>
      </c>
      <c r="R35" s="16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8">
        <f t="shared" si="0"/>
        <v>25143.493903306105</v>
      </c>
      <c r="H36" s="18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6">
        <f t="shared" si="10"/>
        <v>0.44317075667185363</v>
      </c>
      <c r="R36" s="16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8">
        <f t="shared" ref="G37:G57" si="12">F37*$G$2</f>
        <v>112251.06904157471</v>
      </c>
      <c r="H37" s="18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6">
        <f t="shared" si="10"/>
        <v>0.55475292191610515</v>
      </c>
      <c r="R37" s="16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8">
        <f t="shared" si="12"/>
        <v>110882.62976419434</v>
      </c>
      <c r="H38" s="18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6">
        <f t="shared" si="10"/>
        <v>0.45689934361024581</v>
      </c>
      <c r="R38" s="16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8">
        <f t="shared" si="12"/>
        <v>8896.047094300724</v>
      </c>
      <c r="H39" s="18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6">
        <f t="shared" si="10"/>
        <v>0.50800889393211457</v>
      </c>
      <c r="R39" s="16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8">
        <f t="shared" si="12"/>
        <v>103838.02938689268</v>
      </c>
      <c r="H40" s="18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6">
        <f t="shared" si="10"/>
        <v>0.48299337140477772</v>
      </c>
      <c r="R40" s="16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8">
        <f t="shared" si="12"/>
        <v>40422.354561967812</v>
      </c>
      <c r="H41" s="18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6">
        <f t="shared" si="10"/>
        <v>0.46457281843333748</v>
      </c>
      <c r="R41" s="16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8">
        <f t="shared" si="12"/>
        <v>32419.253063194341</v>
      </c>
      <c r="H42" s="18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6">
        <f t="shared" si="10"/>
        <v>0.57078437750399902</v>
      </c>
      <c r="R42" s="16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8">
        <f t="shared" si="12"/>
        <v>93127.648012869206</v>
      </c>
      <c r="H43" s="18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6">
        <f t="shared" si="10"/>
        <v>0.5453076336104048</v>
      </c>
      <c r="R43" s="16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8">
        <f t="shared" si="12"/>
        <v>6863.3189741672932</v>
      </c>
      <c r="H44" s="18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6">
        <f t="shared" si="10"/>
        <v>0.68837618156640568</v>
      </c>
      <c r="R44" s="16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8">
        <f t="shared" si="12"/>
        <v>52455.528849986658</v>
      </c>
      <c r="H45" s="18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6">
        <f t="shared" si="10"/>
        <v>0.51250859104223578</v>
      </c>
      <c r="R45" s="16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8">
        <f t="shared" si="12"/>
        <v>8983.2607682775488</v>
      </c>
      <c r="H46" s="18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6">
        <f t="shared" si="10"/>
        <v>0.52194611831841686</v>
      </c>
      <c r="R46" s="16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8">
        <f t="shared" si="12"/>
        <v>75046.20128306761</v>
      </c>
      <c r="H47" s="18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6">
        <f t="shared" si="10"/>
        <v>0.53550389759725048</v>
      </c>
      <c r="R47" s="16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8">
        <f t="shared" si="12"/>
        <v>260947.00248036717</v>
      </c>
      <c r="H48" s="18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6">
        <f t="shared" si="10"/>
        <v>0.58086644161091883</v>
      </c>
      <c r="R48" s="16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8">
        <f t="shared" si="12"/>
        <v>29795.733932220191</v>
      </c>
      <c r="H49" s="18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6">
        <f t="shared" si="10"/>
        <v>0.59139524677880007</v>
      </c>
      <c r="R49" s="16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8">
        <f t="shared" si="12"/>
        <v>6650.3754321547358</v>
      </c>
      <c r="H50" s="18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6">
        <f t="shared" si="10"/>
        <v>0.3680603592740388</v>
      </c>
      <c r="R50" s="16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8">
        <f t="shared" si="12"/>
        <v>77346.440263483004</v>
      </c>
      <c r="H51" s="18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6">
        <f t="shared" si="10"/>
        <v>0.5898468709045469</v>
      </c>
      <c r="R51" s="16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8">
        <f t="shared" si="12"/>
        <v>56611.311073481091</v>
      </c>
      <c r="H52" s="18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6">
        <f t="shared" si="10"/>
        <v>0.59087709957213863</v>
      </c>
      <c r="R52" s="16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8">
        <f t="shared" si="12"/>
        <v>17270.994721224124</v>
      </c>
      <c r="H53" s="18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6">
        <f t="shared" si="10"/>
        <v>0.52578033647675892</v>
      </c>
      <c r="R53" s="16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8">
        <f t="shared" si="12"/>
        <v>60067.930553215105</v>
      </c>
      <c r="H54" s="18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6">
        <f t="shared" si="10"/>
        <v>0.50098178439055785</v>
      </c>
      <c r="R54" s="16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8">
        <f t="shared" si="12"/>
        <v>9241.4725807201903</v>
      </c>
      <c r="H55" s="18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6">
        <f t="shared" si="10"/>
        <v>0.502804671372031</v>
      </c>
      <c r="R55" s="16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8">
        <f t="shared" si="12"/>
        <v>2953050.3479906055</v>
      </c>
      <c r="H56" s="18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6">
        <f t="shared" si="10"/>
        <v>0.5333484362584836</v>
      </c>
      <c r="R56" s="16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8">
        <f t="shared" si="12"/>
        <v>13317.742286740788</v>
      </c>
      <c r="H57" s="18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6">
        <f t="shared" si="10"/>
        <v>0.6234069984083167</v>
      </c>
      <c r="R57" s="16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A22" sqref="A22"/>
    </sheetView>
  </sheetViews>
  <sheetFormatPr defaultRowHeight="14.5" x14ac:dyDescent="0.35"/>
  <cols>
    <col min="2" max="2" width="18.453125" customWidth="1"/>
    <col min="3" max="3" width="17.81640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3">
        <v>925</v>
      </c>
      <c r="D2">
        <v>419.57259999999997</v>
      </c>
    </row>
    <row r="3" spans="1:5" x14ac:dyDescent="0.35">
      <c r="A3" t="s">
        <v>3</v>
      </c>
      <c r="B3">
        <v>2021</v>
      </c>
      <c r="C3" s="13">
        <v>754.5</v>
      </c>
      <c r="D3">
        <v>342.235164</v>
      </c>
    </row>
    <row r="4" spans="1:5" x14ac:dyDescent="0.35">
      <c r="A4" t="s">
        <v>6</v>
      </c>
      <c r="B4">
        <v>2021</v>
      </c>
      <c r="C4" s="13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3">
        <v>727.6</v>
      </c>
      <c r="D5">
        <v>330.03353920000001</v>
      </c>
    </row>
    <row r="6" spans="1:5" x14ac:dyDescent="0.35">
      <c r="A6" t="s">
        <v>7</v>
      </c>
      <c r="B6">
        <v>2021</v>
      </c>
      <c r="C6" s="13">
        <v>480.5</v>
      </c>
      <c r="D6">
        <v>217.95095600000002</v>
      </c>
    </row>
    <row r="7" spans="1:5" x14ac:dyDescent="0.35">
      <c r="A7" t="s">
        <v>8</v>
      </c>
      <c r="B7">
        <v>2021</v>
      </c>
      <c r="C7" s="13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3">
        <v>518.1</v>
      </c>
      <c r="D8">
        <v>235.00601520000001</v>
      </c>
    </row>
    <row r="9" spans="1:5" x14ac:dyDescent="0.35">
      <c r="A9" t="s">
        <v>11</v>
      </c>
      <c r="B9">
        <v>2021</v>
      </c>
      <c r="C9" s="13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3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3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3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3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3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3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3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3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3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3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3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3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3">
        <v>702</v>
      </c>
      <c r="D22">
        <v>318.421584</v>
      </c>
    </row>
    <row r="23" spans="1:4" x14ac:dyDescent="0.35">
      <c r="A23" t="s">
        <v>22</v>
      </c>
      <c r="B23">
        <v>2021</v>
      </c>
      <c r="C23" s="13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3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3">
        <v>831.6</v>
      </c>
      <c r="D25">
        <v>377.2071072</v>
      </c>
    </row>
    <row r="26" spans="1:4" x14ac:dyDescent="0.35">
      <c r="A26" t="s">
        <v>28</v>
      </c>
      <c r="B26">
        <v>2021</v>
      </c>
      <c r="C26" s="13">
        <v>1649</v>
      </c>
      <c r="D26">
        <v>747.973208</v>
      </c>
    </row>
    <row r="27" spans="1:4" x14ac:dyDescent="0.35">
      <c r="A27" t="s">
        <v>27</v>
      </c>
      <c r="B27">
        <v>2021</v>
      </c>
      <c r="C27" s="13">
        <v>836.4</v>
      </c>
      <c r="D27">
        <v>379.3843488</v>
      </c>
    </row>
    <row r="28" spans="1:4" x14ac:dyDescent="0.35">
      <c r="A28" t="s">
        <v>29</v>
      </c>
      <c r="B28">
        <v>2021</v>
      </c>
      <c r="C28" s="13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3">
        <v>672.7</v>
      </c>
      <c r="D29">
        <v>305.1313384</v>
      </c>
    </row>
    <row r="30" spans="1:4" x14ac:dyDescent="0.35">
      <c r="A30" t="s">
        <v>36</v>
      </c>
      <c r="B30">
        <v>2021</v>
      </c>
      <c r="C30" s="13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3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3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3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3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3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3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3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3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3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3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3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3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3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3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3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3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3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3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3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3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3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3">
        <v>1847.4</v>
      </c>
      <c r="D52">
        <v>837.96586079999997</v>
      </c>
    </row>
    <row r="53" spans="1:4" x14ac:dyDescent="0.35">
      <c r="A53" t="s">
        <v>333</v>
      </c>
      <c r="B53">
        <v>2021</v>
      </c>
      <c r="C53" s="13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8.90625" customWidth="1"/>
    <col min="5" max="5" width="30.81640625" customWidth="1"/>
    <col min="6" max="6" width="22.81640625" customWidth="1"/>
    <col min="7" max="7" width="15.36328125" bestFit="1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8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8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8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8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8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8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8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8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8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8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8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8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8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8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8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8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8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8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8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8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8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8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8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8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8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8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8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8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8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8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8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8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8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8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8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8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8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8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8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8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8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8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8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8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8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8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8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8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8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8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8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8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8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8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8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8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8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8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8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8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8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8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8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8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8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8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8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8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8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8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8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8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8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8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8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8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8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8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8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8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8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8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8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8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8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8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8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8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8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8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8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8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8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8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8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8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8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8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8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8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8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8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8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8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8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8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8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8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8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8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8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8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8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8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8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8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8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8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8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8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8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8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8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8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8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8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8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8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8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8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8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8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8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8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8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8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8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8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8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8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8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8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8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8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8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8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8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8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8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8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8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8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8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8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8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8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8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8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8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8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8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8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8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8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8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8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8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8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8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8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8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8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8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8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8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8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8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8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8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8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8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8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8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8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8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8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8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8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8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8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8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8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8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8">
        <f>SUMIF($C$2:$C$194,$C195,D$2:D$194)</f>
        <v>13246007643</v>
      </c>
      <c r="E195" s="18">
        <f>SUMIF($C$2:$C$194,$C195,E$2:E$194)</f>
        <v>4248207983</v>
      </c>
      <c r="F195" s="18">
        <f>SUMIF($C$2:$C$194,$C195,F$2:F$194)</f>
        <v>962587700</v>
      </c>
      <c r="G195" s="5" cm="1">
        <f t="array" ref="G195">SUM(D195:E195-F195)</f>
        <v>15569040226</v>
      </c>
      <c r="H195" s="27">
        <v>2027167326</v>
      </c>
    </row>
    <row r="196" spans="1:8" x14ac:dyDescent="0.35">
      <c r="A196" t="s">
        <v>332</v>
      </c>
      <c r="B196" t="s">
        <v>333</v>
      </c>
      <c r="C196" t="s">
        <v>166</v>
      </c>
      <c r="D196" s="18">
        <f t="shared" ref="D196:F200" si="0">SUMIF($C$2:$C$194,$C196,D$2:D$194)</f>
        <v>2494076570</v>
      </c>
      <c r="E196" s="18">
        <f t="shared" si="0"/>
        <v>436723409</v>
      </c>
      <c r="F196" s="18">
        <f t="shared" si="0"/>
        <v>137483092</v>
      </c>
      <c r="G196" s="5" cm="1">
        <f t="array" ref="G196">SUM(D196:E196-F196)</f>
        <v>2655833795</v>
      </c>
      <c r="H196" s="18">
        <v>1114624042</v>
      </c>
    </row>
    <row r="197" spans="1:8" x14ac:dyDescent="0.35">
      <c r="A197" t="s">
        <v>332</v>
      </c>
      <c r="B197" t="s">
        <v>333</v>
      </c>
      <c r="C197" t="s">
        <v>167</v>
      </c>
      <c r="D197" s="18">
        <f t="shared" si="0"/>
        <v>602844496</v>
      </c>
      <c r="E197" s="18">
        <f t="shared" si="0"/>
        <v>188986607</v>
      </c>
      <c r="F197" s="18">
        <f t="shared" si="0"/>
        <v>67751734</v>
      </c>
      <c r="G197" s="5" cm="1">
        <f t="array" ref="G197">SUM(D197:E197-F197)</f>
        <v>656327635</v>
      </c>
      <c r="H197" s="27">
        <v>145819083</v>
      </c>
    </row>
    <row r="198" spans="1:8" x14ac:dyDescent="0.35">
      <c r="A198" t="s">
        <v>332</v>
      </c>
      <c r="B198" t="s">
        <v>333</v>
      </c>
      <c r="C198" t="s">
        <v>168</v>
      </c>
      <c r="D198" s="18">
        <f t="shared" si="0"/>
        <v>1002711808</v>
      </c>
      <c r="E198" s="18">
        <f t="shared" si="0"/>
        <v>517289901</v>
      </c>
      <c r="F198" s="18">
        <f t="shared" si="0"/>
        <v>3686449</v>
      </c>
      <c r="G198" s="5" cm="1">
        <f t="array" ref="G198">SUM(D198:E198-F198)</f>
        <v>1512628811</v>
      </c>
      <c r="H198" s="18">
        <v>121418147</v>
      </c>
    </row>
    <row r="199" spans="1:8" x14ac:dyDescent="0.35">
      <c r="A199" t="s">
        <v>332</v>
      </c>
      <c r="B199" t="s">
        <v>333</v>
      </c>
      <c r="C199" t="s">
        <v>169</v>
      </c>
      <c r="D199" s="18">
        <f t="shared" si="0"/>
        <v>3129955799</v>
      </c>
      <c r="E199" s="18">
        <f t="shared" si="0"/>
        <v>1591432092</v>
      </c>
      <c r="F199" s="18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5">
      <c r="A200" t="s">
        <v>332</v>
      </c>
      <c r="B200" t="s">
        <v>333</v>
      </c>
      <c r="C200" t="s">
        <v>170</v>
      </c>
      <c r="D200" s="18">
        <f t="shared" si="0"/>
        <v>2647139951</v>
      </c>
      <c r="E200" s="18">
        <f t="shared" si="0"/>
        <v>1626145487</v>
      </c>
      <c r="F200" s="18">
        <f t="shared" si="0"/>
        <v>194741778</v>
      </c>
      <c r="G200" s="5" cm="1">
        <f t="array" ref="G200">SUM(D200:E200-F200)</f>
        <v>3883801882</v>
      </c>
      <c r="H200" s="18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abSelected="1" workbookViewId="0">
      <selection activeCell="C2" sqref="C2:J5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0">
        <v>3.7519999999999998</v>
      </c>
      <c r="D2" s="30">
        <v>3.952</v>
      </c>
      <c r="E2" s="30">
        <v>4.1740000000000004</v>
      </c>
      <c r="F2" s="30">
        <v>3.996</v>
      </c>
      <c r="G2" s="3">
        <v>11.47</v>
      </c>
      <c r="H2" s="3">
        <v>31097</v>
      </c>
      <c r="I2" s="3">
        <v>139435010</v>
      </c>
      <c r="J2" s="3">
        <v>84880359</v>
      </c>
    </row>
    <row r="3" spans="1:10" x14ac:dyDescent="0.35">
      <c r="A3" s="2" t="s">
        <v>93</v>
      </c>
      <c r="B3" s="2" t="s">
        <v>3</v>
      </c>
      <c r="C3" s="30">
        <v>2.802</v>
      </c>
      <c r="D3" s="30">
        <v>3.262</v>
      </c>
      <c r="E3" s="30">
        <v>3.657</v>
      </c>
      <c r="F3" s="30">
        <v>3.4529999999999998</v>
      </c>
      <c r="G3" s="3">
        <v>21.41</v>
      </c>
      <c r="H3" s="3">
        <v>2821</v>
      </c>
      <c r="I3" s="3">
        <v>6717825</v>
      </c>
      <c r="J3" s="3">
        <v>6024598</v>
      </c>
    </row>
    <row r="4" spans="1:10" x14ac:dyDescent="0.35">
      <c r="A4" s="2" t="s">
        <v>93</v>
      </c>
      <c r="B4" s="2" t="s">
        <v>6</v>
      </c>
      <c r="C4" s="30">
        <v>2.8029999999999999</v>
      </c>
      <c r="D4" s="30">
        <v>3.2490000000000001</v>
      </c>
      <c r="E4" s="30">
        <v>3.6259999999999999</v>
      </c>
      <c r="F4" s="30">
        <v>3.3809999999999998</v>
      </c>
      <c r="G4" s="3">
        <v>12.19</v>
      </c>
      <c r="H4" s="3">
        <v>29885</v>
      </c>
      <c r="I4" s="3">
        <v>111838736</v>
      </c>
      <c r="J4" s="3">
        <v>85918798</v>
      </c>
    </row>
    <row r="5" spans="1:10" x14ac:dyDescent="0.35">
      <c r="A5" s="2" t="s">
        <v>93</v>
      </c>
      <c r="B5" s="2" t="s">
        <v>5</v>
      </c>
      <c r="C5" s="30">
        <v>3.214</v>
      </c>
      <c r="D5" s="30">
        <v>3.5619999999999998</v>
      </c>
      <c r="E5" s="30">
        <v>3.875</v>
      </c>
      <c r="F5" s="30">
        <v>3.6520000000000001</v>
      </c>
      <c r="G5" s="3">
        <v>9.73</v>
      </c>
      <c r="H5" s="3">
        <v>15062</v>
      </c>
      <c r="I5" s="3">
        <v>63195647</v>
      </c>
      <c r="J5" s="3">
        <v>48649300</v>
      </c>
    </row>
    <row r="6" spans="1:10" x14ac:dyDescent="0.35">
      <c r="A6" s="2" t="s">
        <v>93</v>
      </c>
      <c r="B6" s="2" t="s">
        <v>7</v>
      </c>
      <c r="C6" s="30">
        <v>4.5140000000000002</v>
      </c>
      <c r="D6" s="30">
        <v>4.7469999999999999</v>
      </c>
      <c r="E6" s="30">
        <v>4.9279999999999999</v>
      </c>
      <c r="F6" s="30">
        <v>5.19</v>
      </c>
      <c r="G6" s="3">
        <v>24.87</v>
      </c>
      <c r="H6" s="3">
        <v>90375</v>
      </c>
      <c r="I6" s="3">
        <v>216628794</v>
      </c>
      <c r="J6" s="3">
        <v>239480452</v>
      </c>
    </row>
    <row r="7" spans="1:10" x14ac:dyDescent="0.35">
      <c r="A7" s="2" t="s">
        <v>93</v>
      </c>
      <c r="B7" s="2" t="s">
        <v>8</v>
      </c>
      <c r="C7" s="30">
        <v>3.048</v>
      </c>
      <c r="D7" s="30">
        <v>3.44</v>
      </c>
      <c r="E7" s="30">
        <v>3.7679999999999998</v>
      </c>
      <c r="F7" s="30">
        <v>3.4249999999999998</v>
      </c>
      <c r="G7" s="3">
        <v>11.76</v>
      </c>
      <c r="H7" s="3">
        <v>19541</v>
      </c>
      <c r="I7" s="3">
        <v>57541720</v>
      </c>
      <c r="J7" s="3">
        <v>55565819</v>
      </c>
    </row>
    <row r="8" spans="1:10" x14ac:dyDescent="0.35">
      <c r="A8" s="2" t="s">
        <v>93</v>
      </c>
      <c r="B8" s="2" t="s">
        <v>9</v>
      </c>
      <c r="C8" s="30">
        <v>3.1360000000000001</v>
      </c>
      <c r="D8" s="30">
        <v>3.734</v>
      </c>
      <c r="E8" s="30">
        <v>4.085</v>
      </c>
      <c r="F8" s="30">
        <v>3.8140000000000001</v>
      </c>
      <c r="G8" s="3">
        <v>24.24</v>
      </c>
      <c r="H8" s="3">
        <v>9936</v>
      </c>
      <c r="I8" s="3">
        <v>40666418</v>
      </c>
      <c r="J8" s="3">
        <v>26685176</v>
      </c>
    </row>
    <row r="9" spans="1:10" x14ac:dyDescent="0.35">
      <c r="A9" s="2" t="s">
        <v>93</v>
      </c>
      <c r="B9" s="2" t="s">
        <v>11</v>
      </c>
      <c r="C9" s="30">
        <v>3.3330000000000002</v>
      </c>
      <c r="D9" s="30">
        <v>3.8159999999999998</v>
      </c>
      <c r="E9" s="30">
        <v>4.3529999999999998</v>
      </c>
      <c r="F9" s="30">
        <v>3.83</v>
      </c>
      <c r="G9" s="3">
        <v>12.85</v>
      </c>
      <c r="H9" s="3">
        <v>3296</v>
      </c>
      <c r="I9" s="3">
        <v>4772059</v>
      </c>
      <c r="J9" s="3">
        <v>11081671</v>
      </c>
    </row>
    <row r="10" spans="1:10" x14ac:dyDescent="0.35">
      <c r="A10" s="2" t="s">
        <v>93</v>
      </c>
      <c r="B10" s="2" t="s">
        <v>10</v>
      </c>
      <c r="C10" s="30">
        <v>3.1070000000000002</v>
      </c>
      <c r="D10" s="30">
        <v>3.669</v>
      </c>
      <c r="E10" s="30">
        <v>3.968</v>
      </c>
      <c r="F10" s="30">
        <v>3.7639999999999998</v>
      </c>
      <c r="G10" s="3">
        <v>16.5</v>
      </c>
      <c r="H10" s="3">
        <v>52</v>
      </c>
      <c r="I10" s="3">
        <v>171870</v>
      </c>
      <c r="J10" s="3">
        <v>9879714</v>
      </c>
    </row>
    <row r="11" spans="1:10" x14ac:dyDescent="0.35">
      <c r="A11" s="2" t="s">
        <v>93</v>
      </c>
      <c r="B11" s="2" t="s">
        <v>12</v>
      </c>
      <c r="C11" s="30">
        <v>3.0830000000000002</v>
      </c>
      <c r="D11" s="30">
        <v>3.5449999999999999</v>
      </c>
      <c r="E11" s="30">
        <v>3.8650000000000002</v>
      </c>
      <c r="F11" s="30">
        <v>3.7240000000000002</v>
      </c>
      <c r="G11" s="3">
        <v>13.53</v>
      </c>
      <c r="H11" s="3">
        <v>68723</v>
      </c>
      <c r="I11" s="3">
        <v>259798479</v>
      </c>
      <c r="J11" s="3">
        <v>250940214</v>
      </c>
    </row>
    <row r="12" spans="1:10" x14ac:dyDescent="0.35">
      <c r="A12" s="2" t="s">
        <v>93</v>
      </c>
      <c r="B12" s="2" t="s">
        <v>13</v>
      </c>
      <c r="C12" s="30">
        <v>2.9209999999999998</v>
      </c>
      <c r="D12" s="30">
        <v>3.379</v>
      </c>
      <c r="E12" s="30">
        <v>3.782</v>
      </c>
      <c r="F12" s="30">
        <v>3.5950000000000002</v>
      </c>
      <c r="G12" s="3">
        <v>11.06</v>
      </c>
      <c r="H12" s="3">
        <v>37786</v>
      </c>
      <c r="I12" s="3">
        <v>129221513</v>
      </c>
      <c r="J12" s="3">
        <v>142028831</v>
      </c>
    </row>
    <row r="13" spans="1:10" x14ac:dyDescent="0.35">
      <c r="A13" s="2" t="s">
        <v>93</v>
      </c>
      <c r="B13" s="2" t="s">
        <v>14</v>
      </c>
      <c r="C13" s="30">
        <v>4.476</v>
      </c>
      <c r="D13" s="30">
        <v>4.7290000000000001</v>
      </c>
      <c r="E13" s="30">
        <v>4.9560000000000004</v>
      </c>
      <c r="F13" s="30">
        <v>5.2610000000000001</v>
      </c>
      <c r="G13" s="3">
        <v>38.6</v>
      </c>
      <c r="H13" s="3">
        <v>3222</v>
      </c>
      <c r="I13" s="3">
        <v>9194164</v>
      </c>
      <c r="J13" s="3">
        <v>8927252</v>
      </c>
    </row>
    <row r="14" spans="1:10" x14ac:dyDescent="0.35">
      <c r="A14" s="2" t="s">
        <v>93</v>
      </c>
      <c r="B14" s="2" t="s">
        <v>18</v>
      </c>
      <c r="C14" s="30">
        <v>2.93</v>
      </c>
      <c r="D14" s="30">
        <v>3.2</v>
      </c>
      <c r="E14" s="30">
        <v>3.7189999999999999</v>
      </c>
      <c r="F14" s="30">
        <v>3.5329999999999999</v>
      </c>
      <c r="G14" s="3">
        <v>9.08</v>
      </c>
      <c r="H14" s="3">
        <v>5353</v>
      </c>
      <c r="I14" s="3">
        <v>17842446</v>
      </c>
      <c r="J14" s="3">
        <v>25673977</v>
      </c>
    </row>
    <row r="15" spans="1:10" x14ac:dyDescent="0.35">
      <c r="A15" s="2" t="s">
        <v>93</v>
      </c>
      <c r="B15" s="2" t="s">
        <v>15</v>
      </c>
      <c r="C15" s="30">
        <v>3.48</v>
      </c>
      <c r="D15" s="30">
        <v>3.7639999999999998</v>
      </c>
      <c r="E15" s="30">
        <v>4.0259999999999998</v>
      </c>
      <c r="F15" s="30">
        <v>3.9279999999999999</v>
      </c>
      <c r="G15" s="3">
        <v>11.75</v>
      </c>
      <c r="H15" s="3">
        <v>45419</v>
      </c>
      <c r="I15" s="3">
        <v>177737641</v>
      </c>
      <c r="J15" s="3">
        <v>130578217</v>
      </c>
    </row>
    <row r="16" spans="1:10" x14ac:dyDescent="0.35">
      <c r="A16" s="2" t="s">
        <v>93</v>
      </c>
      <c r="B16" s="2" t="s">
        <v>16</v>
      </c>
      <c r="C16" s="30">
        <v>3.452</v>
      </c>
      <c r="D16" s="30">
        <v>4.0449999999999999</v>
      </c>
      <c r="E16" s="30">
        <v>4.51</v>
      </c>
      <c r="F16" s="30">
        <v>3.7690000000000001</v>
      </c>
      <c r="G16" s="3">
        <v>11.49</v>
      </c>
      <c r="H16" s="3">
        <v>26578</v>
      </c>
      <c r="I16" s="3">
        <v>90046880</v>
      </c>
      <c r="J16" s="3">
        <v>95995350</v>
      </c>
    </row>
    <row r="17" spans="1:10" x14ac:dyDescent="0.35">
      <c r="A17" s="2" t="s">
        <v>93</v>
      </c>
      <c r="B17" s="2" t="s">
        <v>17</v>
      </c>
      <c r="C17" s="30">
        <v>3.1619999999999999</v>
      </c>
      <c r="D17" s="30">
        <v>3.6869999999999998</v>
      </c>
      <c r="E17" s="30">
        <v>4.1879999999999997</v>
      </c>
      <c r="F17" s="30">
        <v>3.802</v>
      </c>
      <c r="G17" s="3">
        <v>9.42</v>
      </c>
      <c r="H17" s="3">
        <v>22706</v>
      </c>
      <c r="I17" s="3">
        <v>69836973</v>
      </c>
      <c r="J17" s="3">
        <v>54400259</v>
      </c>
    </row>
    <row r="18" spans="1:10" x14ac:dyDescent="0.35">
      <c r="A18" s="2" t="s">
        <v>93</v>
      </c>
      <c r="B18" s="2" t="s">
        <v>19</v>
      </c>
      <c r="C18" s="30">
        <v>2.871</v>
      </c>
      <c r="D18" s="30">
        <v>3.206</v>
      </c>
      <c r="E18" s="30">
        <v>3.53</v>
      </c>
      <c r="F18" s="30">
        <v>3.4390000000000001</v>
      </c>
      <c r="G18" s="3">
        <v>10.8</v>
      </c>
      <c r="H18" s="3">
        <v>19197</v>
      </c>
      <c r="I18" s="3">
        <v>58456598</v>
      </c>
      <c r="J18" s="3">
        <v>41052008</v>
      </c>
    </row>
    <row r="19" spans="1:10" x14ac:dyDescent="0.35">
      <c r="A19" s="2" t="s">
        <v>93</v>
      </c>
      <c r="B19" s="2" t="s">
        <v>20</v>
      </c>
      <c r="C19" s="30">
        <v>2.8530000000000002</v>
      </c>
      <c r="D19" s="30">
        <v>3.407</v>
      </c>
      <c r="E19" s="30">
        <v>3.8220000000000001</v>
      </c>
      <c r="F19" s="30">
        <v>3.403</v>
      </c>
      <c r="G19" s="3">
        <v>9.9600000000000009</v>
      </c>
      <c r="H19" s="3">
        <v>18336</v>
      </c>
      <c r="I19" s="3">
        <v>63217080</v>
      </c>
      <c r="J19" s="3">
        <v>71223021</v>
      </c>
    </row>
    <row r="20" spans="1:10" x14ac:dyDescent="0.35">
      <c r="A20" s="2" t="s">
        <v>93</v>
      </c>
      <c r="B20" s="2" t="s">
        <v>21</v>
      </c>
      <c r="C20" s="30">
        <v>2.7949999999999999</v>
      </c>
      <c r="D20" s="30">
        <v>3.2450000000000001</v>
      </c>
      <c r="E20" s="30">
        <v>3.621</v>
      </c>
      <c r="F20" s="30">
        <v>3.3410000000000002</v>
      </c>
      <c r="G20" s="3">
        <v>8.91</v>
      </c>
      <c r="H20" s="3">
        <v>24963</v>
      </c>
      <c r="I20" s="3">
        <v>97784565</v>
      </c>
      <c r="J20" s="3">
        <v>95374457</v>
      </c>
    </row>
    <row r="21" spans="1:10" x14ac:dyDescent="0.35">
      <c r="A21" s="2" t="s">
        <v>93</v>
      </c>
      <c r="B21" s="2" t="s">
        <v>24</v>
      </c>
      <c r="C21" s="30">
        <v>3.0590000000000002</v>
      </c>
      <c r="D21" s="30">
        <v>3.665</v>
      </c>
      <c r="E21" s="30">
        <v>4.0359999999999996</v>
      </c>
      <c r="F21" s="30">
        <v>3.859</v>
      </c>
      <c r="G21" s="3">
        <v>20.84</v>
      </c>
      <c r="H21" s="3">
        <v>5252</v>
      </c>
      <c r="I21" s="3">
        <v>12512181</v>
      </c>
      <c r="J21" s="3">
        <v>11336030</v>
      </c>
    </row>
    <row r="22" spans="1:10" x14ac:dyDescent="0.35">
      <c r="A22" s="2" t="s">
        <v>93</v>
      </c>
      <c r="B22" s="2" t="s">
        <v>23</v>
      </c>
      <c r="C22" s="30">
        <v>3.16</v>
      </c>
      <c r="D22" s="30">
        <v>3.7360000000000002</v>
      </c>
      <c r="E22" s="30">
        <v>4.0449999999999999</v>
      </c>
      <c r="F22" s="30">
        <v>3.7759999999999998</v>
      </c>
      <c r="G22" s="3">
        <v>14.34</v>
      </c>
      <c r="H22" s="3">
        <v>11924</v>
      </c>
      <c r="I22" s="3">
        <v>36000650</v>
      </c>
      <c r="J22" s="3">
        <v>57033085</v>
      </c>
    </row>
    <row r="23" spans="1:10" x14ac:dyDescent="0.35">
      <c r="A23" s="2" t="s">
        <v>93</v>
      </c>
      <c r="B23" s="2" t="s">
        <v>22</v>
      </c>
      <c r="C23" s="30">
        <v>3.08</v>
      </c>
      <c r="D23" s="30">
        <v>3.6360000000000001</v>
      </c>
      <c r="E23" s="30">
        <v>4.0990000000000002</v>
      </c>
      <c r="F23" s="30">
        <v>3.89</v>
      </c>
      <c r="G23" s="3">
        <v>23.21</v>
      </c>
      <c r="H23" s="3">
        <v>12850</v>
      </c>
      <c r="I23" s="3">
        <v>19695884</v>
      </c>
      <c r="J23" s="3">
        <v>50011964</v>
      </c>
    </row>
    <row r="24" spans="1:10" x14ac:dyDescent="0.35">
      <c r="A24" s="2" t="s">
        <v>93</v>
      </c>
      <c r="B24" s="2" t="s">
        <v>25</v>
      </c>
      <c r="C24" s="30">
        <v>3.2170000000000001</v>
      </c>
      <c r="D24" s="30">
        <v>3.7970000000000002</v>
      </c>
      <c r="E24" s="30">
        <v>4.3520000000000003</v>
      </c>
      <c r="F24" s="30">
        <v>3.7309999999999999</v>
      </c>
      <c r="G24" s="3">
        <v>13.68</v>
      </c>
      <c r="H24" s="3">
        <v>31120</v>
      </c>
      <c r="I24" s="3">
        <v>120656625</v>
      </c>
      <c r="J24" s="3">
        <v>97588690</v>
      </c>
    </row>
    <row r="25" spans="1:10" x14ac:dyDescent="0.35">
      <c r="A25" s="2" t="s">
        <v>93</v>
      </c>
      <c r="B25" s="2" t="s">
        <v>26</v>
      </c>
      <c r="C25" s="30">
        <v>3.024</v>
      </c>
      <c r="D25" s="30">
        <v>3.419</v>
      </c>
      <c r="E25" s="30">
        <v>3.8650000000000002</v>
      </c>
      <c r="F25" s="30">
        <v>3.6179999999999999</v>
      </c>
      <c r="G25" s="3">
        <v>12.21</v>
      </c>
      <c r="H25" s="3">
        <v>17842</v>
      </c>
      <c r="I25" s="3">
        <v>57276862</v>
      </c>
      <c r="J25" s="3">
        <v>66215800</v>
      </c>
    </row>
    <row r="26" spans="1:10" x14ac:dyDescent="0.35">
      <c r="A26" s="2" t="s">
        <v>93</v>
      </c>
      <c r="B26" s="2" t="s">
        <v>28</v>
      </c>
      <c r="C26" s="30">
        <v>2.8580000000000001</v>
      </c>
      <c r="D26" s="30">
        <v>3.2250000000000001</v>
      </c>
      <c r="E26" s="30">
        <v>3.5430000000000001</v>
      </c>
      <c r="F26" s="30">
        <v>3.395</v>
      </c>
      <c r="G26" s="3">
        <v>10.95</v>
      </c>
      <c r="H26" s="3">
        <v>14833</v>
      </c>
      <c r="I26" s="3">
        <v>72933440</v>
      </c>
      <c r="J26" s="3">
        <v>48421762</v>
      </c>
    </row>
    <row r="27" spans="1:10" x14ac:dyDescent="0.35">
      <c r="A27" s="2" t="s">
        <v>93</v>
      </c>
      <c r="B27" s="2" t="s">
        <v>27</v>
      </c>
      <c r="C27" s="30">
        <v>2.7160000000000002</v>
      </c>
      <c r="D27" s="30">
        <v>3.1680000000000001</v>
      </c>
      <c r="E27" s="30">
        <v>3.53</v>
      </c>
      <c r="F27" s="30">
        <v>3.298</v>
      </c>
      <c r="G27" s="3">
        <v>10.87</v>
      </c>
      <c r="H27" s="3">
        <v>21172</v>
      </c>
      <c r="I27" s="3">
        <v>66703285</v>
      </c>
      <c r="J27" s="3">
        <v>76975799</v>
      </c>
    </row>
    <row r="28" spans="1:10" x14ac:dyDescent="0.35">
      <c r="A28" s="2" t="s">
        <v>93</v>
      </c>
      <c r="B28" s="2" t="s">
        <v>29</v>
      </c>
      <c r="C28" s="30">
        <v>3.262</v>
      </c>
      <c r="D28" s="30">
        <v>3.5710000000000002</v>
      </c>
      <c r="E28" s="30">
        <v>3.887</v>
      </c>
      <c r="F28" s="30">
        <v>3.649</v>
      </c>
      <c r="G28" s="3">
        <v>10.97</v>
      </c>
      <c r="H28" s="3">
        <v>6698</v>
      </c>
      <c r="I28" s="3">
        <v>26895758</v>
      </c>
      <c r="J28" s="3">
        <v>15504699</v>
      </c>
    </row>
    <row r="29" spans="1:10" x14ac:dyDescent="0.35">
      <c r="A29" s="2" t="s">
        <v>93</v>
      </c>
      <c r="B29" s="2" t="s">
        <v>239</v>
      </c>
      <c r="C29" s="30">
        <v>2.9060000000000001</v>
      </c>
      <c r="D29" s="30">
        <v>3.3690000000000002</v>
      </c>
      <c r="E29" s="30">
        <v>3.7570000000000001</v>
      </c>
      <c r="F29" s="30">
        <v>3.5350000000000001</v>
      </c>
      <c r="G29" s="3">
        <v>9.14</v>
      </c>
      <c r="H29" s="3">
        <v>10781</v>
      </c>
      <c r="I29" s="3">
        <v>39445955</v>
      </c>
      <c r="J29" s="3">
        <v>33571199</v>
      </c>
    </row>
    <row r="30" spans="1:10" x14ac:dyDescent="0.35">
      <c r="A30" s="2" t="s">
        <v>93</v>
      </c>
      <c r="B30" s="2" t="s">
        <v>36</v>
      </c>
      <c r="C30" s="30">
        <v>2.9159999999999999</v>
      </c>
      <c r="D30" s="30">
        <v>3.2549999999999999</v>
      </c>
      <c r="E30" s="30">
        <v>3.5950000000000002</v>
      </c>
      <c r="F30" s="30">
        <v>3.4239999999999999</v>
      </c>
      <c r="G30" s="3">
        <v>13.09</v>
      </c>
      <c r="H30" s="3">
        <v>14536</v>
      </c>
      <c r="I30" s="3">
        <v>42164375</v>
      </c>
      <c r="J30" s="3">
        <v>38249355</v>
      </c>
    </row>
    <row r="31" spans="1:10" x14ac:dyDescent="0.35">
      <c r="A31" s="2" t="s">
        <v>93</v>
      </c>
      <c r="B31" s="2" t="s">
        <v>30</v>
      </c>
      <c r="C31" s="30">
        <v>2.9830000000000001</v>
      </c>
      <c r="D31" s="30">
        <v>3.1669999999999998</v>
      </c>
      <c r="E31" s="30">
        <v>3.706</v>
      </c>
      <c r="F31" s="30">
        <v>3.431</v>
      </c>
      <c r="G31" s="3">
        <v>22.96</v>
      </c>
      <c r="H31" s="3">
        <v>4467</v>
      </c>
      <c r="I31" s="3">
        <v>16824999</v>
      </c>
      <c r="J31" s="3">
        <v>10631313</v>
      </c>
    </row>
    <row r="32" spans="1:10" x14ac:dyDescent="0.35">
      <c r="A32" s="2" t="s">
        <v>93</v>
      </c>
      <c r="B32" s="2" t="s">
        <v>32</v>
      </c>
      <c r="C32" s="30">
        <v>3.0049999999999999</v>
      </c>
      <c r="D32" s="30">
        <v>3.585</v>
      </c>
      <c r="E32" s="30">
        <v>4.016</v>
      </c>
      <c r="F32" s="30">
        <v>3.82</v>
      </c>
      <c r="G32" s="3">
        <v>15.27</v>
      </c>
      <c r="H32" s="3">
        <v>16838</v>
      </c>
      <c r="I32" s="3">
        <v>64228924</v>
      </c>
      <c r="J32" s="3">
        <v>71096939</v>
      </c>
    </row>
    <row r="33" spans="1:10" x14ac:dyDescent="0.35">
      <c r="A33" s="2" t="s">
        <v>93</v>
      </c>
      <c r="B33" s="2" t="s">
        <v>33</v>
      </c>
      <c r="C33" s="30">
        <v>3.0739999999999998</v>
      </c>
      <c r="D33" s="30">
        <v>3.625</v>
      </c>
      <c r="E33" s="30">
        <v>3.8690000000000002</v>
      </c>
      <c r="F33" s="30">
        <v>3.6960000000000002</v>
      </c>
      <c r="G33" s="3">
        <v>9.4700000000000006</v>
      </c>
      <c r="H33" s="3">
        <v>10724</v>
      </c>
      <c r="I33" s="3">
        <v>39269073</v>
      </c>
      <c r="J33" s="3">
        <v>28347490</v>
      </c>
    </row>
    <row r="34" spans="1:10" x14ac:dyDescent="0.35">
      <c r="A34" s="2" t="s">
        <v>93</v>
      </c>
      <c r="B34" s="2" t="s">
        <v>34</v>
      </c>
      <c r="C34" s="30">
        <v>2.87</v>
      </c>
      <c r="D34" s="30">
        <v>3.254</v>
      </c>
      <c r="E34" s="30">
        <v>3.5659999999999998</v>
      </c>
      <c r="F34" s="30">
        <v>3.4409999999999998</v>
      </c>
      <c r="G34" s="3">
        <v>18.28</v>
      </c>
      <c r="H34" s="3">
        <v>40230</v>
      </c>
      <c r="I34" s="3">
        <v>124039988</v>
      </c>
      <c r="J34" s="3">
        <v>139421936</v>
      </c>
    </row>
    <row r="35" spans="1:10" x14ac:dyDescent="0.35">
      <c r="A35" s="2" t="s">
        <v>93</v>
      </c>
      <c r="B35" s="2" t="s">
        <v>31</v>
      </c>
      <c r="C35" s="30">
        <v>3.766</v>
      </c>
      <c r="D35" s="30">
        <v>4.0720000000000001</v>
      </c>
      <c r="E35" s="30">
        <v>4.3250000000000002</v>
      </c>
      <c r="F35" s="30">
        <v>3.9649999999999999</v>
      </c>
      <c r="G35" s="3">
        <v>10.61</v>
      </c>
      <c r="H35" s="3">
        <v>35864</v>
      </c>
      <c r="I35" s="3">
        <v>126553394</v>
      </c>
      <c r="J35" s="3">
        <v>133091108</v>
      </c>
    </row>
    <row r="36" spans="1:10" x14ac:dyDescent="0.35">
      <c r="A36" s="2" t="s">
        <v>93</v>
      </c>
      <c r="B36" s="2" t="s">
        <v>35</v>
      </c>
      <c r="C36" s="30">
        <v>3.1859999999999999</v>
      </c>
      <c r="D36" s="30">
        <v>3.7109999999999999</v>
      </c>
      <c r="E36" s="30">
        <v>4.0890000000000004</v>
      </c>
      <c r="F36" s="30">
        <v>3.9289999999999998</v>
      </c>
      <c r="G36" s="3">
        <v>8.0299999999999994</v>
      </c>
      <c r="H36" s="3">
        <v>9402</v>
      </c>
      <c r="I36" s="3">
        <v>42068807</v>
      </c>
      <c r="J36" s="3">
        <v>28202179</v>
      </c>
    </row>
    <row r="37" spans="1:10" x14ac:dyDescent="0.35">
      <c r="A37" s="2" t="s">
        <v>93</v>
      </c>
      <c r="B37" s="2" t="s">
        <v>37</v>
      </c>
      <c r="C37" s="30">
        <v>2.9860000000000002</v>
      </c>
      <c r="D37" s="30">
        <v>3.524</v>
      </c>
      <c r="E37" s="30">
        <v>4.0339999999999998</v>
      </c>
      <c r="F37" s="30">
        <v>3.7080000000000002</v>
      </c>
      <c r="G37" s="3">
        <v>11.04</v>
      </c>
      <c r="H37" s="3">
        <v>29104</v>
      </c>
      <c r="I37" s="3">
        <v>133223464</v>
      </c>
      <c r="J37" s="3">
        <v>146640983</v>
      </c>
    </row>
    <row r="38" spans="1:10" x14ac:dyDescent="0.35">
      <c r="A38" s="2" t="s">
        <v>93</v>
      </c>
      <c r="B38" s="2" t="s">
        <v>38</v>
      </c>
      <c r="C38" s="30">
        <v>2.746</v>
      </c>
      <c r="D38" s="30">
        <v>3.1389999999999998</v>
      </c>
      <c r="E38" s="30">
        <v>3.4359999999999999</v>
      </c>
      <c r="F38" s="30">
        <v>3.278</v>
      </c>
      <c r="G38" s="3">
        <v>9.3000000000000007</v>
      </c>
      <c r="H38" s="3">
        <v>31690</v>
      </c>
      <c r="I38" s="3">
        <v>89236024</v>
      </c>
      <c r="J38" s="3">
        <v>68978840</v>
      </c>
    </row>
    <row r="39" spans="1:10" x14ac:dyDescent="0.35">
      <c r="A39" s="2" t="s">
        <v>93</v>
      </c>
      <c r="B39" s="2" t="s">
        <v>39</v>
      </c>
      <c r="C39" s="30">
        <v>3.9990000000000001</v>
      </c>
      <c r="D39" s="30">
        <v>4.2309999999999999</v>
      </c>
      <c r="E39" s="30">
        <v>4.484</v>
      </c>
      <c r="F39" s="30">
        <v>4.5</v>
      </c>
      <c r="G39" s="3">
        <v>10.32</v>
      </c>
      <c r="H39" s="3">
        <v>17469</v>
      </c>
      <c r="I39" s="3">
        <v>61691869</v>
      </c>
      <c r="J39" s="3">
        <v>57984962</v>
      </c>
    </row>
    <row r="40" spans="1:10" x14ac:dyDescent="0.35">
      <c r="A40" s="2" t="s">
        <v>93</v>
      </c>
      <c r="B40" s="2" t="s">
        <v>40</v>
      </c>
      <c r="C40" s="30">
        <v>3.2480000000000002</v>
      </c>
      <c r="D40" s="30">
        <v>3.6890000000000001</v>
      </c>
      <c r="E40" s="30">
        <v>4.0599999999999996</v>
      </c>
      <c r="F40" s="30">
        <v>4.0220000000000002</v>
      </c>
      <c r="G40" s="3">
        <v>12.57</v>
      </c>
      <c r="H40" s="3">
        <v>48526</v>
      </c>
      <c r="I40" s="3">
        <v>235924937</v>
      </c>
      <c r="J40" s="3">
        <v>138710993</v>
      </c>
    </row>
    <row r="41" spans="1:10" x14ac:dyDescent="0.35">
      <c r="A41" s="2" t="s">
        <v>93</v>
      </c>
      <c r="B41" s="2" t="s">
        <v>41</v>
      </c>
      <c r="C41" s="30">
        <v>3.0350000000000001</v>
      </c>
      <c r="D41" s="30">
        <v>3.766</v>
      </c>
      <c r="E41" s="30">
        <v>4.1310000000000002</v>
      </c>
      <c r="F41" s="30">
        <v>3.8050000000000002</v>
      </c>
      <c r="G41" s="3">
        <v>21.62</v>
      </c>
      <c r="H41" s="3">
        <v>2289</v>
      </c>
      <c r="I41" s="3">
        <v>10430846</v>
      </c>
      <c r="J41" s="3">
        <v>7300788</v>
      </c>
    </row>
    <row r="42" spans="1:10" x14ac:dyDescent="0.35">
      <c r="A42" s="2" t="s">
        <v>93</v>
      </c>
      <c r="B42" s="2" t="s">
        <v>240</v>
      </c>
      <c r="C42" s="30">
        <v>2.8530000000000002</v>
      </c>
      <c r="D42" s="30">
        <v>3.3130000000000002</v>
      </c>
      <c r="E42" s="30">
        <v>3.69</v>
      </c>
      <c r="F42" s="30">
        <v>3.5070000000000001</v>
      </c>
      <c r="G42" s="3">
        <v>10.5</v>
      </c>
      <c r="H42" s="3">
        <v>24422</v>
      </c>
      <c r="I42" s="3">
        <v>100853387</v>
      </c>
      <c r="J42" s="3">
        <v>81202185</v>
      </c>
    </row>
    <row r="43" spans="1:10" x14ac:dyDescent="0.35">
      <c r="A43" s="2" t="s">
        <v>93</v>
      </c>
      <c r="B43" s="2" t="s">
        <v>42</v>
      </c>
      <c r="C43" s="30">
        <v>3.0030000000000001</v>
      </c>
      <c r="D43" s="30">
        <v>3.18</v>
      </c>
      <c r="E43" s="30">
        <v>3.6429999999999998</v>
      </c>
      <c r="F43" s="30">
        <v>3.3610000000000002</v>
      </c>
      <c r="G43" s="3">
        <v>10.49</v>
      </c>
      <c r="H43" s="3">
        <v>6799</v>
      </c>
      <c r="I43" s="3">
        <v>17436158</v>
      </c>
      <c r="J43" s="3">
        <v>13505999</v>
      </c>
    </row>
    <row r="44" spans="1:10" x14ac:dyDescent="0.35">
      <c r="A44" s="2" t="s">
        <v>93</v>
      </c>
      <c r="B44" s="2" t="s">
        <v>43</v>
      </c>
      <c r="C44" s="30">
        <v>2.7810000000000001</v>
      </c>
      <c r="D44" s="30">
        <v>3.2440000000000002</v>
      </c>
      <c r="E44" s="30">
        <v>3.6419999999999999</v>
      </c>
      <c r="F44" s="30">
        <v>3.4350000000000001</v>
      </c>
      <c r="G44" s="3">
        <v>10.69</v>
      </c>
      <c r="H44" s="3">
        <v>20924</v>
      </c>
      <c r="I44" s="3">
        <v>77791204</v>
      </c>
      <c r="J44" s="3">
        <v>99046005</v>
      </c>
    </row>
    <row r="45" spans="1:10" x14ac:dyDescent="0.35">
      <c r="A45" s="2" t="s">
        <v>93</v>
      </c>
      <c r="B45" s="2" t="s">
        <v>44</v>
      </c>
      <c r="C45" s="30">
        <v>2.7869999999999999</v>
      </c>
      <c r="D45" s="30">
        <v>3.2589999999999999</v>
      </c>
      <c r="E45" s="30">
        <v>3.613</v>
      </c>
      <c r="F45" s="30">
        <v>3.2639999999999998</v>
      </c>
      <c r="G45" s="3">
        <v>10.039999999999999</v>
      </c>
      <c r="H45" s="3">
        <v>155010</v>
      </c>
      <c r="I45" s="3">
        <v>547294552</v>
      </c>
      <c r="J45" s="3">
        <v>492820385</v>
      </c>
    </row>
    <row r="46" spans="1:10" x14ac:dyDescent="0.35">
      <c r="A46" s="2" t="s">
        <v>93</v>
      </c>
      <c r="B46" s="2" t="s">
        <v>45</v>
      </c>
      <c r="C46" s="30">
        <v>3.3780000000000001</v>
      </c>
      <c r="D46" s="30">
        <v>3.6459999999999999</v>
      </c>
      <c r="E46" s="30">
        <v>3.8769999999999998</v>
      </c>
      <c r="F46" s="30">
        <v>3.7090000000000001</v>
      </c>
      <c r="G46" s="3">
        <v>9.0299999999999994</v>
      </c>
      <c r="H46" s="3">
        <v>9710</v>
      </c>
      <c r="I46" s="3">
        <v>33496554</v>
      </c>
      <c r="J46" s="3">
        <v>33343537</v>
      </c>
    </row>
    <row r="47" spans="1:10" x14ac:dyDescent="0.35">
      <c r="A47" s="2" t="s">
        <v>93</v>
      </c>
      <c r="B47" s="2" t="s">
        <v>47</v>
      </c>
      <c r="C47" s="30">
        <v>3.0019999999999998</v>
      </c>
      <c r="D47" s="30">
        <v>3.4630000000000001</v>
      </c>
      <c r="E47" s="30">
        <v>3.8359999999999999</v>
      </c>
      <c r="F47" s="30">
        <v>3.6339999999999999</v>
      </c>
      <c r="G47" s="3">
        <v>17.53</v>
      </c>
      <c r="H47" s="3">
        <v>856</v>
      </c>
      <c r="I47" s="3">
        <v>2480199</v>
      </c>
      <c r="J47" s="3">
        <v>5364023</v>
      </c>
    </row>
    <row r="48" spans="1:10" x14ac:dyDescent="0.35">
      <c r="A48" s="2" t="s">
        <v>93</v>
      </c>
      <c r="B48" s="2" t="s">
        <v>46</v>
      </c>
      <c r="C48" s="30">
        <v>3.1</v>
      </c>
      <c r="D48" s="30">
        <v>3.6669999999999998</v>
      </c>
      <c r="E48" s="30">
        <v>4.07</v>
      </c>
      <c r="F48" s="30">
        <v>3.8530000000000002</v>
      </c>
      <c r="G48" s="3">
        <v>10.68</v>
      </c>
      <c r="H48" s="3">
        <v>28218</v>
      </c>
      <c r="I48" s="3">
        <v>91059344</v>
      </c>
      <c r="J48" s="3">
        <v>132318505</v>
      </c>
    </row>
    <row r="49" spans="1:10" x14ac:dyDescent="0.35">
      <c r="A49" s="2" t="s">
        <v>93</v>
      </c>
      <c r="B49" s="2" t="s">
        <v>48</v>
      </c>
      <c r="C49" s="30">
        <v>4.3949999999999996</v>
      </c>
      <c r="D49" s="30">
        <v>4.6609999999999996</v>
      </c>
      <c r="E49" s="30">
        <v>4.891</v>
      </c>
      <c r="F49" s="30">
        <v>5.0220000000000002</v>
      </c>
      <c r="G49" s="3">
        <v>9.58</v>
      </c>
      <c r="H49" s="3">
        <v>30884</v>
      </c>
      <c r="I49" s="3">
        <v>102960605</v>
      </c>
      <c r="J49" s="3">
        <v>89552630</v>
      </c>
    </row>
    <row r="50" spans="1:10" x14ac:dyDescent="0.35">
      <c r="A50" s="2" t="s">
        <v>93</v>
      </c>
      <c r="B50" s="2" t="s">
        <v>50</v>
      </c>
      <c r="C50" s="30">
        <v>2.9729999999999999</v>
      </c>
      <c r="D50" s="30">
        <v>3.504</v>
      </c>
      <c r="E50" s="30">
        <v>3.9929999999999999</v>
      </c>
      <c r="F50" s="30">
        <v>3.5409999999999999</v>
      </c>
      <c r="G50" s="3">
        <v>10.26</v>
      </c>
      <c r="H50" s="3">
        <v>15005</v>
      </c>
      <c r="I50" s="3">
        <v>52286784</v>
      </c>
      <c r="J50" s="3">
        <v>32070687</v>
      </c>
    </row>
    <row r="51" spans="1:10" x14ac:dyDescent="0.35">
      <c r="A51" s="2" t="s">
        <v>93</v>
      </c>
      <c r="B51" s="2" t="s">
        <v>49</v>
      </c>
      <c r="C51" s="30">
        <v>3.0409999999999999</v>
      </c>
      <c r="D51" s="30">
        <v>3.464</v>
      </c>
      <c r="E51" s="30">
        <v>3.9</v>
      </c>
      <c r="F51" s="30">
        <v>3.609</v>
      </c>
      <c r="G51" s="3">
        <v>12.72</v>
      </c>
      <c r="H51" s="3">
        <v>17580</v>
      </c>
      <c r="I51" s="3">
        <v>62548705</v>
      </c>
      <c r="J51" s="3">
        <v>68563904</v>
      </c>
    </row>
    <row r="52" spans="1:10" x14ac:dyDescent="0.35">
      <c r="A52" s="2" t="s">
        <v>93</v>
      </c>
      <c r="B52" s="2" t="s">
        <v>51</v>
      </c>
      <c r="C52" s="30">
        <v>3.1219999999999999</v>
      </c>
      <c r="D52" s="30">
        <v>3.395</v>
      </c>
      <c r="E52" s="30">
        <v>3.69</v>
      </c>
      <c r="F52" s="30">
        <v>3.5880000000000001</v>
      </c>
      <c r="G52" s="3">
        <v>8.39</v>
      </c>
      <c r="H52" s="3">
        <v>10192</v>
      </c>
      <c r="I52" s="3">
        <v>43181420</v>
      </c>
      <c r="J52" s="3">
        <v>16790115</v>
      </c>
    </row>
    <row r="53" spans="1:10" x14ac:dyDescent="0.35">
      <c r="A53" s="2" t="s">
        <v>282</v>
      </c>
      <c r="B53" s="2" t="s">
        <v>333</v>
      </c>
      <c r="C53" s="30">
        <v>3.162019607843138</v>
      </c>
      <c r="D53" s="30">
        <v>3.5889803921568619</v>
      </c>
      <c r="E53" s="30">
        <v>3.955352941176471</v>
      </c>
      <c r="F53" s="30">
        <v>3.7371176470588225</v>
      </c>
      <c r="G53" s="3">
        <v>12.68</v>
      </c>
      <c r="H53" s="3">
        <v>1187555</v>
      </c>
      <c r="I53" s="3">
        <v>4183270672</v>
      </c>
      <c r="J53" s="3">
        <v>3874253362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8" sqref="D8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0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35" sqref="L35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19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5.4440000000000002E-2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H57" sqref="H57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6">
        <v>1.7833599999999999E-4</v>
      </c>
      <c r="D2" s="26">
        <v>1.7833599999999999E-4</v>
      </c>
      <c r="E2" s="26">
        <v>1.7833599999999999E-4</v>
      </c>
      <c r="F2" s="26">
        <v>1.7833599999999999E-4</v>
      </c>
      <c r="G2" s="26">
        <v>1.7833599999999999E-4</v>
      </c>
    </row>
    <row r="3" spans="1:7" x14ac:dyDescent="0.35">
      <c r="A3" t="s">
        <v>339</v>
      </c>
      <c r="B3">
        <v>2022</v>
      </c>
      <c r="C3" s="26">
        <v>3.3397599999999999E-4</v>
      </c>
      <c r="D3" s="26">
        <v>3.3397599999999999E-4</v>
      </c>
      <c r="E3" s="26">
        <v>3.3397599999999999E-4</v>
      </c>
      <c r="F3" s="26">
        <v>3.3397599999999999E-4</v>
      </c>
      <c r="G3" s="26">
        <v>3.3397599999999999E-4</v>
      </c>
    </row>
    <row r="4" spans="1:7" x14ac:dyDescent="0.35">
      <c r="A4" t="s">
        <v>339</v>
      </c>
      <c r="B4">
        <v>2023</v>
      </c>
      <c r="C4" s="26">
        <v>4.9029200000000003E-4</v>
      </c>
      <c r="D4" s="26">
        <v>4.9029200000000003E-4</v>
      </c>
      <c r="E4" s="26">
        <v>4.9029200000000003E-4</v>
      </c>
      <c r="F4" s="26">
        <v>4.9029200000000003E-4</v>
      </c>
      <c r="G4" s="26">
        <v>4.9029200000000003E-4</v>
      </c>
    </row>
    <row r="5" spans="1:7" x14ac:dyDescent="0.35">
      <c r="A5" t="s">
        <v>339</v>
      </c>
      <c r="B5">
        <v>2024</v>
      </c>
      <c r="C5" s="26">
        <v>6.4432900000000002E-4</v>
      </c>
      <c r="D5" s="26">
        <v>6.4432900000000002E-4</v>
      </c>
      <c r="E5" s="26">
        <v>6.4432900000000002E-4</v>
      </c>
      <c r="F5" s="26">
        <v>2.8879320000000002E-3</v>
      </c>
      <c r="G5" s="26">
        <v>2.8879320000000002E-3</v>
      </c>
    </row>
    <row r="6" spans="1:7" x14ac:dyDescent="0.35">
      <c r="A6" t="s">
        <v>339</v>
      </c>
      <c r="B6">
        <v>2025</v>
      </c>
      <c r="C6" s="26">
        <v>7.96417E-4</v>
      </c>
      <c r="D6" s="26">
        <v>7.96417E-4</v>
      </c>
      <c r="E6" s="26">
        <v>7.96417E-4</v>
      </c>
      <c r="F6" s="26">
        <v>6.3800389999999997E-3</v>
      </c>
      <c r="G6" s="26">
        <v>6.3800389999999997E-3</v>
      </c>
    </row>
    <row r="7" spans="1:7" x14ac:dyDescent="0.35">
      <c r="A7" t="s">
        <v>339</v>
      </c>
      <c r="B7">
        <v>2026</v>
      </c>
      <c r="C7" s="26">
        <v>9.4634700000000005E-4</v>
      </c>
      <c r="D7" s="26">
        <v>9.4634700000000005E-4</v>
      </c>
      <c r="E7" s="26">
        <v>9.4634700000000005E-4</v>
      </c>
      <c r="F7" s="26">
        <v>1.0761928E-2</v>
      </c>
      <c r="G7" s="26">
        <v>1.0761928E-2</v>
      </c>
    </row>
    <row r="8" spans="1:7" x14ac:dyDescent="0.35">
      <c r="A8" t="s">
        <v>339</v>
      </c>
      <c r="B8">
        <v>2027</v>
      </c>
      <c r="C8" s="26">
        <v>1.0917800000000001E-3</v>
      </c>
      <c r="D8" s="26">
        <v>1.0917800000000001E-3</v>
      </c>
      <c r="E8" s="26">
        <v>1.0917800000000001E-3</v>
      </c>
      <c r="F8" s="26">
        <v>1.6864591000000002E-2</v>
      </c>
      <c r="G8" s="26">
        <v>1.6864591000000002E-2</v>
      </c>
    </row>
    <row r="9" spans="1:7" x14ac:dyDescent="0.35">
      <c r="A9" t="s">
        <v>339</v>
      </c>
      <c r="B9">
        <v>2028</v>
      </c>
      <c r="C9" s="26">
        <v>1.234576E-3</v>
      </c>
      <c r="D9" s="26">
        <v>1.234576E-3</v>
      </c>
      <c r="E9" s="26">
        <v>1.234576E-3</v>
      </c>
      <c r="F9" s="26">
        <v>2.5187912999999999E-2</v>
      </c>
      <c r="G9" s="26">
        <v>2.5187912999999999E-2</v>
      </c>
    </row>
    <row r="10" spans="1:7" x14ac:dyDescent="0.35">
      <c r="A10" t="s">
        <v>339</v>
      </c>
      <c r="B10">
        <v>2029</v>
      </c>
      <c r="C10" s="26">
        <v>1.377184E-3</v>
      </c>
      <c r="D10" s="26">
        <v>1.377184E-3</v>
      </c>
      <c r="E10" s="26">
        <v>1.377184E-3</v>
      </c>
      <c r="F10" s="26">
        <v>3.5627709E-2</v>
      </c>
      <c r="G10" s="26">
        <v>3.5627709E-2</v>
      </c>
    </row>
    <row r="11" spans="1:7" x14ac:dyDescent="0.35">
      <c r="A11" t="s">
        <v>339</v>
      </c>
      <c r="B11">
        <v>2030</v>
      </c>
      <c r="C11" s="26">
        <v>1.5188409999999999E-3</v>
      </c>
      <c r="D11" s="26">
        <v>1.5188409999999999E-3</v>
      </c>
      <c r="E11" s="26">
        <v>1.5188409999999999E-3</v>
      </c>
      <c r="F11" s="26">
        <v>4.7980977000000001E-2</v>
      </c>
      <c r="G11" s="26">
        <v>4.7980977000000001E-2</v>
      </c>
    </row>
    <row r="12" spans="1:7" x14ac:dyDescent="0.35">
      <c r="A12" t="s">
        <v>339</v>
      </c>
      <c r="B12">
        <v>2031</v>
      </c>
      <c r="C12" s="26">
        <v>1.6599869999999999E-3</v>
      </c>
      <c r="D12" s="26">
        <v>1.6599869999999999E-3</v>
      </c>
      <c r="E12" s="26">
        <v>1.6599869999999999E-3</v>
      </c>
      <c r="F12" s="26">
        <v>6.1868593999999999E-2</v>
      </c>
      <c r="G12" s="26">
        <v>6.1868593999999999E-2</v>
      </c>
    </row>
    <row r="13" spans="1:7" x14ac:dyDescent="0.35">
      <c r="A13" t="s">
        <v>339</v>
      </c>
      <c r="B13">
        <v>2032</v>
      </c>
      <c r="C13" s="26">
        <v>1.8000679999999999E-3</v>
      </c>
      <c r="D13" s="26">
        <v>1.8000679999999999E-3</v>
      </c>
      <c r="E13" s="26">
        <v>1.8000679999999999E-3</v>
      </c>
      <c r="F13" s="26">
        <v>7.6526794999999995E-2</v>
      </c>
      <c r="G13" s="26">
        <v>7.6526794999999995E-2</v>
      </c>
    </row>
    <row r="14" spans="1:7" x14ac:dyDescent="0.35">
      <c r="A14" t="s">
        <v>339</v>
      </c>
      <c r="B14">
        <v>2033</v>
      </c>
      <c r="C14" s="26">
        <v>1.9408330000000001E-3</v>
      </c>
      <c r="D14" s="26">
        <v>1.9408330000000001E-3</v>
      </c>
      <c r="E14" s="26">
        <v>1.9408330000000001E-3</v>
      </c>
      <c r="F14" s="26">
        <v>9.1638549E-2</v>
      </c>
      <c r="G14" s="26">
        <v>9.1638549E-2</v>
      </c>
    </row>
    <row r="15" spans="1:7" x14ac:dyDescent="0.35">
      <c r="A15" t="s">
        <v>339</v>
      </c>
      <c r="B15">
        <v>2034</v>
      </c>
      <c r="C15" s="26">
        <v>2.0840559999999999E-3</v>
      </c>
      <c r="D15" s="26">
        <v>2.0840559999999999E-3</v>
      </c>
      <c r="E15" s="26">
        <v>2.0840559999999999E-3</v>
      </c>
      <c r="F15" s="26">
        <v>0.106988207</v>
      </c>
      <c r="G15" s="26">
        <v>0.106988207</v>
      </c>
    </row>
    <row r="16" spans="1:7" x14ac:dyDescent="0.35">
      <c r="A16" t="s">
        <v>339</v>
      </c>
      <c r="B16">
        <v>2035</v>
      </c>
      <c r="C16" s="26">
        <v>2.2269479999999999E-3</v>
      </c>
      <c r="D16" s="26">
        <v>2.2269479999999999E-3</v>
      </c>
      <c r="E16" s="26">
        <v>2.2269479999999999E-3</v>
      </c>
      <c r="F16" s="26">
        <v>0.12328299600000001</v>
      </c>
      <c r="G16" s="26">
        <v>0.12328299600000001</v>
      </c>
    </row>
    <row r="17" spans="1:7" x14ac:dyDescent="0.35">
      <c r="A17" t="s">
        <v>339</v>
      </c>
      <c r="B17">
        <v>2036</v>
      </c>
      <c r="C17" s="26">
        <v>2.3683300000000001E-3</v>
      </c>
      <c r="D17" s="26">
        <v>2.3683300000000001E-3</v>
      </c>
      <c r="E17" s="26">
        <v>2.3683300000000001E-3</v>
      </c>
      <c r="F17" s="26">
        <v>0.13350161599999999</v>
      </c>
      <c r="G17" s="26">
        <v>0.13350161599999999</v>
      </c>
    </row>
    <row r="18" spans="1:7" x14ac:dyDescent="0.35">
      <c r="A18" t="s">
        <v>339</v>
      </c>
      <c r="B18">
        <v>2037</v>
      </c>
      <c r="C18" s="26">
        <v>2.5096810000000002E-3</v>
      </c>
      <c r="D18" s="26">
        <v>2.5096810000000002E-3</v>
      </c>
      <c r="E18" s="26">
        <v>2.5096810000000002E-3</v>
      </c>
      <c r="F18" s="26">
        <v>0.14717171300000001</v>
      </c>
      <c r="G18" s="26">
        <v>0.14717171300000001</v>
      </c>
    </row>
    <row r="19" spans="1:7" x14ac:dyDescent="0.35">
      <c r="A19" t="s">
        <v>339</v>
      </c>
      <c r="B19">
        <v>2038</v>
      </c>
      <c r="C19" s="26">
        <v>2.6516360000000002E-3</v>
      </c>
      <c r="D19" s="26">
        <v>2.6516360000000002E-3</v>
      </c>
      <c r="E19" s="26">
        <v>2.6516360000000002E-3</v>
      </c>
      <c r="F19" s="26">
        <v>0.159999847</v>
      </c>
      <c r="G19" s="26">
        <v>0.159999847</v>
      </c>
    </row>
    <row r="20" spans="1:7" x14ac:dyDescent="0.35">
      <c r="A20" t="s">
        <v>339</v>
      </c>
      <c r="B20">
        <v>2039</v>
      </c>
      <c r="C20" s="26">
        <v>2.7978980000000001E-3</v>
      </c>
      <c r="D20" s="26">
        <v>2.7978980000000001E-3</v>
      </c>
      <c r="E20" s="26">
        <v>2.7978980000000001E-3</v>
      </c>
      <c r="F20" s="26">
        <v>0.17197367399999999</v>
      </c>
      <c r="G20" s="26">
        <v>0.17197367399999999</v>
      </c>
    </row>
    <row r="21" spans="1:7" x14ac:dyDescent="0.35">
      <c r="A21" t="s">
        <v>339</v>
      </c>
      <c r="B21">
        <v>2040</v>
      </c>
      <c r="C21" s="26">
        <v>2.9475489999999998E-3</v>
      </c>
      <c r="D21" s="26">
        <v>2.9475489999999998E-3</v>
      </c>
      <c r="E21" s="26">
        <v>2.9475489999999998E-3</v>
      </c>
      <c r="F21" s="26">
        <v>0.18306308800000001</v>
      </c>
      <c r="G21" s="26">
        <v>0.18306308800000001</v>
      </c>
    </row>
    <row r="22" spans="1:7" x14ac:dyDescent="0.35">
      <c r="A22" t="s">
        <v>339</v>
      </c>
      <c r="B22">
        <v>2041</v>
      </c>
      <c r="C22" s="26">
        <v>3.1025660000000002E-3</v>
      </c>
      <c r="D22" s="26">
        <v>3.1025660000000002E-3</v>
      </c>
      <c r="E22" s="26">
        <v>3.1025660000000002E-3</v>
      </c>
      <c r="F22" s="26">
        <v>0.19322018599999999</v>
      </c>
      <c r="G22" s="26">
        <v>0.19322018599999999</v>
      </c>
    </row>
    <row r="23" spans="1:7" x14ac:dyDescent="0.35">
      <c r="A23" t="s">
        <v>339</v>
      </c>
      <c r="B23">
        <v>2042</v>
      </c>
      <c r="C23" s="26">
        <v>3.2548310000000001E-3</v>
      </c>
      <c r="D23" s="26">
        <v>3.2548310000000001E-3</v>
      </c>
      <c r="E23" s="26">
        <v>3.2548310000000001E-3</v>
      </c>
      <c r="F23" s="26">
        <v>0.20237197600000001</v>
      </c>
      <c r="G23" s="26">
        <v>0.20237197600000001</v>
      </c>
    </row>
    <row r="24" spans="1:7" x14ac:dyDescent="0.35">
      <c r="A24" t="s">
        <v>339</v>
      </c>
      <c r="B24">
        <v>2043</v>
      </c>
      <c r="C24" s="26">
        <v>3.4059329999999999E-3</v>
      </c>
      <c r="D24" s="26">
        <v>3.4059329999999999E-3</v>
      </c>
      <c r="E24" s="26">
        <v>3.4059329999999999E-3</v>
      </c>
      <c r="F24" s="26">
        <v>0.21056287000000001</v>
      </c>
      <c r="G24" s="26">
        <v>0.21056287000000001</v>
      </c>
    </row>
    <row r="25" spans="1:7" x14ac:dyDescent="0.35">
      <c r="A25" t="s">
        <v>339</v>
      </c>
      <c r="B25">
        <v>2044</v>
      </c>
      <c r="C25" s="26">
        <v>3.5547740000000001E-3</v>
      </c>
      <c r="D25" s="26">
        <v>3.5547740000000001E-3</v>
      </c>
      <c r="E25" s="26">
        <v>3.5547740000000001E-3</v>
      </c>
      <c r="F25" s="26">
        <v>0.21777566700000001</v>
      </c>
      <c r="G25" s="26">
        <v>0.21777566700000001</v>
      </c>
    </row>
    <row r="26" spans="1:7" x14ac:dyDescent="0.35">
      <c r="A26" t="s">
        <v>339</v>
      </c>
      <c r="B26">
        <v>2045</v>
      </c>
      <c r="C26" s="26">
        <v>3.702253E-3</v>
      </c>
      <c r="D26" s="26">
        <v>3.702253E-3</v>
      </c>
      <c r="E26" s="26">
        <v>3.702253E-3</v>
      </c>
      <c r="F26" s="26">
        <v>0.224084228</v>
      </c>
      <c r="G26" s="26">
        <v>0.224084228</v>
      </c>
    </row>
    <row r="27" spans="1:7" x14ac:dyDescent="0.35">
      <c r="A27" t="s">
        <v>339</v>
      </c>
      <c r="B27">
        <v>2046</v>
      </c>
      <c r="C27" s="26">
        <v>3.8532660000000002E-3</v>
      </c>
      <c r="D27" s="26">
        <v>3.8532660000000002E-3</v>
      </c>
      <c r="E27" s="26">
        <v>3.8532660000000002E-3</v>
      </c>
      <c r="F27" s="26">
        <v>0.229570676</v>
      </c>
      <c r="G27" s="26">
        <v>0.229570676</v>
      </c>
    </row>
    <row r="28" spans="1:7" x14ac:dyDescent="0.35">
      <c r="A28" t="s">
        <v>339</v>
      </c>
      <c r="B28">
        <v>2047</v>
      </c>
      <c r="C28" s="26">
        <v>4.0069169999999996E-3</v>
      </c>
      <c r="D28" s="26">
        <v>4.0069169999999996E-3</v>
      </c>
      <c r="E28" s="26">
        <v>4.0069169999999996E-3</v>
      </c>
      <c r="F28" s="26">
        <v>0.23429806</v>
      </c>
      <c r="G28" s="26">
        <v>0.23429806</v>
      </c>
    </row>
    <row r="29" spans="1:7" x14ac:dyDescent="0.35">
      <c r="A29" t="s">
        <v>339</v>
      </c>
      <c r="B29">
        <v>2048</v>
      </c>
      <c r="C29" s="26">
        <v>4.1629220000000003E-3</v>
      </c>
      <c r="D29" s="26">
        <v>4.1629220000000003E-3</v>
      </c>
      <c r="E29" s="26">
        <v>4.1629220000000003E-3</v>
      </c>
      <c r="F29" s="26">
        <v>0.23831492700000001</v>
      </c>
      <c r="G29" s="26">
        <v>0.23831492700000001</v>
      </c>
    </row>
    <row r="30" spans="1:7" x14ac:dyDescent="0.35">
      <c r="A30" t="s">
        <v>339</v>
      </c>
      <c r="B30">
        <v>2049</v>
      </c>
      <c r="C30" s="26">
        <v>4.3251549999999998E-3</v>
      </c>
      <c r="D30" s="26">
        <v>4.3251549999999998E-3</v>
      </c>
      <c r="E30" s="26">
        <v>4.3251549999999998E-3</v>
      </c>
      <c r="F30" s="26">
        <v>0.241681439</v>
      </c>
      <c r="G30" s="26">
        <v>0.241681439</v>
      </c>
    </row>
    <row r="31" spans="1:7" x14ac:dyDescent="0.35">
      <c r="A31" t="s">
        <v>339</v>
      </c>
      <c r="B31">
        <v>2050</v>
      </c>
      <c r="C31" s="26">
        <v>4.495321E-3</v>
      </c>
      <c r="D31" s="26">
        <v>4.495321E-3</v>
      </c>
      <c r="E31" s="26">
        <v>4.495321E-3</v>
      </c>
      <c r="F31" s="26">
        <v>0.24449030199999999</v>
      </c>
      <c r="G31" s="26">
        <v>0.24449030199999999</v>
      </c>
    </row>
    <row r="32" spans="1:7" x14ac:dyDescent="0.35">
      <c r="A32" t="s">
        <v>337</v>
      </c>
      <c r="B32">
        <v>2021</v>
      </c>
      <c r="C32" s="26">
        <v>2.7681490000000001E-3</v>
      </c>
      <c r="D32" s="26">
        <v>2.7681490000000001E-3</v>
      </c>
      <c r="E32" s="26">
        <v>2.7681490000000001E-3</v>
      </c>
      <c r="F32" s="26">
        <v>2.7681490000000001E-3</v>
      </c>
      <c r="G32" s="26">
        <v>2.7681490000000001E-3</v>
      </c>
    </row>
    <row r="33" spans="1:7" x14ac:dyDescent="0.35">
      <c r="A33" t="s">
        <v>337</v>
      </c>
      <c r="B33">
        <v>2022</v>
      </c>
      <c r="C33" s="26">
        <v>5.506319E-3</v>
      </c>
      <c r="D33" s="26">
        <v>8.2696799999999997E-3</v>
      </c>
      <c r="E33" s="26">
        <v>6.8879989999999997E-3</v>
      </c>
      <c r="F33" s="26">
        <v>6.8879989999999997E-3</v>
      </c>
      <c r="G33" s="26">
        <v>8.2696799999999997E-3</v>
      </c>
    </row>
    <row r="34" spans="1:7" x14ac:dyDescent="0.35">
      <c r="A34" t="s">
        <v>337</v>
      </c>
      <c r="B34">
        <v>2023</v>
      </c>
      <c r="C34" s="26">
        <v>8.604024E-3</v>
      </c>
      <c r="D34" s="26">
        <v>1.3771211E-2</v>
      </c>
      <c r="E34" s="26">
        <v>1.1187618E-2</v>
      </c>
      <c r="F34" s="26">
        <v>1.1187618E-2</v>
      </c>
      <c r="G34" s="26">
        <v>1.3771211E-2</v>
      </c>
    </row>
    <row r="35" spans="1:7" x14ac:dyDescent="0.35">
      <c r="A35" t="s">
        <v>337</v>
      </c>
      <c r="B35">
        <v>2024</v>
      </c>
      <c r="C35" s="26">
        <v>1.1780479999999999E-2</v>
      </c>
      <c r="D35" s="26">
        <v>1.9272741999999999E-2</v>
      </c>
      <c r="E35" s="26">
        <v>1.5526610999999999E-2</v>
      </c>
      <c r="F35" s="26">
        <v>1.5526610999999999E-2</v>
      </c>
      <c r="G35" s="26">
        <v>1.9272741999999999E-2</v>
      </c>
    </row>
    <row r="36" spans="1:7" x14ac:dyDescent="0.35">
      <c r="A36" t="s">
        <v>337</v>
      </c>
      <c r="B36">
        <v>2025</v>
      </c>
      <c r="C36" s="26">
        <v>1.4880427E-2</v>
      </c>
      <c r="D36" s="26">
        <v>2.4774272999999999E-2</v>
      </c>
      <c r="E36" s="26">
        <v>1.9827350000000001E-2</v>
      </c>
      <c r="F36" s="26">
        <v>1.9827350000000001E-2</v>
      </c>
      <c r="G36" s="26">
        <v>2.4774272999999999E-2</v>
      </c>
    </row>
    <row r="37" spans="1:7" x14ac:dyDescent="0.35">
      <c r="A37" t="s">
        <v>337</v>
      </c>
      <c r="B37">
        <v>2026</v>
      </c>
      <c r="C37" s="26">
        <v>1.7896786000000001E-2</v>
      </c>
      <c r="D37" s="26">
        <v>3.7774355000000003E-2</v>
      </c>
      <c r="E37" s="26">
        <v>2.783557E-2</v>
      </c>
      <c r="F37" s="26">
        <v>2.783557E-2</v>
      </c>
      <c r="G37" s="26">
        <v>3.7774355000000003E-2</v>
      </c>
    </row>
    <row r="38" spans="1:7" x14ac:dyDescent="0.35">
      <c r="A38" t="s">
        <v>337</v>
      </c>
      <c r="B38">
        <v>2027</v>
      </c>
      <c r="C38" s="26">
        <v>2.0805857000000001E-2</v>
      </c>
      <c r="D38" s="26">
        <v>5.7356055000000003E-2</v>
      </c>
      <c r="E38" s="26">
        <v>3.9080956E-2</v>
      </c>
      <c r="F38" s="26">
        <v>3.9080956E-2</v>
      </c>
      <c r="G38" s="26">
        <v>5.7356055000000003E-2</v>
      </c>
    </row>
    <row r="39" spans="1:7" x14ac:dyDescent="0.35">
      <c r="A39" t="s">
        <v>337</v>
      </c>
      <c r="B39">
        <v>2028</v>
      </c>
      <c r="C39" s="26">
        <v>2.3611013E-2</v>
      </c>
      <c r="D39" s="26">
        <v>8.4760910999999994E-2</v>
      </c>
      <c r="E39" s="26">
        <v>5.4185961999999997E-2</v>
      </c>
      <c r="F39" s="26">
        <v>5.4185961999999997E-2</v>
      </c>
      <c r="G39" s="26">
        <v>8.4760910999999994E-2</v>
      </c>
    </row>
    <row r="40" spans="1:7" x14ac:dyDescent="0.35">
      <c r="A40" t="s">
        <v>337</v>
      </c>
      <c r="B40">
        <v>2029</v>
      </c>
      <c r="C40" s="26">
        <v>2.6362935000000001E-2</v>
      </c>
      <c r="D40" s="26">
        <v>0.110267067</v>
      </c>
      <c r="E40" s="26">
        <v>6.8315001E-2</v>
      </c>
      <c r="F40" s="26">
        <v>6.8315001E-2</v>
      </c>
      <c r="G40" s="26">
        <v>0.110267067</v>
      </c>
    </row>
    <row r="41" spans="1:7" x14ac:dyDescent="0.35">
      <c r="A41" t="s">
        <v>337</v>
      </c>
      <c r="B41">
        <v>2030</v>
      </c>
      <c r="C41" s="26">
        <v>2.9098506E-2</v>
      </c>
      <c r="D41" s="26">
        <v>0.13976050100000001</v>
      </c>
      <c r="E41" s="26">
        <v>8.4429504000000002E-2</v>
      </c>
      <c r="F41" s="26">
        <v>8.4429504000000002E-2</v>
      </c>
      <c r="G41" s="26">
        <v>0.13976050100000001</v>
      </c>
    </row>
    <row r="42" spans="1:7" x14ac:dyDescent="0.35">
      <c r="A42" t="s">
        <v>337</v>
      </c>
      <c r="B42">
        <v>2031</v>
      </c>
      <c r="C42" s="26">
        <v>3.1850912000000002E-2</v>
      </c>
      <c r="D42" s="26">
        <v>0.16977555799999999</v>
      </c>
      <c r="E42" s="26">
        <v>0.100813235</v>
      </c>
      <c r="F42" s="26">
        <v>0.100813235</v>
      </c>
      <c r="G42" s="26">
        <v>0.16977555799999999</v>
      </c>
    </row>
    <row r="43" spans="1:7" x14ac:dyDescent="0.35">
      <c r="A43" t="s">
        <v>337</v>
      </c>
      <c r="B43">
        <v>2032</v>
      </c>
      <c r="C43" s="26">
        <v>3.4619206E-2</v>
      </c>
      <c r="D43" s="26">
        <v>0.20474008699999999</v>
      </c>
      <c r="E43" s="26">
        <v>0.119679647</v>
      </c>
      <c r="F43" s="26">
        <v>0.119679647</v>
      </c>
      <c r="G43" s="26">
        <v>0.20474008699999999</v>
      </c>
    </row>
    <row r="44" spans="1:7" x14ac:dyDescent="0.35">
      <c r="A44" t="s">
        <v>337</v>
      </c>
      <c r="B44">
        <v>2033</v>
      </c>
      <c r="C44" s="26">
        <v>3.7401094000000003E-2</v>
      </c>
      <c r="D44" s="26">
        <v>0.24537620900000001</v>
      </c>
      <c r="E44" s="26">
        <v>0.141388651</v>
      </c>
      <c r="F44" s="26">
        <v>0.141388651</v>
      </c>
      <c r="G44" s="26">
        <v>0.24537620900000001</v>
      </c>
    </row>
    <row r="45" spans="1:7" x14ac:dyDescent="0.35">
      <c r="A45" t="s">
        <v>337</v>
      </c>
      <c r="B45">
        <v>2034</v>
      </c>
      <c r="C45" s="26">
        <v>4.0196467999999999E-2</v>
      </c>
      <c r="D45" s="26">
        <v>0.292219018</v>
      </c>
      <c r="E45" s="26">
        <v>0.16620774299999999</v>
      </c>
      <c r="F45" s="26">
        <v>0.16620774299999999</v>
      </c>
      <c r="G45" s="26">
        <v>0.292219018</v>
      </c>
    </row>
    <row r="46" spans="1:7" x14ac:dyDescent="0.35">
      <c r="A46" t="s">
        <v>337</v>
      </c>
      <c r="B46">
        <v>2035</v>
      </c>
      <c r="C46" s="26">
        <v>4.2987719000000001E-2</v>
      </c>
      <c r="D46" s="26">
        <v>0.34549044600000001</v>
      </c>
      <c r="E46" s="26">
        <v>0.19423908200000001</v>
      </c>
      <c r="F46" s="26">
        <v>0.19423908200000001</v>
      </c>
      <c r="G46" s="26">
        <v>0.34549044600000001</v>
      </c>
    </row>
    <row r="47" spans="1:7" x14ac:dyDescent="0.35">
      <c r="A47" t="s">
        <v>337</v>
      </c>
      <c r="B47">
        <v>2036</v>
      </c>
      <c r="C47" s="26">
        <v>4.5770973E-2</v>
      </c>
      <c r="D47" s="26">
        <v>0.39619227099999998</v>
      </c>
      <c r="E47" s="26">
        <v>0.22098162199999999</v>
      </c>
      <c r="F47" s="26">
        <v>0.22098162199999999</v>
      </c>
      <c r="G47" s="26">
        <v>0.39619227099999998</v>
      </c>
    </row>
    <row r="48" spans="1:7" x14ac:dyDescent="0.35">
      <c r="A48" t="s">
        <v>337</v>
      </c>
      <c r="B48">
        <v>2037</v>
      </c>
      <c r="C48" s="26">
        <v>4.8543924000000002E-2</v>
      </c>
      <c r="D48" s="26">
        <v>0.444968113</v>
      </c>
      <c r="E48" s="26">
        <v>0.24675601899999999</v>
      </c>
      <c r="F48" s="26">
        <v>0.24675601899999999</v>
      </c>
      <c r="G48" s="26">
        <v>0.444968113</v>
      </c>
    </row>
    <row r="49" spans="1:7" x14ac:dyDescent="0.35">
      <c r="A49" t="s">
        <v>337</v>
      </c>
      <c r="B49">
        <v>2038</v>
      </c>
      <c r="C49" s="26">
        <v>5.1304790000000003E-2</v>
      </c>
      <c r="D49" s="26">
        <v>0.49169161900000002</v>
      </c>
      <c r="E49" s="26">
        <v>0.27149820400000002</v>
      </c>
      <c r="F49" s="26">
        <v>0.27149820400000002</v>
      </c>
      <c r="G49" s="26">
        <v>0.49169161900000002</v>
      </c>
    </row>
    <row r="50" spans="1:7" x14ac:dyDescent="0.35">
      <c r="A50" t="s">
        <v>337</v>
      </c>
      <c r="B50">
        <v>2039</v>
      </c>
      <c r="C50" s="26">
        <v>5.40186E-2</v>
      </c>
      <c r="D50" s="26">
        <v>0.53644918200000002</v>
      </c>
      <c r="E50" s="26">
        <v>0.29523389100000003</v>
      </c>
      <c r="F50" s="26">
        <v>0.29523389100000003</v>
      </c>
      <c r="G50" s="26">
        <v>0.53644918200000002</v>
      </c>
    </row>
    <row r="51" spans="1:7" x14ac:dyDescent="0.35">
      <c r="A51" t="s">
        <v>337</v>
      </c>
      <c r="B51">
        <v>2040</v>
      </c>
      <c r="C51" s="26">
        <v>5.6696666E-2</v>
      </c>
      <c r="D51" s="26">
        <v>0.57897244699999995</v>
      </c>
      <c r="E51" s="26">
        <v>0.31783455599999999</v>
      </c>
      <c r="F51" s="26">
        <v>0.31783455599999999</v>
      </c>
      <c r="G51" s="26">
        <v>0.57897244699999995</v>
      </c>
    </row>
    <row r="52" spans="1:7" x14ac:dyDescent="0.35">
      <c r="A52" t="s">
        <v>337</v>
      </c>
      <c r="B52">
        <v>2041</v>
      </c>
      <c r="C52" s="26">
        <v>5.9316059999999997E-2</v>
      </c>
      <c r="D52" s="26">
        <v>0.61912640799999996</v>
      </c>
      <c r="E52" s="26">
        <v>0.33922123399999998</v>
      </c>
      <c r="F52" s="26">
        <v>0.33922123399999998</v>
      </c>
      <c r="G52" s="26">
        <v>0.61912640799999996</v>
      </c>
    </row>
    <row r="53" spans="1:7" x14ac:dyDescent="0.35">
      <c r="A53" t="s">
        <v>337</v>
      </c>
      <c r="B53">
        <v>2042</v>
      </c>
      <c r="C53" s="26">
        <v>6.1865734999999998E-2</v>
      </c>
      <c r="D53" s="26">
        <v>0.657095557</v>
      </c>
      <c r="E53" s="26">
        <v>0.35948064600000001</v>
      </c>
      <c r="F53" s="26">
        <v>0.35948064600000001</v>
      </c>
      <c r="G53" s="26">
        <v>0.657095557</v>
      </c>
    </row>
    <row r="54" spans="1:7" x14ac:dyDescent="0.35">
      <c r="A54" t="s">
        <v>337</v>
      </c>
      <c r="B54">
        <v>2043</v>
      </c>
      <c r="C54" s="26">
        <v>6.4368699000000001E-2</v>
      </c>
      <c r="D54" s="26">
        <v>0.69262306100000004</v>
      </c>
      <c r="E54" s="26">
        <v>0.37849588000000001</v>
      </c>
      <c r="F54" s="26">
        <v>0.37849588000000001</v>
      </c>
      <c r="G54" s="26">
        <v>0.69262306100000004</v>
      </c>
    </row>
    <row r="55" spans="1:7" x14ac:dyDescent="0.35">
      <c r="A55" t="s">
        <v>337</v>
      </c>
      <c r="B55">
        <v>2044</v>
      </c>
      <c r="C55" s="26">
        <v>6.6828560999999995E-2</v>
      </c>
      <c r="D55" s="26">
        <v>0.72576428699999995</v>
      </c>
      <c r="E55" s="26">
        <v>0.39629642399999998</v>
      </c>
      <c r="F55" s="26">
        <v>0.39629642399999998</v>
      </c>
      <c r="G55" s="26">
        <v>0.72576428699999995</v>
      </c>
    </row>
    <row r="56" spans="1:7" x14ac:dyDescent="0.35">
      <c r="A56" t="s">
        <v>337</v>
      </c>
      <c r="B56">
        <v>2045</v>
      </c>
      <c r="C56" s="26">
        <v>6.9255160999999996E-2</v>
      </c>
      <c r="D56" s="26">
        <v>0.75643987199999996</v>
      </c>
      <c r="E56" s="26">
        <v>0.41284751600000003</v>
      </c>
      <c r="F56" s="26">
        <v>0.41284751600000003</v>
      </c>
      <c r="G56" s="26">
        <v>0.75643987199999996</v>
      </c>
    </row>
    <row r="57" spans="1:7" x14ac:dyDescent="0.35">
      <c r="A57" t="s">
        <v>337</v>
      </c>
      <c r="B57">
        <v>2046</v>
      </c>
      <c r="C57" s="26">
        <v>7.1660583E-2</v>
      </c>
      <c r="D57" s="26">
        <v>0.78459593599999999</v>
      </c>
      <c r="E57" s="26">
        <v>0.42812825900000001</v>
      </c>
      <c r="F57" s="26">
        <v>0.42812825900000001</v>
      </c>
      <c r="G57" s="26">
        <v>0.78459593599999999</v>
      </c>
    </row>
    <row r="58" spans="1:7" x14ac:dyDescent="0.35">
      <c r="A58" t="s">
        <v>337</v>
      </c>
      <c r="B58">
        <v>2047</v>
      </c>
      <c r="C58" s="26">
        <v>7.4023167000000001E-2</v>
      </c>
      <c r="D58" s="26">
        <v>0.81016510900000005</v>
      </c>
      <c r="E58" s="26">
        <v>0.44209413800000003</v>
      </c>
      <c r="F58" s="26">
        <v>0.44209413800000003</v>
      </c>
      <c r="G58" s="26">
        <v>0.81016510900000005</v>
      </c>
    </row>
    <row r="59" spans="1:7" x14ac:dyDescent="0.35">
      <c r="A59" t="s">
        <v>337</v>
      </c>
      <c r="B59">
        <v>2048</v>
      </c>
      <c r="C59" s="26">
        <v>7.6331019E-2</v>
      </c>
      <c r="D59" s="26">
        <v>0.83324370199999997</v>
      </c>
      <c r="E59" s="26">
        <v>0.454787361</v>
      </c>
      <c r="F59" s="26">
        <v>0.454787361</v>
      </c>
      <c r="G59" s="26">
        <v>0.83324370199999997</v>
      </c>
    </row>
    <row r="60" spans="1:7" x14ac:dyDescent="0.35">
      <c r="A60" t="s">
        <v>337</v>
      </c>
      <c r="B60">
        <v>2049</v>
      </c>
      <c r="C60" s="26">
        <v>7.8599206000000005E-2</v>
      </c>
      <c r="D60" s="26">
        <v>0.85401336000000005</v>
      </c>
      <c r="E60" s="26">
        <v>0.46630628299999999</v>
      </c>
      <c r="F60" s="26">
        <v>0.46630628299999999</v>
      </c>
      <c r="G60" s="26">
        <v>0.85401336000000005</v>
      </c>
    </row>
    <row r="61" spans="1:7" x14ac:dyDescent="0.35">
      <c r="A61" t="s">
        <v>337</v>
      </c>
      <c r="B61">
        <v>2050</v>
      </c>
      <c r="C61" s="26">
        <v>8.0826548999999998E-2</v>
      </c>
      <c r="D61" s="26">
        <v>0.87233277799999998</v>
      </c>
      <c r="E61" s="26">
        <v>0.47657966400000001</v>
      </c>
      <c r="F61" s="26">
        <v>0.47657966400000001</v>
      </c>
      <c r="G61" s="26">
        <v>0.87233277799999998</v>
      </c>
    </row>
    <row r="62" spans="1:7" x14ac:dyDescent="0.35">
      <c r="A62" t="s">
        <v>338</v>
      </c>
      <c r="B62">
        <v>2021</v>
      </c>
      <c r="C62" s="26">
        <v>2.69208E-4</v>
      </c>
      <c r="D62" s="26">
        <v>2.69208E-4</v>
      </c>
      <c r="E62" s="26">
        <v>2.69208E-4</v>
      </c>
      <c r="F62" s="26">
        <v>2.69208E-4</v>
      </c>
      <c r="G62" s="26">
        <v>2.69208E-4</v>
      </c>
    </row>
    <row r="63" spans="1:7" x14ac:dyDescent="0.35">
      <c r="A63" t="s">
        <v>338</v>
      </c>
      <c r="B63">
        <v>2022</v>
      </c>
      <c r="C63" s="26">
        <v>5.1113500000000002E-4</v>
      </c>
      <c r="D63" s="26">
        <v>5.1113500000000002E-4</v>
      </c>
      <c r="E63" s="26">
        <v>5.1113500000000002E-4</v>
      </c>
      <c r="F63" s="26">
        <v>5.1113500000000002E-4</v>
      </c>
      <c r="G63" s="26">
        <v>5.1113500000000002E-4</v>
      </c>
    </row>
    <row r="64" spans="1:7" x14ac:dyDescent="0.35">
      <c r="A64" t="s">
        <v>338</v>
      </c>
      <c r="B64">
        <v>2023</v>
      </c>
      <c r="C64" s="26">
        <v>7.5173000000000004E-4</v>
      </c>
      <c r="D64" s="26">
        <v>7.5173000000000004E-4</v>
      </c>
      <c r="E64" s="26">
        <v>7.5173000000000004E-4</v>
      </c>
      <c r="F64" s="26">
        <v>7.5173000000000004E-4</v>
      </c>
      <c r="G64" s="26">
        <v>7.5173000000000004E-4</v>
      </c>
    </row>
    <row r="65" spans="1:7" x14ac:dyDescent="0.35">
      <c r="A65" t="s">
        <v>338</v>
      </c>
      <c r="B65">
        <v>2024</v>
      </c>
      <c r="C65" s="26">
        <v>9.8721599999999996E-4</v>
      </c>
      <c r="D65" s="26">
        <v>9.8721599999999996E-4</v>
      </c>
      <c r="E65" s="26">
        <v>9.8721599999999996E-4</v>
      </c>
      <c r="F65" s="26">
        <v>2.2232290000000002E-3</v>
      </c>
      <c r="G65" s="26">
        <v>2.2232290000000002E-3</v>
      </c>
    </row>
    <row r="66" spans="1:7" x14ac:dyDescent="0.35">
      <c r="A66" t="s">
        <v>338</v>
      </c>
      <c r="B66">
        <v>2025</v>
      </c>
      <c r="C66" s="26">
        <v>1.2173970000000001E-3</v>
      </c>
      <c r="D66" s="26">
        <v>1.2173970000000001E-3</v>
      </c>
      <c r="E66" s="26">
        <v>1.2173970000000001E-3</v>
      </c>
      <c r="F66" s="26">
        <v>6.3453590000000001E-3</v>
      </c>
      <c r="G66" s="26">
        <v>6.3453590000000001E-3</v>
      </c>
    </row>
    <row r="67" spans="1:7" x14ac:dyDescent="0.35">
      <c r="A67" t="s">
        <v>338</v>
      </c>
      <c r="B67">
        <v>2026</v>
      </c>
      <c r="C67" s="26">
        <v>1.4441510000000001E-3</v>
      </c>
      <c r="D67" s="26">
        <v>1.4441510000000001E-3</v>
      </c>
      <c r="E67" s="26">
        <v>1.4441510000000001E-3</v>
      </c>
      <c r="F67" s="26">
        <v>1.1845461999999999E-2</v>
      </c>
      <c r="G67" s="26">
        <v>1.1845461999999999E-2</v>
      </c>
    </row>
    <row r="68" spans="1:7" x14ac:dyDescent="0.35">
      <c r="A68" t="s">
        <v>338</v>
      </c>
      <c r="B68">
        <v>2027</v>
      </c>
      <c r="C68" s="26">
        <v>1.664706E-3</v>
      </c>
      <c r="D68" s="26">
        <v>1.664706E-3</v>
      </c>
      <c r="E68" s="26">
        <v>1.664706E-3</v>
      </c>
      <c r="F68" s="26">
        <v>1.9948430999999999E-2</v>
      </c>
      <c r="G68" s="26">
        <v>1.9948430999999999E-2</v>
      </c>
    </row>
    <row r="69" spans="1:7" x14ac:dyDescent="0.35">
      <c r="A69" t="s">
        <v>338</v>
      </c>
      <c r="B69">
        <v>2028</v>
      </c>
      <c r="C69" s="26">
        <v>1.879225E-3</v>
      </c>
      <c r="D69" s="26">
        <v>1.879225E-3</v>
      </c>
      <c r="E69" s="26">
        <v>1.879225E-3</v>
      </c>
      <c r="F69" s="26">
        <v>3.1568299000000001E-2</v>
      </c>
      <c r="G69" s="26">
        <v>3.1568299000000001E-2</v>
      </c>
    </row>
    <row r="70" spans="1:7" x14ac:dyDescent="0.35">
      <c r="A70" t="s">
        <v>338</v>
      </c>
      <c r="B70">
        <v>2029</v>
      </c>
      <c r="C70" s="26">
        <v>2.0915529999999999E-3</v>
      </c>
      <c r="D70" s="26">
        <v>2.0915529999999999E-3</v>
      </c>
      <c r="E70" s="26">
        <v>2.0915529999999999E-3</v>
      </c>
      <c r="F70" s="26">
        <v>4.6924004999999998E-2</v>
      </c>
      <c r="G70" s="26">
        <v>4.6924004999999998E-2</v>
      </c>
    </row>
    <row r="71" spans="1:7" x14ac:dyDescent="0.35">
      <c r="A71" t="s">
        <v>338</v>
      </c>
      <c r="B71">
        <v>2030</v>
      </c>
      <c r="C71" s="26">
        <v>2.3018520000000001E-3</v>
      </c>
      <c r="D71" s="26">
        <v>2.3018520000000001E-3</v>
      </c>
      <c r="E71" s="26">
        <v>2.3018520000000001E-3</v>
      </c>
      <c r="F71" s="26">
        <v>6.5785700000000003E-2</v>
      </c>
      <c r="G71" s="26">
        <v>6.5785700000000003E-2</v>
      </c>
    </row>
    <row r="72" spans="1:7" x14ac:dyDescent="0.35">
      <c r="A72" t="s">
        <v>338</v>
      </c>
      <c r="B72">
        <v>2031</v>
      </c>
      <c r="C72" s="26">
        <v>2.5109339999999998E-3</v>
      </c>
      <c r="D72" s="26">
        <v>2.5109339999999998E-3</v>
      </c>
      <c r="E72" s="26">
        <v>2.5109339999999998E-3</v>
      </c>
      <c r="F72" s="26">
        <v>8.8363822999999994E-2</v>
      </c>
      <c r="G72" s="26">
        <v>8.8363822999999994E-2</v>
      </c>
    </row>
    <row r="73" spans="1:7" x14ac:dyDescent="0.35">
      <c r="A73" t="s">
        <v>338</v>
      </c>
      <c r="B73">
        <v>2032</v>
      </c>
      <c r="C73" s="26">
        <v>2.7175649999999999E-3</v>
      </c>
      <c r="D73" s="26">
        <v>2.7175649999999999E-3</v>
      </c>
      <c r="E73" s="26">
        <v>2.7175649999999999E-3</v>
      </c>
      <c r="F73" s="26">
        <v>0.112572854</v>
      </c>
      <c r="G73" s="26">
        <v>0.112572854</v>
      </c>
    </row>
    <row r="74" spans="1:7" x14ac:dyDescent="0.35">
      <c r="A74" t="s">
        <v>338</v>
      </c>
      <c r="B74">
        <v>2033</v>
      </c>
      <c r="C74" s="26">
        <v>2.927851E-3</v>
      </c>
      <c r="D74" s="26">
        <v>2.927851E-3</v>
      </c>
      <c r="E74" s="26">
        <v>2.927851E-3</v>
      </c>
      <c r="F74" s="26">
        <v>0.13861931199999999</v>
      </c>
      <c r="G74" s="26">
        <v>0.13861931199999999</v>
      </c>
    </row>
    <row r="75" spans="1:7" x14ac:dyDescent="0.35">
      <c r="A75" t="s">
        <v>338</v>
      </c>
      <c r="B75">
        <v>2034</v>
      </c>
      <c r="C75" s="26">
        <v>3.1403939999999999E-3</v>
      </c>
      <c r="D75" s="26">
        <v>3.1403939999999999E-3</v>
      </c>
      <c r="E75" s="26">
        <v>3.1403939999999999E-3</v>
      </c>
      <c r="F75" s="26">
        <v>0.16646481900000001</v>
      </c>
      <c r="G75" s="26">
        <v>0.16646481900000001</v>
      </c>
    </row>
    <row r="76" spans="1:7" x14ac:dyDescent="0.35">
      <c r="A76" t="s">
        <v>338</v>
      </c>
      <c r="B76">
        <v>2035</v>
      </c>
      <c r="C76" s="26">
        <v>3.3537770000000001E-3</v>
      </c>
      <c r="D76" s="26">
        <v>3.3537770000000001E-3</v>
      </c>
      <c r="E76" s="26">
        <v>3.3537770000000001E-3</v>
      </c>
      <c r="F76" s="26">
        <v>0.19560739399999999</v>
      </c>
      <c r="G76" s="26">
        <v>0.19560739399999999</v>
      </c>
    </row>
    <row r="77" spans="1:7" x14ac:dyDescent="0.35">
      <c r="A77" t="s">
        <v>338</v>
      </c>
      <c r="B77">
        <v>2036</v>
      </c>
      <c r="C77" s="26">
        <v>3.5669400000000002E-3</v>
      </c>
      <c r="D77" s="26">
        <v>3.5669400000000002E-3</v>
      </c>
      <c r="E77" s="26">
        <v>3.5669400000000002E-3</v>
      </c>
      <c r="F77" s="26">
        <v>0.224213724</v>
      </c>
      <c r="G77" s="26">
        <v>0.224213724</v>
      </c>
    </row>
    <row r="78" spans="1:7" x14ac:dyDescent="0.35">
      <c r="A78" t="s">
        <v>338</v>
      </c>
      <c r="B78">
        <v>2037</v>
      </c>
      <c r="C78" s="26">
        <v>3.7814290000000002E-3</v>
      </c>
      <c r="D78" s="26">
        <v>3.7814290000000002E-3</v>
      </c>
      <c r="E78" s="26">
        <v>3.7814290000000002E-3</v>
      </c>
      <c r="F78" s="26">
        <v>0.251758013</v>
      </c>
      <c r="G78" s="26">
        <v>0.251758013</v>
      </c>
    </row>
    <row r="79" spans="1:7" x14ac:dyDescent="0.35">
      <c r="A79" t="s">
        <v>338</v>
      </c>
      <c r="B79">
        <v>2038</v>
      </c>
      <c r="C79" s="26">
        <v>3.9981180000000002E-3</v>
      </c>
      <c r="D79" s="26">
        <v>3.9981180000000002E-3</v>
      </c>
      <c r="E79" s="26">
        <v>3.9981180000000002E-3</v>
      </c>
      <c r="F79" s="26">
        <v>0.27830375000000002</v>
      </c>
      <c r="G79" s="26">
        <v>0.27830375000000002</v>
      </c>
    </row>
    <row r="80" spans="1:7" x14ac:dyDescent="0.35">
      <c r="A80" t="s">
        <v>338</v>
      </c>
      <c r="B80">
        <v>2039</v>
      </c>
      <c r="C80" s="26">
        <v>4.2198260000000003E-3</v>
      </c>
      <c r="D80" s="26">
        <v>4.2198260000000003E-3</v>
      </c>
      <c r="E80" s="26">
        <v>4.2198260000000003E-3</v>
      </c>
      <c r="F80" s="26">
        <v>0.30357849199999998</v>
      </c>
      <c r="G80" s="26">
        <v>0.30357849199999998</v>
      </c>
    </row>
    <row r="81" spans="1:7" x14ac:dyDescent="0.35">
      <c r="A81" t="s">
        <v>338</v>
      </c>
      <c r="B81">
        <v>2040</v>
      </c>
      <c r="C81" s="26">
        <v>4.448624E-3</v>
      </c>
      <c r="D81" s="26">
        <v>4.448624E-3</v>
      </c>
      <c r="E81" s="26">
        <v>4.448624E-3</v>
      </c>
      <c r="F81" s="26">
        <v>0.32763684900000001</v>
      </c>
      <c r="G81" s="26">
        <v>0.32763684900000001</v>
      </c>
    </row>
    <row r="82" spans="1:7" x14ac:dyDescent="0.35">
      <c r="A82" t="s">
        <v>338</v>
      </c>
      <c r="B82">
        <v>2041</v>
      </c>
      <c r="C82" s="26">
        <v>4.678415E-3</v>
      </c>
      <c r="D82" s="26">
        <v>4.678415E-3</v>
      </c>
      <c r="E82" s="26">
        <v>4.678415E-3</v>
      </c>
      <c r="F82" s="26">
        <v>0.35042086</v>
      </c>
      <c r="G82" s="26">
        <v>0.35042086</v>
      </c>
    </row>
    <row r="83" spans="1:7" x14ac:dyDescent="0.35">
      <c r="A83" t="s">
        <v>338</v>
      </c>
      <c r="B83">
        <v>2042</v>
      </c>
      <c r="C83" s="26">
        <v>4.910925E-3</v>
      </c>
      <c r="D83" s="26">
        <v>4.910925E-3</v>
      </c>
      <c r="E83" s="26">
        <v>4.910925E-3</v>
      </c>
      <c r="F83" s="26">
        <v>0.371888357</v>
      </c>
      <c r="G83" s="26">
        <v>0.371888357</v>
      </c>
    </row>
    <row r="84" spans="1:7" x14ac:dyDescent="0.35">
      <c r="A84" t="s">
        <v>338</v>
      </c>
      <c r="B84">
        <v>2043</v>
      </c>
      <c r="C84" s="26">
        <v>5.1371760000000002E-3</v>
      </c>
      <c r="D84" s="26">
        <v>5.1371760000000002E-3</v>
      </c>
      <c r="E84" s="26">
        <v>5.1371760000000002E-3</v>
      </c>
      <c r="F84" s="26">
        <v>0.39163393099999999</v>
      </c>
      <c r="G84" s="26">
        <v>0.39163393099999999</v>
      </c>
    </row>
    <row r="85" spans="1:7" x14ac:dyDescent="0.35">
      <c r="A85" t="s">
        <v>338</v>
      </c>
      <c r="B85">
        <v>2044</v>
      </c>
      <c r="C85" s="26">
        <v>5.3573889999999997E-3</v>
      </c>
      <c r="D85" s="26">
        <v>5.3573889999999997E-3</v>
      </c>
      <c r="E85" s="26">
        <v>5.3573889999999997E-3</v>
      </c>
      <c r="F85" s="26">
        <v>0.41053531700000001</v>
      </c>
      <c r="G85" s="26">
        <v>0.41053531700000001</v>
      </c>
    </row>
    <row r="86" spans="1:7" x14ac:dyDescent="0.35">
      <c r="A86" t="s">
        <v>338</v>
      </c>
      <c r="B86">
        <v>2045</v>
      </c>
      <c r="C86" s="26">
        <v>5.5812450000000003E-3</v>
      </c>
      <c r="D86" s="26">
        <v>5.5812450000000003E-3</v>
      </c>
      <c r="E86" s="26">
        <v>5.5812450000000003E-3</v>
      </c>
      <c r="F86" s="26">
        <v>0.427685765</v>
      </c>
      <c r="G86" s="26">
        <v>0.427685765</v>
      </c>
    </row>
    <row r="87" spans="1:7" x14ac:dyDescent="0.35">
      <c r="A87" t="s">
        <v>338</v>
      </c>
      <c r="B87">
        <v>2046</v>
      </c>
      <c r="C87" s="26">
        <v>5.811709E-3</v>
      </c>
      <c r="D87" s="26">
        <v>5.811709E-3</v>
      </c>
      <c r="E87" s="26">
        <v>5.811709E-3</v>
      </c>
      <c r="F87" s="26">
        <v>0.443591191</v>
      </c>
      <c r="G87" s="26">
        <v>0.443591191</v>
      </c>
    </row>
    <row r="88" spans="1:7" x14ac:dyDescent="0.35">
      <c r="A88" t="s">
        <v>338</v>
      </c>
      <c r="B88">
        <v>2047</v>
      </c>
      <c r="C88" s="26">
        <v>6.0421320000000004E-3</v>
      </c>
      <c r="D88" s="26">
        <v>6.0421320000000004E-3</v>
      </c>
      <c r="E88" s="26">
        <v>6.0421320000000004E-3</v>
      </c>
      <c r="F88" s="26">
        <v>0.45792830099999998</v>
      </c>
      <c r="G88" s="26">
        <v>0.45792830099999998</v>
      </c>
    </row>
    <row r="89" spans="1:7" x14ac:dyDescent="0.35">
      <c r="A89" t="s">
        <v>338</v>
      </c>
      <c r="B89">
        <v>2048</v>
      </c>
      <c r="C89" s="26">
        <v>6.2732539999999998E-3</v>
      </c>
      <c r="D89" s="26">
        <v>6.2732539999999998E-3</v>
      </c>
      <c r="E89" s="26">
        <v>6.2732539999999998E-3</v>
      </c>
      <c r="F89" s="26">
        <v>0.47101606299999998</v>
      </c>
      <c r="G89" s="26">
        <v>0.47101606299999998</v>
      </c>
    </row>
    <row r="90" spans="1:7" x14ac:dyDescent="0.35">
      <c r="A90" t="s">
        <v>338</v>
      </c>
      <c r="B90">
        <v>2049</v>
      </c>
      <c r="C90" s="26">
        <v>6.5150909999999998E-3</v>
      </c>
      <c r="D90" s="26">
        <v>6.5150909999999998E-3</v>
      </c>
      <c r="E90" s="26">
        <v>6.5150909999999998E-3</v>
      </c>
      <c r="F90" s="26">
        <v>0.48289326799999999</v>
      </c>
      <c r="G90" s="26">
        <v>0.48289326799999999</v>
      </c>
    </row>
    <row r="91" spans="1:7" x14ac:dyDescent="0.35">
      <c r="A91" t="s">
        <v>338</v>
      </c>
      <c r="B91">
        <v>2050</v>
      </c>
      <c r="C91" s="26">
        <v>6.767019E-3</v>
      </c>
      <c r="D91" s="26">
        <v>6.767019E-3</v>
      </c>
      <c r="E91" s="26">
        <v>6.767019E-3</v>
      </c>
      <c r="F91" s="26">
        <v>0.49398055200000002</v>
      </c>
      <c r="G91" s="26">
        <v>0.49398055200000002</v>
      </c>
    </row>
    <row r="92" spans="1:7" x14ac:dyDescent="0.35">
      <c r="A92" t="s">
        <v>192</v>
      </c>
      <c r="B92">
        <v>2021</v>
      </c>
      <c r="C92" s="26">
        <v>1.2819571E-2</v>
      </c>
      <c r="D92" s="26">
        <v>1.2819571E-2</v>
      </c>
      <c r="E92" s="26">
        <v>1.2819571E-2</v>
      </c>
      <c r="F92" s="26">
        <v>1.2819571E-2</v>
      </c>
      <c r="G92" s="26">
        <v>1.2819571E-2</v>
      </c>
    </row>
    <row r="93" spans="1:7" x14ac:dyDescent="0.35">
      <c r="A93" t="s">
        <v>192</v>
      </c>
      <c r="B93">
        <v>2022</v>
      </c>
      <c r="C93" s="26">
        <v>1.4978317E-2</v>
      </c>
      <c r="D93" s="26">
        <v>3.2432076999999997E-2</v>
      </c>
      <c r="E93" s="26">
        <v>2.3705197000000001E-2</v>
      </c>
      <c r="F93" s="26">
        <v>2.3705197000000001E-2</v>
      </c>
      <c r="G93" s="26">
        <v>3.2432076999999997E-2</v>
      </c>
    </row>
    <row r="94" spans="1:7" x14ac:dyDescent="0.35">
      <c r="A94" t="s">
        <v>192</v>
      </c>
      <c r="B94">
        <v>2023</v>
      </c>
      <c r="C94" s="26">
        <v>1.7291666000000001E-2</v>
      </c>
      <c r="D94" s="26">
        <v>5.2044582999999998E-2</v>
      </c>
      <c r="E94" s="26">
        <v>3.4668124000000002E-2</v>
      </c>
      <c r="F94" s="26">
        <v>3.4668124000000002E-2</v>
      </c>
      <c r="G94" s="26">
        <v>5.2044582999999998E-2</v>
      </c>
    </row>
    <row r="95" spans="1:7" x14ac:dyDescent="0.35">
      <c r="A95" t="s">
        <v>192</v>
      </c>
      <c r="B95">
        <v>2024</v>
      </c>
      <c r="C95" s="26">
        <v>1.9724051999999999E-2</v>
      </c>
      <c r="D95" s="26">
        <v>7.1657088999999993E-2</v>
      </c>
      <c r="E95" s="26">
        <v>4.5690570999999999E-2</v>
      </c>
      <c r="F95" s="26">
        <v>4.5690570999999999E-2</v>
      </c>
      <c r="G95" s="26">
        <v>7.1657088999999993E-2</v>
      </c>
    </row>
    <row r="96" spans="1:7" x14ac:dyDescent="0.35">
      <c r="A96" t="s">
        <v>192</v>
      </c>
      <c r="B96">
        <v>2025</v>
      </c>
      <c r="C96" s="26">
        <v>2.2165526000000001E-2</v>
      </c>
      <c r="D96" s="26">
        <v>9.1269594999999995E-2</v>
      </c>
      <c r="E96" s="26">
        <v>5.671756E-2</v>
      </c>
      <c r="F96" s="26">
        <v>5.671756E-2</v>
      </c>
      <c r="G96" s="26">
        <v>9.1269594999999995E-2</v>
      </c>
    </row>
    <row r="97" spans="1:7" x14ac:dyDescent="0.35">
      <c r="A97" t="s">
        <v>192</v>
      </c>
      <c r="B97">
        <v>2026</v>
      </c>
      <c r="C97" s="26">
        <v>2.4657855999999999E-2</v>
      </c>
      <c r="D97" s="26">
        <v>0.12079788800000001</v>
      </c>
      <c r="E97" s="26">
        <v>7.2727871999999999E-2</v>
      </c>
      <c r="F97" s="26">
        <v>7.2727871999999999E-2</v>
      </c>
      <c r="G97" s="26">
        <v>0.12079788800000001</v>
      </c>
    </row>
    <row r="98" spans="1:7" x14ac:dyDescent="0.35">
      <c r="A98" t="s">
        <v>192</v>
      </c>
      <c r="B98">
        <v>2027</v>
      </c>
      <c r="C98" s="26">
        <v>2.7184686999999999E-2</v>
      </c>
      <c r="D98" s="26">
        <v>0.151904497</v>
      </c>
      <c r="E98" s="26">
        <v>8.9544592000000006E-2</v>
      </c>
      <c r="F98" s="26">
        <v>8.9544592000000006E-2</v>
      </c>
      <c r="G98" s="26">
        <v>0.151904497</v>
      </c>
    </row>
    <row r="99" spans="1:7" x14ac:dyDescent="0.35">
      <c r="A99" t="s">
        <v>192</v>
      </c>
      <c r="B99">
        <v>2028</v>
      </c>
      <c r="C99" s="26">
        <v>2.9742540000000001E-2</v>
      </c>
      <c r="D99" s="26">
        <v>0.18432768499999999</v>
      </c>
      <c r="E99" s="26">
        <v>0.107035112</v>
      </c>
      <c r="F99" s="26">
        <v>0.107035112</v>
      </c>
      <c r="G99" s="26">
        <v>0.18432768499999999</v>
      </c>
    </row>
    <row r="100" spans="1:7" x14ac:dyDescent="0.35">
      <c r="A100" t="s">
        <v>192</v>
      </c>
      <c r="B100">
        <v>2029</v>
      </c>
      <c r="C100" s="26">
        <v>3.2380491999999997E-2</v>
      </c>
      <c r="D100" s="26">
        <v>0.22622346600000001</v>
      </c>
      <c r="E100" s="26">
        <v>0.12930197900000001</v>
      </c>
      <c r="F100" s="26">
        <v>0.12930197900000001</v>
      </c>
      <c r="G100" s="26">
        <v>0.22622346600000001</v>
      </c>
    </row>
    <row r="101" spans="1:7" x14ac:dyDescent="0.35">
      <c r="A101" t="s">
        <v>192</v>
      </c>
      <c r="B101">
        <v>2030</v>
      </c>
      <c r="C101" s="26">
        <v>3.5179580000000002E-2</v>
      </c>
      <c r="D101" s="26">
        <v>0.27353129100000001</v>
      </c>
      <c r="E101" s="26">
        <v>0.15435543600000001</v>
      </c>
      <c r="F101" s="26">
        <v>0.15435543600000001</v>
      </c>
      <c r="G101" s="26">
        <v>0.27353129100000001</v>
      </c>
    </row>
    <row r="102" spans="1:7" x14ac:dyDescent="0.35">
      <c r="A102" t="s">
        <v>192</v>
      </c>
      <c r="B102">
        <v>2031</v>
      </c>
      <c r="C102" s="26">
        <v>3.8168565000000002E-2</v>
      </c>
      <c r="D102" s="26">
        <v>0.32771400000000001</v>
      </c>
      <c r="E102" s="26">
        <v>0.18294128300000001</v>
      </c>
      <c r="F102" s="26">
        <v>0.18294128300000001</v>
      </c>
      <c r="G102" s="26">
        <v>0.32771400000000001</v>
      </c>
    </row>
    <row r="103" spans="1:7" x14ac:dyDescent="0.35">
      <c r="A103" t="s">
        <v>192</v>
      </c>
      <c r="B103">
        <v>2032</v>
      </c>
      <c r="C103" s="26">
        <v>4.1333373999999999E-2</v>
      </c>
      <c r="D103" s="26">
        <v>0.38171043300000002</v>
      </c>
      <c r="E103" s="26">
        <v>0.21152190400000001</v>
      </c>
      <c r="F103" s="26">
        <v>0.21152190400000001</v>
      </c>
      <c r="G103" s="26">
        <v>0.38171043300000002</v>
      </c>
    </row>
    <row r="104" spans="1:7" x14ac:dyDescent="0.35">
      <c r="A104" t="s">
        <v>192</v>
      </c>
      <c r="B104">
        <v>2033</v>
      </c>
      <c r="C104" s="26">
        <v>4.4657994999999999E-2</v>
      </c>
      <c r="D104" s="26">
        <v>0.43484204300000001</v>
      </c>
      <c r="E104" s="26">
        <v>0.23975001900000001</v>
      </c>
      <c r="F104" s="26">
        <v>0.23975001900000001</v>
      </c>
      <c r="G104" s="26">
        <v>0.43484204300000001</v>
      </c>
    </row>
    <row r="105" spans="1:7" x14ac:dyDescent="0.35">
      <c r="A105" t="s">
        <v>192</v>
      </c>
      <c r="B105">
        <v>2034</v>
      </c>
      <c r="C105" s="26">
        <v>4.8126879999999997E-2</v>
      </c>
      <c r="D105" s="26">
        <v>0.48654755500000002</v>
      </c>
      <c r="E105" s="26">
        <v>0.26733721799999999</v>
      </c>
      <c r="F105" s="26">
        <v>0.26733721799999999</v>
      </c>
      <c r="G105" s="26">
        <v>0.48654755500000002</v>
      </c>
    </row>
    <row r="106" spans="1:7" x14ac:dyDescent="0.35">
      <c r="A106" t="s">
        <v>192</v>
      </c>
      <c r="B106">
        <v>2035</v>
      </c>
      <c r="C106" s="26">
        <v>5.1706859000000001E-2</v>
      </c>
      <c r="D106" s="26">
        <v>0.53597180700000002</v>
      </c>
      <c r="E106" s="26">
        <v>0.29383933299999998</v>
      </c>
      <c r="F106" s="26">
        <v>0.29383933299999998</v>
      </c>
      <c r="G106" s="26">
        <v>0.53597180700000002</v>
      </c>
    </row>
    <row r="107" spans="1:7" x14ac:dyDescent="0.35">
      <c r="A107" t="s">
        <v>192</v>
      </c>
      <c r="B107">
        <v>2036</v>
      </c>
      <c r="C107" s="26">
        <v>5.5368675999999999E-2</v>
      </c>
      <c r="D107" s="26">
        <v>0.58298080299999999</v>
      </c>
      <c r="E107" s="26">
        <v>0.31917473899999999</v>
      </c>
      <c r="F107" s="26">
        <v>0.31917473899999999</v>
      </c>
      <c r="G107" s="26">
        <v>0.58298080299999999</v>
      </c>
    </row>
    <row r="108" spans="1:7" x14ac:dyDescent="0.35">
      <c r="A108" t="s">
        <v>192</v>
      </c>
      <c r="B108">
        <v>2037</v>
      </c>
      <c r="C108" s="26">
        <v>5.9080055999999999E-2</v>
      </c>
      <c r="D108" s="26">
        <v>0.62722744100000005</v>
      </c>
      <c r="E108" s="26">
        <v>0.34315374799999998</v>
      </c>
      <c r="F108" s="26">
        <v>0.34315374799999998</v>
      </c>
      <c r="G108" s="26">
        <v>0.62722744100000005</v>
      </c>
    </row>
    <row r="109" spans="1:7" x14ac:dyDescent="0.35">
      <c r="A109" t="s">
        <v>192</v>
      </c>
      <c r="B109">
        <v>2038</v>
      </c>
      <c r="C109" s="26">
        <v>6.2828703E-2</v>
      </c>
      <c r="D109" s="26">
        <v>0.66866269899999997</v>
      </c>
      <c r="E109" s="26">
        <v>0.36574570099999998</v>
      </c>
      <c r="F109" s="26">
        <v>0.36574570099999998</v>
      </c>
      <c r="G109" s="26">
        <v>0.66866269899999997</v>
      </c>
    </row>
    <row r="110" spans="1:7" x14ac:dyDescent="0.35">
      <c r="A110" t="s">
        <v>192</v>
      </c>
      <c r="B110">
        <v>2039</v>
      </c>
      <c r="C110" s="26">
        <v>6.6573137000000004E-2</v>
      </c>
      <c r="D110" s="26">
        <v>0.70719917499999996</v>
      </c>
      <c r="E110" s="26">
        <v>0.38688615599999998</v>
      </c>
      <c r="F110" s="26">
        <v>0.38688615599999998</v>
      </c>
      <c r="G110" s="26">
        <v>0.70719917499999996</v>
      </c>
    </row>
    <row r="111" spans="1:7" x14ac:dyDescent="0.35">
      <c r="A111" t="s">
        <v>192</v>
      </c>
      <c r="B111">
        <v>2040</v>
      </c>
      <c r="C111" s="26">
        <v>7.0318973000000007E-2</v>
      </c>
      <c r="D111" s="26">
        <v>0.74286130100000003</v>
      </c>
      <c r="E111" s="26">
        <v>0.40659013700000002</v>
      </c>
      <c r="F111" s="26">
        <v>0.40659013700000002</v>
      </c>
      <c r="G111" s="26">
        <v>0.74286130100000003</v>
      </c>
    </row>
    <row r="112" spans="1:7" x14ac:dyDescent="0.35">
      <c r="A112" t="s">
        <v>192</v>
      </c>
      <c r="B112">
        <v>2041</v>
      </c>
      <c r="C112" s="26">
        <v>7.4044963000000005E-2</v>
      </c>
      <c r="D112" s="26">
        <v>0.77541419899999997</v>
      </c>
      <c r="E112" s="26">
        <v>0.42472958100000002</v>
      </c>
      <c r="F112" s="26">
        <v>0.42472958100000002</v>
      </c>
      <c r="G112" s="26">
        <v>0.77541419899999997</v>
      </c>
    </row>
    <row r="113" spans="1:7" x14ac:dyDescent="0.35">
      <c r="A113" t="s">
        <v>192</v>
      </c>
      <c r="B113">
        <v>2042</v>
      </c>
      <c r="C113" s="26">
        <v>7.7742975000000006E-2</v>
      </c>
      <c r="D113" s="26">
        <v>0.80508984299999997</v>
      </c>
      <c r="E113" s="26">
        <v>0.44141640900000001</v>
      </c>
      <c r="F113" s="26">
        <v>0.44141640900000001</v>
      </c>
      <c r="G113" s="26">
        <v>0.80508984299999997</v>
      </c>
    </row>
    <row r="114" spans="1:7" x14ac:dyDescent="0.35">
      <c r="A114" t="s">
        <v>192</v>
      </c>
      <c r="B114">
        <v>2043</v>
      </c>
      <c r="C114" s="26">
        <v>8.1487271E-2</v>
      </c>
      <c r="D114" s="26">
        <v>0.83183468400000005</v>
      </c>
      <c r="E114" s="26">
        <v>0.456660978</v>
      </c>
      <c r="F114" s="26">
        <v>0.456660978</v>
      </c>
      <c r="G114" s="26">
        <v>0.83183468400000005</v>
      </c>
    </row>
    <row r="115" spans="1:7" x14ac:dyDescent="0.35">
      <c r="A115" t="s">
        <v>192</v>
      </c>
      <c r="B115">
        <v>2044</v>
      </c>
      <c r="C115" s="26">
        <v>8.5272758000000004E-2</v>
      </c>
      <c r="D115" s="26">
        <v>0.85566570900000005</v>
      </c>
      <c r="E115" s="26">
        <v>0.47046923400000001</v>
      </c>
      <c r="F115" s="26">
        <v>0.47046923400000001</v>
      </c>
      <c r="G115" s="26">
        <v>0.85566570900000005</v>
      </c>
    </row>
    <row r="116" spans="1:7" x14ac:dyDescent="0.35">
      <c r="A116" t="s">
        <v>192</v>
      </c>
      <c r="B116">
        <v>2045</v>
      </c>
      <c r="C116" s="26">
        <v>8.9111153999999998E-2</v>
      </c>
      <c r="D116" s="26">
        <v>0.87680356800000003</v>
      </c>
      <c r="E116" s="26">
        <v>0.48295736099999997</v>
      </c>
      <c r="F116" s="26">
        <v>0.48295736099999997</v>
      </c>
      <c r="G116" s="26">
        <v>0.87680356800000003</v>
      </c>
    </row>
    <row r="117" spans="1:7" x14ac:dyDescent="0.35">
      <c r="A117" t="s">
        <v>192</v>
      </c>
      <c r="B117">
        <v>2046</v>
      </c>
      <c r="C117" s="26">
        <v>9.3001159E-2</v>
      </c>
      <c r="D117" s="26">
        <v>0.89522190400000001</v>
      </c>
      <c r="E117" s="26">
        <v>0.49411153099999999</v>
      </c>
      <c r="F117" s="26">
        <v>0.49411153099999999</v>
      </c>
      <c r="G117" s="26">
        <v>0.89522190400000001</v>
      </c>
    </row>
    <row r="118" spans="1:7" x14ac:dyDescent="0.35">
      <c r="A118" t="s">
        <v>192</v>
      </c>
      <c r="B118">
        <v>2047</v>
      </c>
      <c r="C118" s="26">
        <v>9.6893360999999997E-2</v>
      </c>
      <c r="D118" s="26">
        <v>0.91109814099999997</v>
      </c>
      <c r="E118" s="26">
        <v>0.50399575100000005</v>
      </c>
      <c r="F118" s="26">
        <v>0.50399575100000005</v>
      </c>
      <c r="G118" s="26">
        <v>0.91109814099999997</v>
      </c>
    </row>
    <row r="119" spans="1:7" x14ac:dyDescent="0.35">
      <c r="A119" t="s">
        <v>192</v>
      </c>
      <c r="B119">
        <v>2048</v>
      </c>
      <c r="C119" s="26">
        <v>0.100758687</v>
      </c>
      <c r="D119" s="26">
        <v>0.92468582899999996</v>
      </c>
      <c r="E119" s="26">
        <v>0.51272225800000004</v>
      </c>
      <c r="F119" s="26">
        <v>0.51272225800000004</v>
      </c>
      <c r="G119" s="26">
        <v>0.92468582899999996</v>
      </c>
    </row>
    <row r="120" spans="1:7" x14ac:dyDescent="0.35">
      <c r="A120" t="s">
        <v>192</v>
      </c>
      <c r="B120">
        <v>2049</v>
      </c>
      <c r="C120" s="26">
        <v>0.104609438</v>
      </c>
      <c r="D120" s="26">
        <v>0.93609858000000001</v>
      </c>
      <c r="E120" s="26">
        <v>0.52035400899999995</v>
      </c>
      <c r="F120" s="26">
        <v>0.52035400899999995</v>
      </c>
      <c r="G120" s="26">
        <v>0.93609858000000001</v>
      </c>
    </row>
    <row r="121" spans="1:7" x14ac:dyDescent="0.35">
      <c r="A121" t="s">
        <v>192</v>
      </c>
      <c r="B121">
        <v>2050</v>
      </c>
      <c r="C121" s="26">
        <v>0.108448247</v>
      </c>
      <c r="D121" s="26">
        <v>0.94575257999999995</v>
      </c>
      <c r="E121" s="26">
        <v>0.52710000000000001</v>
      </c>
      <c r="F121" s="26">
        <v>0.52710041399999996</v>
      </c>
      <c r="G121" s="26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1">
        <v>1506.0564783587499</v>
      </c>
      <c r="C2" s="21">
        <v>1582.5116758178201</v>
      </c>
      <c r="D2" s="21">
        <v>850.593849448794</v>
      </c>
      <c r="E2" s="21">
        <v>850.593849448794</v>
      </c>
    </row>
    <row r="3" spans="1:5" x14ac:dyDescent="0.35">
      <c r="A3">
        <v>2020</v>
      </c>
      <c r="B3" s="21">
        <v>1506.0564783587499</v>
      </c>
      <c r="C3" s="21">
        <v>1582.5116758178201</v>
      </c>
      <c r="D3" s="21">
        <v>850.593849448794</v>
      </c>
      <c r="E3" s="21">
        <v>850.593849448794</v>
      </c>
    </row>
    <row r="4" spans="1:5" x14ac:dyDescent="0.35">
      <c r="A4">
        <v>2021</v>
      </c>
      <c r="B4" s="21">
        <v>1506.0564783587499</v>
      </c>
      <c r="C4" s="21">
        <v>1582.5116758178201</v>
      </c>
      <c r="D4" s="21">
        <v>850.593849448794</v>
      </c>
      <c r="E4" s="21">
        <v>850.593849448794</v>
      </c>
    </row>
    <row r="5" spans="1:5" x14ac:dyDescent="0.35">
      <c r="A5">
        <v>2022</v>
      </c>
      <c r="B5" s="21">
        <v>1506.0564783587499</v>
      </c>
      <c r="C5" s="21">
        <v>1582.5116758178201</v>
      </c>
      <c r="D5" s="21">
        <v>850.593849448794</v>
      </c>
      <c r="E5" s="21">
        <v>850.593849448794</v>
      </c>
    </row>
    <row r="6" spans="1:5" x14ac:dyDescent="0.35">
      <c r="A6">
        <v>2023</v>
      </c>
      <c r="B6" s="21">
        <v>1506.0564783587499</v>
      </c>
      <c r="C6" s="21">
        <v>1582.5116758178201</v>
      </c>
      <c r="D6" s="21">
        <v>850.593849448794</v>
      </c>
      <c r="E6" s="21">
        <v>850.593849448794</v>
      </c>
    </row>
    <row r="7" spans="1:5" x14ac:dyDescent="0.35">
      <c r="A7">
        <v>2024</v>
      </c>
      <c r="B7" s="21">
        <v>1506.0564783587499</v>
      </c>
      <c r="C7" s="21">
        <v>1582.5116758178201</v>
      </c>
      <c r="D7" s="21">
        <v>850.593849448794</v>
      </c>
      <c r="E7" s="21">
        <v>850.593849448794</v>
      </c>
    </row>
    <row r="8" spans="1:5" x14ac:dyDescent="0.35">
      <c r="A8">
        <v>2025</v>
      </c>
      <c r="B8" s="21">
        <v>1506.0564783587499</v>
      </c>
      <c r="C8" s="21">
        <v>1582.5116758178201</v>
      </c>
      <c r="D8" s="21">
        <v>850.593849448794</v>
      </c>
      <c r="E8" s="21">
        <v>850.593849448794</v>
      </c>
    </row>
    <row r="9" spans="1:5" x14ac:dyDescent="0.35">
      <c r="A9">
        <v>2026</v>
      </c>
      <c r="B9" s="21">
        <v>1506.0564783587499</v>
      </c>
      <c r="C9" s="21">
        <v>1582.5116758178201</v>
      </c>
      <c r="D9" s="21">
        <v>850.593849448794</v>
      </c>
      <c r="E9" s="21">
        <v>850.593849448794</v>
      </c>
    </row>
    <row r="10" spans="1:5" x14ac:dyDescent="0.35">
      <c r="A10">
        <v>2027</v>
      </c>
      <c r="B10" s="21">
        <v>1506.0564783587499</v>
      </c>
      <c r="C10" s="21">
        <v>1582.5116758178201</v>
      </c>
      <c r="D10" s="21">
        <v>850.593849448794</v>
      </c>
      <c r="E10" s="21">
        <v>850.593849448794</v>
      </c>
    </row>
    <row r="11" spans="1:5" x14ac:dyDescent="0.35">
      <c r="A11">
        <v>2028</v>
      </c>
      <c r="B11" s="21">
        <v>1506.0564783587499</v>
      </c>
      <c r="C11" s="21">
        <v>1582.5116758178201</v>
      </c>
      <c r="D11" s="21">
        <v>850.593849448794</v>
      </c>
      <c r="E11" s="21">
        <v>850.593849448794</v>
      </c>
    </row>
    <row r="12" spans="1:5" x14ac:dyDescent="0.35">
      <c r="A12">
        <v>2029</v>
      </c>
      <c r="B12" s="21">
        <v>1506.0564783587499</v>
      </c>
      <c r="C12" s="21">
        <v>1582.5116758178201</v>
      </c>
      <c r="D12" s="21">
        <v>850.593849448794</v>
      </c>
      <c r="E12" s="21">
        <v>850.593849448794</v>
      </c>
    </row>
    <row r="13" spans="1:5" x14ac:dyDescent="0.35">
      <c r="A13">
        <v>2030</v>
      </c>
      <c r="B13" s="21">
        <v>1506.0564783587499</v>
      </c>
      <c r="C13" s="21">
        <v>1582.5116758178201</v>
      </c>
      <c r="D13" s="21">
        <v>850.593849448794</v>
      </c>
      <c r="E13" s="21">
        <v>850.593849448794</v>
      </c>
    </row>
    <row r="14" spans="1:5" x14ac:dyDescent="0.35">
      <c r="A14">
        <v>2031</v>
      </c>
      <c r="B14" s="21">
        <v>1506.0564783587499</v>
      </c>
      <c r="C14" s="21">
        <v>1582.5116758178201</v>
      </c>
      <c r="D14" s="21">
        <v>850.593849448794</v>
      </c>
      <c r="E14" s="21">
        <v>850.593849448794</v>
      </c>
    </row>
    <row r="15" spans="1:5" x14ac:dyDescent="0.35">
      <c r="A15">
        <v>2032</v>
      </c>
      <c r="B15" s="21">
        <v>1506.0564783587499</v>
      </c>
      <c r="C15" s="21">
        <v>1582.5116758178201</v>
      </c>
      <c r="D15" s="21">
        <v>850.593849448794</v>
      </c>
      <c r="E15" s="21">
        <v>850.593849448794</v>
      </c>
    </row>
    <row r="16" spans="1:5" x14ac:dyDescent="0.35">
      <c r="A16">
        <v>2033</v>
      </c>
      <c r="B16" s="21">
        <v>1506.0564783587499</v>
      </c>
      <c r="C16" s="21">
        <v>1582.5116758178201</v>
      </c>
      <c r="D16" s="21">
        <v>850.593849448794</v>
      </c>
      <c r="E16" s="21">
        <v>850.593849448794</v>
      </c>
    </row>
    <row r="17" spans="1:5" x14ac:dyDescent="0.35">
      <c r="A17">
        <v>2034</v>
      </c>
      <c r="B17" s="21">
        <v>1506.0564783587499</v>
      </c>
      <c r="C17" s="21">
        <v>1582.5116758178201</v>
      </c>
      <c r="D17" s="21">
        <v>850.593849448794</v>
      </c>
      <c r="E17" s="21">
        <v>850.593849448794</v>
      </c>
    </row>
    <row r="18" spans="1:5" x14ac:dyDescent="0.35">
      <c r="A18">
        <v>2035</v>
      </c>
      <c r="B18" s="21">
        <v>1506.0564783587499</v>
      </c>
      <c r="C18" s="21">
        <v>1582.5116758178201</v>
      </c>
      <c r="D18" s="21">
        <v>850.593849448794</v>
      </c>
      <c r="E18" s="21">
        <v>850.593849448794</v>
      </c>
    </row>
    <row r="19" spans="1:5" x14ac:dyDescent="0.35">
      <c r="A19">
        <v>2036</v>
      </c>
      <c r="B19" s="21">
        <v>1506.0564783587499</v>
      </c>
      <c r="C19" s="21">
        <v>1582.5116758178201</v>
      </c>
      <c r="D19" s="21">
        <v>850.593849448794</v>
      </c>
      <c r="E19" s="21">
        <v>850.593849448794</v>
      </c>
    </row>
    <row r="20" spans="1:5" x14ac:dyDescent="0.35">
      <c r="A20">
        <v>2037</v>
      </c>
      <c r="B20" s="21">
        <v>1506.0564783587499</v>
      </c>
      <c r="C20" s="21">
        <v>1582.5116758178201</v>
      </c>
      <c r="D20" s="21">
        <v>850.593849448794</v>
      </c>
      <c r="E20" s="21">
        <v>850.593849448794</v>
      </c>
    </row>
    <row r="21" spans="1:5" x14ac:dyDescent="0.35">
      <c r="A21">
        <v>2038</v>
      </c>
      <c r="B21" s="21">
        <v>1506.0564783587499</v>
      </c>
      <c r="C21" s="21">
        <v>1582.5116758178201</v>
      </c>
      <c r="D21" s="21">
        <v>850.593849448794</v>
      </c>
      <c r="E21" s="21">
        <v>850.593849448794</v>
      </c>
    </row>
    <row r="22" spans="1:5" x14ac:dyDescent="0.35">
      <c r="A22">
        <v>2039</v>
      </c>
      <c r="B22" s="21">
        <v>1506.0564783587499</v>
      </c>
      <c r="C22" s="21">
        <v>1582.5116758178201</v>
      </c>
      <c r="D22" s="21">
        <v>850.593849448794</v>
      </c>
      <c r="E22" s="21">
        <v>850.593849448794</v>
      </c>
    </row>
    <row r="23" spans="1:5" x14ac:dyDescent="0.35">
      <c r="A23">
        <v>2040</v>
      </c>
      <c r="B23" s="21">
        <v>1506.0564783587499</v>
      </c>
      <c r="C23" s="21">
        <v>1582.5116758178201</v>
      </c>
      <c r="D23" s="21">
        <v>850.593849448794</v>
      </c>
      <c r="E23" s="21">
        <v>850.593849448794</v>
      </c>
    </row>
    <row r="24" spans="1:5" x14ac:dyDescent="0.35">
      <c r="A24">
        <v>2041</v>
      </c>
      <c r="B24" s="21">
        <v>1506.0564783587499</v>
      </c>
      <c r="C24" s="21">
        <v>1582.5116758178201</v>
      </c>
      <c r="D24" s="21">
        <v>850.593849448794</v>
      </c>
      <c r="E24" s="21">
        <v>850.593849448794</v>
      </c>
    </row>
    <row r="25" spans="1:5" x14ac:dyDescent="0.35">
      <c r="A25">
        <v>2042</v>
      </c>
      <c r="B25" s="21">
        <v>1506.0564783587499</v>
      </c>
      <c r="C25" s="21">
        <v>1582.5116758178201</v>
      </c>
      <c r="D25" s="21">
        <v>850.593849448794</v>
      </c>
      <c r="E25" s="21">
        <v>850.593849448794</v>
      </c>
    </row>
    <row r="26" spans="1:5" x14ac:dyDescent="0.35">
      <c r="A26">
        <v>2043</v>
      </c>
      <c r="B26" s="21">
        <v>1506.0564783587499</v>
      </c>
      <c r="C26" s="21">
        <v>1582.5116758178201</v>
      </c>
      <c r="D26" s="21">
        <v>850.593849448794</v>
      </c>
      <c r="E26" s="21">
        <v>850.593849448794</v>
      </c>
    </row>
    <row r="27" spans="1:5" x14ac:dyDescent="0.35">
      <c r="A27">
        <v>2044</v>
      </c>
      <c r="B27" s="21">
        <v>1506.0564783587499</v>
      </c>
      <c r="C27" s="21">
        <v>1582.5116758178201</v>
      </c>
      <c r="D27" s="21">
        <v>850.593849448794</v>
      </c>
      <c r="E27" s="21">
        <v>850.593849448794</v>
      </c>
    </row>
    <row r="28" spans="1:5" x14ac:dyDescent="0.35">
      <c r="A28">
        <v>2045</v>
      </c>
      <c r="B28" s="21">
        <v>1506.0564783587499</v>
      </c>
      <c r="C28" s="21">
        <v>1582.5116758178201</v>
      </c>
      <c r="D28" s="21">
        <v>850.593849448794</v>
      </c>
      <c r="E28" s="21">
        <v>850.593849448794</v>
      </c>
    </row>
    <row r="29" spans="1:5" x14ac:dyDescent="0.35">
      <c r="A29">
        <v>2046</v>
      </c>
      <c r="B29" s="21">
        <v>1506.0564783587499</v>
      </c>
      <c r="C29" s="21">
        <v>1582.5116758178201</v>
      </c>
      <c r="D29" s="21">
        <v>850.593849448794</v>
      </c>
      <c r="E29" s="21">
        <v>850.593849448794</v>
      </c>
    </row>
    <row r="30" spans="1:5" x14ac:dyDescent="0.35">
      <c r="A30">
        <v>2047</v>
      </c>
      <c r="B30" s="21">
        <v>1506.0564783587499</v>
      </c>
      <c r="C30" s="21">
        <v>1582.5116758178201</v>
      </c>
      <c r="D30" s="21">
        <v>850.593849448794</v>
      </c>
      <c r="E30" s="21">
        <v>850.593849448794</v>
      </c>
    </row>
    <row r="31" spans="1:5" x14ac:dyDescent="0.35">
      <c r="A31">
        <v>2048</v>
      </c>
      <c r="B31" s="21">
        <v>1506.0564783587499</v>
      </c>
      <c r="C31" s="21">
        <v>1582.5116758178201</v>
      </c>
      <c r="D31" s="21">
        <v>850.593849448794</v>
      </c>
      <c r="E31" s="21">
        <v>850.593849448794</v>
      </c>
    </row>
    <row r="32" spans="1:5" x14ac:dyDescent="0.35">
      <c r="A32">
        <v>2049</v>
      </c>
      <c r="B32" s="21">
        <v>1506.0564783587499</v>
      </c>
      <c r="C32" s="21">
        <v>1582.5116758178201</v>
      </c>
      <c r="D32" s="21">
        <v>850.593849448794</v>
      </c>
      <c r="E32" s="21">
        <v>850.593849448794</v>
      </c>
    </row>
    <row r="33" spans="1:5" x14ac:dyDescent="0.35">
      <c r="A33">
        <v>2050</v>
      </c>
      <c r="B33" s="21">
        <v>1506.0564783587499</v>
      </c>
      <c r="C33" s="21">
        <v>1582.5116758178201</v>
      </c>
      <c r="D33" s="21">
        <v>850.593849448794</v>
      </c>
      <c r="E33" s="21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workbookViewId="0">
      <selection activeCell="H11" sqref="H11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4" x14ac:dyDescent="0.35">
      <c r="A1" t="s">
        <v>0</v>
      </c>
      <c r="B1" t="s">
        <v>1</v>
      </c>
      <c r="C1" t="s">
        <v>311</v>
      </c>
      <c r="D1" t="s">
        <v>340</v>
      </c>
    </row>
    <row r="2" spans="1:4" x14ac:dyDescent="0.35">
      <c r="A2" t="s">
        <v>3</v>
      </c>
      <c r="B2">
        <v>2019</v>
      </c>
      <c r="C2" s="24">
        <v>2544.9260079999999</v>
      </c>
      <c r="D2">
        <v>4.1315400226482613E-3</v>
      </c>
    </row>
    <row r="3" spans="1:4" x14ac:dyDescent="0.35">
      <c r="A3" t="s">
        <v>4</v>
      </c>
      <c r="B3">
        <v>2019</v>
      </c>
      <c r="C3" s="24">
        <v>528.20411999999999</v>
      </c>
      <c r="D3">
        <v>7.719178446144781E-3</v>
      </c>
    </row>
    <row r="4" spans="1:4" x14ac:dyDescent="0.35">
      <c r="A4" t="s">
        <v>5</v>
      </c>
      <c r="B4">
        <v>2019</v>
      </c>
      <c r="C4" s="24">
        <v>2742.7392730000001</v>
      </c>
      <c r="D4">
        <v>-5.8213284578756408E-4</v>
      </c>
    </row>
    <row r="5" spans="1:4" x14ac:dyDescent="0.35">
      <c r="A5" t="s">
        <v>6</v>
      </c>
      <c r="B5">
        <v>2019</v>
      </c>
      <c r="C5" s="24">
        <v>919.16938500000003</v>
      </c>
      <c r="D5">
        <v>-1.6807540095768014E-2</v>
      </c>
    </row>
    <row r="6" spans="1:4" x14ac:dyDescent="0.35">
      <c r="A6" t="s">
        <v>7</v>
      </c>
      <c r="B6">
        <v>2019</v>
      </c>
      <c r="C6" s="24">
        <v>3058.7594589999999</v>
      </c>
      <c r="D6">
        <v>1.6151079298294402E-2</v>
      </c>
    </row>
    <row r="7" spans="1:4" x14ac:dyDescent="0.35">
      <c r="A7" t="s">
        <v>8</v>
      </c>
      <c r="B7">
        <v>2019</v>
      </c>
      <c r="C7" s="24">
        <v>1576.650177</v>
      </c>
      <c r="D7">
        <v>-1.4887293949958913E-2</v>
      </c>
    </row>
    <row r="8" spans="1:4" x14ac:dyDescent="0.35">
      <c r="A8" t="s">
        <v>9</v>
      </c>
      <c r="B8">
        <v>2019</v>
      </c>
      <c r="C8" s="24">
        <v>124.285844</v>
      </c>
      <c r="D8">
        <v>2.0421722346573912E-2</v>
      </c>
    </row>
    <row r="9" spans="1:4" x14ac:dyDescent="0.35">
      <c r="A9" t="s">
        <v>10</v>
      </c>
      <c r="B9">
        <v>2019</v>
      </c>
      <c r="C9" s="24">
        <v>68.408856999999998</v>
      </c>
      <c r="D9">
        <v>4.3003507020009657E-3</v>
      </c>
    </row>
    <row r="10" spans="1:4" x14ac:dyDescent="0.35">
      <c r="A10" t="s">
        <v>12</v>
      </c>
      <c r="B10">
        <v>2019</v>
      </c>
      <c r="C10" s="24">
        <v>2099.6773600000001</v>
      </c>
      <c r="D10">
        <v>1.1368959281905067E-2</v>
      </c>
    </row>
    <row r="11" spans="1:4" x14ac:dyDescent="0.35">
      <c r="A11" t="s">
        <v>13</v>
      </c>
      <c r="B11">
        <v>2019</v>
      </c>
      <c r="C11" s="24">
        <v>2559.3411980000001</v>
      </c>
      <c r="D11">
        <v>3.5204849505514613E-3</v>
      </c>
    </row>
    <row r="12" spans="1:4" x14ac:dyDescent="0.35">
      <c r="A12" t="s">
        <v>14</v>
      </c>
      <c r="B12">
        <v>2019</v>
      </c>
      <c r="C12" s="24">
        <v>0</v>
      </c>
      <c r="D12">
        <v>0</v>
      </c>
    </row>
    <row r="13" spans="1:4" x14ac:dyDescent="0.35">
      <c r="A13" t="s">
        <v>15</v>
      </c>
      <c r="B13">
        <v>2019</v>
      </c>
      <c r="C13" s="24">
        <v>776.02855</v>
      </c>
      <c r="D13">
        <v>1.8239942869930026E-2</v>
      </c>
    </row>
    <row r="14" spans="1:4" x14ac:dyDescent="0.35">
      <c r="A14" t="s">
        <v>16</v>
      </c>
      <c r="B14">
        <v>2019</v>
      </c>
      <c r="C14" s="24">
        <v>1728.2273210000001</v>
      </c>
      <c r="D14">
        <v>1.2552181926046568E-2</v>
      </c>
    </row>
    <row r="15" spans="1:4" x14ac:dyDescent="0.35">
      <c r="A15" t="s">
        <v>17</v>
      </c>
      <c r="B15">
        <v>2019</v>
      </c>
      <c r="C15" s="24">
        <v>3220.6832810000001</v>
      </c>
      <c r="D15">
        <v>-2.4615977418688262E-3</v>
      </c>
    </row>
    <row r="16" spans="1:4" x14ac:dyDescent="0.35">
      <c r="A16" t="s">
        <v>18</v>
      </c>
      <c r="B16">
        <v>2019</v>
      </c>
      <c r="C16" s="24">
        <v>1406.031669</v>
      </c>
      <c r="D16">
        <v>1.0325612228494707E-2</v>
      </c>
    </row>
    <row r="17" spans="1:4" x14ac:dyDescent="0.35">
      <c r="A17" t="s">
        <v>19</v>
      </c>
      <c r="B17">
        <v>2019</v>
      </c>
      <c r="C17" s="24">
        <v>1355.7049649999999</v>
      </c>
      <c r="D17">
        <v>5.5762640066121527E-3</v>
      </c>
    </row>
    <row r="18" spans="1:4" x14ac:dyDescent="0.35">
      <c r="A18" t="s">
        <v>20</v>
      </c>
      <c r="B18">
        <v>2019</v>
      </c>
      <c r="C18" s="24">
        <v>838.26026100000001</v>
      </c>
      <c r="D18">
        <v>-2.3544990514239195E-2</v>
      </c>
    </row>
    <row r="19" spans="1:4" x14ac:dyDescent="0.35">
      <c r="A19" t="s">
        <v>21</v>
      </c>
      <c r="B19">
        <v>2019</v>
      </c>
      <c r="C19" s="24">
        <v>3629.22712</v>
      </c>
      <c r="D19">
        <v>8.16402426827878E-3</v>
      </c>
    </row>
    <row r="20" spans="1:4" x14ac:dyDescent="0.35">
      <c r="A20" t="s">
        <v>22</v>
      </c>
      <c r="B20">
        <v>2019</v>
      </c>
      <c r="C20" s="24">
        <v>289.01132999999999</v>
      </c>
      <c r="D20">
        <v>7.3332275916235812E-3</v>
      </c>
    </row>
    <row r="21" spans="1:4" x14ac:dyDescent="0.35">
      <c r="A21" t="s">
        <v>23</v>
      </c>
      <c r="B21">
        <v>2019</v>
      </c>
      <c r="C21" s="24">
        <v>202.66588999999999</v>
      </c>
      <c r="D21">
        <v>6.8639406622490462E-3</v>
      </c>
    </row>
    <row r="22" spans="1:4" x14ac:dyDescent="0.35">
      <c r="A22" t="s">
        <v>24</v>
      </c>
      <c r="B22">
        <v>2019</v>
      </c>
      <c r="C22" s="24">
        <v>32.735925999999999</v>
      </c>
      <c r="D22">
        <v>1.6173547253513831E-2</v>
      </c>
    </row>
    <row r="23" spans="1:4" x14ac:dyDescent="0.35">
      <c r="A23" t="s">
        <v>25</v>
      </c>
      <c r="B23">
        <v>2019</v>
      </c>
      <c r="C23" s="24">
        <v>5238.3535920000004</v>
      </c>
      <c r="D23">
        <v>1.6470014549148093E-2</v>
      </c>
    </row>
    <row r="24" spans="1:4" x14ac:dyDescent="0.35">
      <c r="A24" t="s">
        <v>26</v>
      </c>
      <c r="B24">
        <v>2019</v>
      </c>
      <c r="C24" s="24">
        <v>3736.2349819999999</v>
      </c>
      <c r="D24">
        <v>-3.2301524921632963E-3</v>
      </c>
    </row>
    <row r="25" spans="1:4" x14ac:dyDescent="0.35">
      <c r="A25" t="s">
        <v>27</v>
      </c>
      <c r="B25">
        <v>2019</v>
      </c>
      <c r="C25" s="24">
        <v>436.77159799999998</v>
      </c>
      <c r="D25">
        <v>1.5546677996048697E-2</v>
      </c>
    </row>
    <row r="26" spans="1:4" x14ac:dyDescent="0.35">
      <c r="A26" t="s">
        <v>28</v>
      </c>
      <c r="B26">
        <v>2019</v>
      </c>
      <c r="C26" s="24">
        <v>1331.77171</v>
      </c>
      <c r="D26">
        <v>-5.2798823811165407E-3</v>
      </c>
    </row>
    <row r="27" spans="1:4" x14ac:dyDescent="0.35">
      <c r="A27" t="s">
        <v>29</v>
      </c>
      <c r="B27">
        <v>2019</v>
      </c>
      <c r="C27" s="24">
        <v>392.95020499999998</v>
      </c>
      <c r="D27">
        <v>-1.0342330840555691E-2</v>
      </c>
    </row>
    <row r="28" spans="1:4" x14ac:dyDescent="0.35">
      <c r="A28" t="s">
        <v>30</v>
      </c>
      <c r="B28">
        <v>2019</v>
      </c>
      <c r="C28" s="24">
        <v>2520.9028709999998</v>
      </c>
      <c r="D28">
        <v>8.2549710631403261E-3</v>
      </c>
    </row>
    <row r="29" spans="1:4" x14ac:dyDescent="0.35">
      <c r="A29" t="s">
        <v>31</v>
      </c>
      <c r="B29">
        <v>2019</v>
      </c>
      <c r="C29" s="24">
        <v>0.39949800000000002</v>
      </c>
      <c r="D29">
        <v>5.0642948317235037E-2</v>
      </c>
    </row>
    <row r="30" spans="1:4" x14ac:dyDescent="0.35">
      <c r="A30" t="s">
        <v>32</v>
      </c>
      <c r="B30">
        <v>2019</v>
      </c>
      <c r="C30" s="24">
        <v>6.7464389999999996</v>
      </c>
      <c r="D30">
        <v>-1.7660795729059764E-3</v>
      </c>
    </row>
    <row r="31" spans="1:4" x14ac:dyDescent="0.35">
      <c r="A31" t="s">
        <v>33</v>
      </c>
      <c r="B31">
        <v>2019</v>
      </c>
      <c r="C31" s="24">
        <v>146.33309</v>
      </c>
      <c r="D31">
        <v>3.8716411873921386E-2</v>
      </c>
    </row>
    <row r="32" spans="1:4" x14ac:dyDescent="0.35">
      <c r="A32" t="s">
        <v>34</v>
      </c>
      <c r="B32">
        <v>2019</v>
      </c>
      <c r="C32" s="24">
        <v>1268.545292</v>
      </c>
      <c r="D32">
        <v>4.9501296832441533E-3</v>
      </c>
    </row>
    <row r="33" spans="1:4" x14ac:dyDescent="0.35">
      <c r="A33" t="s">
        <v>35</v>
      </c>
      <c r="B33">
        <v>2019</v>
      </c>
      <c r="C33" s="24">
        <v>1466.120492</v>
      </c>
      <c r="D33">
        <v>1.4611374871772886E-2</v>
      </c>
    </row>
    <row r="34" spans="1:4" x14ac:dyDescent="0.35">
      <c r="A34" t="s">
        <v>239</v>
      </c>
      <c r="B34">
        <v>2019</v>
      </c>
      <c r="C34" s="24">
        <v>846.11125000000004</v>
      </c>
      <c r="D34">
        <v>1.082629258665202E-2</v>
      </c>
    </row>
    <row r="35" spans="1:4" x14ac:dyDescent="0.35">
      <c r="A35" t="s">
        <v>36</v>
      </c>
      <c r="B35">
        <v>2019</v>
      </c>
      <c r="C35" s="24">
        <v>1731.6266539999999</v>
      </c>
      <c r="D35">
        <v>1.4170410389256594E-2</v>
      </c>
    </row>
    <row r="36" spans="1:4" x14ac:dyDescent="0.35">
      <c r="A36" t="s">
        <v>37</v>
      </c>
      <c r="B36">
        <v>2019</v>
      </c>
      <c r="C36" s="24">
        <v>2446.222252</v>
      </c>
      <c r="D36">
        <v>1.4616610012726294E-2</v>
      </c>
    </row>
    <row r="37" spans="1:4" x14ac:dyDescent="0.35">
      <c r="A37" t="s">
        <v>38</v>
      </c>
      <c r="B37">
        <v>2019</v>
      </c>
      <c r="C37" s="24">
        <v>1348.2959499999999</v>
      </c>
      <c r="D37">
        <v>-6.2274654449676614E-3</v>
      </c>
    </row>
    <row r="38" spans="1:4" x14ac:dyDescent="0.35">
      <c r="A38" t="s">
        <v>39</v>
      </c>
      <c r="B38">
        <v>2019</v>
      </c>
      <c r="C38" s="24">
        <v>643.62842799999999</v>
      </c>
      <c r="D38">
        <v>1.5042372075781296E-2</v>
      </c>
    </row>
    <row r="39" spans="1:4" x14ac:dyDescent="0.35">
      <c r="A39" t="s">
        <v>40</v>
      </c>
      <c r="B39">
        <v>2019</v>
      </c>
      <c r="C39" s="24">
        <v>2471.5888890000001</v>
      </c>
      <c r="D39">
        <v>6.5526909243505127E-3</v>
      </c>
    </row>
    <row r="40" spans="1:4" x14ac:dyDescent="0.35">
      <c r="A40" t="s">
        <v>41</v>
      </c>
      <c r="B40">
        <v>2019</v>
      </c>
      <c r="C40" s="24">
        <v>0</v>
      </c>
      <c r="D40">
        <v>3.7362066262446314E-2</v>
      </c>
    </row>
    <row r="41" spans="1:4" x14ac:dyDescent="0.35">
      <c r="A41" t="s">
        <v>240</v>
      </c>
      <c r="B41">
        <v>2019</v>
      </c>
      <c r="C41" s="24">
        <v>262.18538899999999</v>
      </c>
      <c r="D41">
        <v>1.1107907618285173E-2</v>
      </c>
    </row>
    <row r="42" spans="1:4" x14ac:dyDescent="0.35">
      <c r="A42" t="s">
        <v>42</v>
      </c>
      <c r="B42">
        <v>2019</v>
      </c>
      <c r="C42" s="24">
        <v>1249.9623240000001</v>
      </c>
      <c r="D42">
        <v>1.4332520838182816E-2</v>
      </c>
    </row>
    <row r="43" spans="1:4" x14ac:dyDescent="0.35">
      <c r="A43" t="s">
        <v>43</v>
      </c>
      <c r="B43">
        <v>2019</v>
      </c>
      <c r="C43" s="24">
        <v>313.51528000000002</v>
      </c>
      <c r="D43">
        <v>4.7520478834162105E-4</v>
      </c>
    </row>
    <row r="44" spans="1:4" x14ac:dyDescent="0.35">
      <c r="A44" t="s">
        <v>44</v>
      </c>
      <c r="B44">
        <v>2019</v>
      </c>
      <c r="C44" s="24">
        <v>29350.70019</v>
      </c>
      <c r="D44">
        <v>5.2983314116594737E-3</v>
      </c>
    </row>
    <row r="45" spans="1:4" x14ac:dyDescent="0.35">
      <c r="A45" t="s">
        <v>45</v>
      </c>
      <c r="B45">
        <v>2019</v>
      </c>
      <c r="C45" s="24">
        <v>104.10359099999999</v>
      </c>
      <c r="D45">
        <v>-3.1648372125661073E-3</v>
      </c>
    </row>
    <row r="46" spans="1:4" x14ac:dyDescent="0.35">
      <c r="A46" t="s">
        <v>46</v>
      </c>
      <c r="B46">
        <v>2019</v>
      </c>
      <c r="C46" s="24">
        <v>49.774864000000001</v>
      </c>
      <c r="D46">
        <v>1.0461455734831038E-2</v>
      </c>
    </row>
    <row r="47" spans="1:4" x14ac:dyDescent="0.35">
      <c r="A47" t="s">
        <v>47</v>
      </c>
      <c r="B47">
        <v>2019</v>
      </c>
      <c r="C47" s="24">
        <v>1483.9390149999999</v>
      </c>
      <c r="D47">
        <v>7.3288294620352801E-3</v>
      </c>
    </row>
    <row r="48" spans="1:4" x14ac:dyDescent="0.35">
      <c r="A48" t="s">
        <v>48</v>
      </c>
      <c r="B48">
        <v>2019</v>
      </c>
      <c r="C48" s="24">
        <v>7847.6125190000002</v>
      </c>
      <c r="D48">
        <v>1.7753461211322152E-2</v>
      </c>
    </row>
    <row r="49" spans="1:4" x14ac:dyDescent="0.35">
      <c r="A49" t="s">
        <v>11</v>
      </c>
      <c r="B49">
        <v>2019</v>
      </c>
      <c r="C49" s="24">
        <v>3.8760000000000001E-3</v>
      </c>
      <c r="D49">
        <v>-4.8075729501580677E-2</v>
      </c>
    </row>
    <row r="50" spans="1:4" x14ac:dyDescent="0.35">
      <c r="A50" t="s">
        <v>49</v>
      </c>
      <c r="B50">
        <v>2019</v>
      </c>
      <c r="C50" s="24">
        <v>1592.3095169999999</v>
      </c>
      <c r="D50">
        <v>-9.6349745548409693E-3</v>
      </c>
    </row>
    <row r="51" spans="1:4" x14ac:dyDescent="0.35">
      <c r="A51" t="s">
        <v>50</v>
      </c>
      <c r="B51">
        <v>2019</v>
      </c>
      <c r="C51" s="24">
        <v>1121.514772</v>
      </c>
      <c r="D51">
        <v>1.3556284668851948E-3</v>
      </c>
    </row>
    <row r="52" spans="1:4" x14ac:dyDescent="0.35">
      <c r="A52" t="s">
        <v>51</v>
      </c>
      <c r="B52">
        <v>2019</v>
      </c>
      <c r="C52" s="24">
        <v>3863.6778559999998</v>
      </c>
      <c r="D52">
        <v>-4.2115018495923917E-2</v>
      </c>
    </row>
    <row r="53" spans="1:4" x14ac:dyDescent="0.35">
      <c r="A53" t="s">
        <v>333</v>
      </c>
      <c r="B53">
        <v>2019</v>
      </c>
      <c r="C53" s="24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2" t="s">
        <v>325</v>
      </c>
      <c r="B1" s="22" t="s">
        <v>1</v>
      </c>
      <c r="C1" s="22" t="s">
        <v>326</v>
      </c>
      <c r="D1" s="22" t="s">
        <v>327</v>
      </c>
      <c r="E1" s="22" t="s">
        <v>328</v>
      </c>
    </row>
    <row r="2" spans="1:5" x14ac:dyDescent="0.35">
      <c r="A2" s="23" t="s">
        <v>4</v>
      </c>
      <c r="B2" s="23">
        <v>2019</v>
      </c>
      <c r="C2" s="23">
        <v>0</v>
      </c>
      <c r="D2" s="23">
        <v>1820969</v>
      </c>
      <c r="E2" s="23">
        <v>4544203</v>
      </c>
    </row>
    <row r="3" spans="1:5" x14ac:dyDescent="0.35">
      <c r="A3" s="23" t="s">
        <v>3</v>
      </c>
      <c r="B3" s="23">
        <v>2019</v>
      </c>
      <c r="C3" s="23">
        <v>0</v>
      </c>
      <c r="D3" s="23">
        <v>10146650</v>
      </c>
      <c r="E3" s="23">
        <v>6650385</v>
      </c>
    </row>
    <row r="4" spans="1:5" x14ac:dyDescent="0.35">
      <c r="A4" s="23" t="s">
        <v>6</v>
      </c>
      <c r="B4" s="23">
        <v>2019</v>
      </c>
      <c r="C4" s="23">
        <v>0</v>
      </c>
      <c r="D4" s="23">
        <v>13251409</v>
      </c>
      <c r="E4" s="23">
        <v>4668133</v>
      </c>
    </row>
    <row r="5" spans="1:5" x14ac:dyDescent="0.35">
      <c r="A5" s="23" t="s">
        <v>99</v>
      </c>
      <c r="B5" s="23">
        <v>2019</v>
      </c>
      <c r="C5" s="23">
        <v>0</v>
      </c>
      <c r="D5" s="23">
        <v>128251</v>
      </c>
      <c r="E5" s="23">
        <v>0</v>
      </c>
    </row>
    <row r="6" spans="1:5" x14ac:dyDescent="0.35">
      <c r="A6" s="23" t="s">
        <v>5</v>
      </c>
      <c r="B6" s="23">
        <v>2019</v>
      </c>
      <c r="C6" s="23">
        <v>686829</v>
      </c>
      <c r="D6" s="23">
        <v>8850838</v>
      </c>
      <c r="E6" s="23">
        <v>49557933</v>
      </c>
    </row>
    <row r="7" spans="1:5" x14ac:dyDescent="0.35">
      <c r="A7" s="23" t="s">
        <v>7</v>
      </c>
      <c r="B7" s="23">
        <v>2019</v>
      </c>
      <c r="C7" s="23">
        <v>17653453</v>
      </c>
      <c r="D7" s="23">
        <v>88205270</v>
      </c>
      <c r="E7" s="23">
        <v>330675119</v>
      </c>
    </row>
    <row r="8" spans="1:5" x14ac:dyDescent="0.35">
      <c r="A8" s="23" t="s">
        <v>8</v>
      </c>
      <c r="B8" s="23">
        <v>2019</v>
      </c>
      <c r="C8" s="23">
        <v>3275162</v>
      </c>
      <c r="D8" s="23">
        <v>18116638</v>
      </c>
      <c r="E8" s="23">
        <v>49855214</v>
      </c>
    </row>
    <row r="9" spans="1:5" x14ac:dyDescent="0.35">
      <c r="A9" s="23" t="s">
        <v>9</v>
      </c>
      <c r="B9" s="23">
        <v>2019</v>
      </c>
      <c r="C9" s="23">
        <v>1302927</v>
      </c>
      <c r="D9" s="23">
        <v>9462995</v>
      </c>
      <c r="E9" s="23">
        <v>23037923</v>
      </c>
    </row>
    <row r="10" spans="1:5" x14ac:dyDescent="0.35">
      <c r="A10" s="23" t="s">
        <v>11</v>
      </c>
      <c r="B10" s="23">
        <v>2019</v>
      </c>
      <c r="C10" s="23">
        <v>0</v>
      </c>
      <c r="D10" s="23">
        <v>19685883</v>
      </c>
      <c r="E10" s="23">
        <v>38872603</v>
      </c>
    </row>
    <row r="11" spans="1:5" x14ac:dyDescent="0.35">
      <c r="A11" s="23" t="s">
        <v>10</v>
      </c>
      <c r="B11" s="23">
        <v>2019</v>
      </c>
      <c r="C11" s="23">
        <v>0</v>
      </c>
      <c r="D11" s="23">
        <v>8098492</v>
      </c>
      <c r="E11" s="23">
        <v>8984139</v>
      </c>
    </row>
    <row r="12" spans="1:5" x14ac:dyDescent="0.35">
      <c r="A12" s="23" t="s">
        <v>12</v>
      </c>
      <c r="B12" s="23">
        <v>2019</v>
      </c>
      <c r="C12" s="23">
        <v>1206534</v>
      </c>
      <c r="D12" s="23">
        <v>80295496</v>
      </c>
      <c r="E12" s="23">
        <v>124877739</v>
      </c>
    </row>
    <row r="13" spans="1:5" x14ac:dyDescent="0.35">
      <c r="A13" s="23" t="s">
        <v>13</v>
      </c>
      <c r="B13" s="23">
        <v>2019</v>
      </c>
      <c r="C13" s="23">
        <v>3708274</v>
      </c>
      <c r="D13" s="23">
        <v>28298863</v>
      </c>
      <c r="E13" s="23">
        <v>40629519</v>
      </c>
    </row>
    <row r="14" spans="1:5" x14ac:dyDescent="0.35">
      <c r="A14" s="23" t="s">
        <v>109</v>
      </c>
      <c r="B14" s="23">
        <v>2019</v>
      </c>
      <c r="C14" s="23">
        <v>0</v>
      </c>
      <c r="D14" s="23">
        <v>372212</v>
      </c>
      <c r="E14" s="23">
        <v>422892</v>
      </c>
    </row>
    <row r="15" spans="1:5" x14ac:dyDescent="0.35">
      <c r="A15" s="23" t="s">
        <v>14</v>
      </c>
      <c r="B15" s="23">
        <v>2019</v>
      </c>
      <c r="C15" s="23">
        <v>1888935</v>
      </c>
      <c r="D15" s="23">
        <v>9218028</v>
      </c>
      <c r="E15" s="23">
        <v>20454917</v>
      </c>
    </row>
    <row r="16" spans="1:5" x14ac:dyDescent="0.35">
      <c r="A16" s="23" t="s">
        <v>18</v>
      </c>
      <c r="B16" s="23">
        <v>2019</v>
      </c>
      <c r="C16" s="23">
        <v>0</v>
      </c>
      <c r="D16" s="23">
        <v>16204926</v>
      </c>
      <c r="E16" s="23">
        <v>11203459</v>
      </c>
    </row>
    <row r="17" spans="1:5" x14ac:dyDescent="0.35">
      <c r="A17" s="23" t="s">
        <v>15</v>
      </c>
      <c r="B17" s="23">
        <v>2019</v>
      </c>
      <c r="C17" s="23">
        <v>0</v>
      </c>
      <c r="D17" s="23">
        <v>1792488</v>
      </c>
      <c r="E17" s="23">
        <v>4418282</v>
      </c>
    </row>
    <row r="18" spans="1:5" x14ac:dyDescent="0.35">
      <c r="A18" s="23" t="s">
        <v>16</v>
      </c>
      <c r="B18" s="23">
        <v>2019</v>
      </c>
      <c r="C18" s="23">
        <v>316684</v>
      </c>
      <c r="D18" s="23">
        <v>51817490</v>
      </c>
      <c r="E18" s="23">
        <v>103734267</v>
      </c>
    </row>
    <row r="19" spans="1:5" x14ac:dyDescent="0.35">
      <c r="A19" s="23" t="s">
        <v>17</v>
      </c>
      <c r="B19" s="23">
        <v>2019</v>
      </c>
      <c r="C19" s="23">
        <v>450990</v>
      </c>
      <c r="D19" s="23">
        <v>18241770</v>
      </c>
      <c r="E19" s="23">
        <v>19286019</v>
      </c>
    </row>
    <row r="20" spans="1:5" x14ac:dyDescent="0.35">
      <c r="A20" s="23" t="s">
        <v>19</v>
      </c>
      <c r="B20" s="23">
        <v>2019</v>
      </c>
      <c r="C20" s="23">
        <v>366540</v>
      </c>
      <c r="D20" s="23">
        <v>7847064</v>
      </c>
      <c r="E20" s="23">
        <v>7512599</v>
      </c>
    </row>
    <row r="21" spans="1:5" x14ac:dyDescent="0.35">
      <c r="A21" s="23" t="s">
        <v>20</v>
      </c>
      <c r="B21" s="23">
        <v>2019</v>
      </c>
      <c r="C21" s="23">
        <v>0</v>
      </c>
      <c r="D21" s="23">
        <v>35520308</v>
      </c>
      <c r="E21" s="23">
        <v>14087087</v>
      </c>
    </row>
    <row r="22" spans="1:5" x14ac:dyDescent="0.35">
      <c r="A22" s="23" t="s">
        <v>21</v>
      </c>
      <c r="B22" s="23">
        <v>2019</v>
      </c>
      <c r="C22" s="23">
        <v>0</v>
      </c>
      <c r="D22" s="23">
        <v>10323437</v>
      </c>
      <c r="E22" s="23">
        <v>15649937</v>
      </c>
    </row>
    <row r="23" spans="1:5" x14ac:dyDescent="0.35">
      <c r="A23" s="23" t="s">
        <v>24</v>
      </c>
      <c r="B23" s="23">
        <v>2019</v>
      </c>
      <c r="C23" s="23">
        <v>3104521</v>
      </c>
      <c r="D23" s="23">
        <v>31031514</v>
      </c>
      <c r="E23" s="23">
        <v>43374617</v>
      </c>
    </row>
    <row r="24" spans="1:5" x14ac:dyDescent="0.35">
      <c r="A24" s="23" t="s">
        <v>23</v>
      </c>
      <c r="B24" s="23">
        <v>2019</v>
      </c>
      <c r="C24" s="23">
        <v>6636014</v>
      </c>
      <c r="D24" s="23">
        <v>26146936</v>
      </c>
      <c r="E24" s="23">
        <v>48391900</v>
      </c>
    </row>
    <row r="25" spans="1:5" x14ac:dyDescent="0.35">
      <c r="A25" s="23" t="s">
        <v>22</v>
      </c>
      <c r="B25" s="23">
        <v>2019</v>
      </c>
      <c r="C25" s="23">
        <v>265210</v>
      </c>
      <c r="D25" s="23">
        <v>10826516</v>
      </c>
      <c r="E25" s="23">
        <v>4137861</v>
      </c>
    </row>
    <row r="26" spans="1:5" x14ac:dyDescent="0.35">
      <c r="A26" s="23" t="s">
        <v>25</v>
      </c>
      <c r="B26" s="23">
        <v>2019</v>
      </c>
      <c r="C26" s="23">
        <v>432546</v>
      </c>
      <c r="D26" s="23">
        <v>50261455</v>
      </c>
      <c r="E26" s="23">
        <v>49939298</v>
      </c>
    </row>
    <row r="27" spans="1:5" x14ac:dyDescent="0.35">
      <c r="A27" s="23" t="s">
        <v>26</v>
      </c>
      <c r="B27" s="23">
        <v>2019</v>
      </c>
      <c r="C27" s="23">
        <v>217003</v>
      </c>
      <c r="D27" s="23">
        <v>37519099</v>
      </c>
      <c r="E27" s="23">
        <v>44630214</v>
      </c>
    </row>
    <row r="28" spans="1:5" x14ac:dyDescent="0.35">
      <c r="A28" s="23" t="s">
        <v>28</v>
      </c>
      <c r="B28" s="23">
        <v>2019</v>
      </c>
      <c r="C28" s="23">
        <v>0</v>
      </c>
      <c r="D28" s="23">
        <v>25977732</v>
      </c>
      <c r="E28" s="23">
        <v>29294533</v>
      </c>
    </row>
    <row r="29" spans="1:5" x14ac:dyDescent="0.35">
      <c r="A29" s="23" t="s">
        <v>27</v>
      </c>
      <c r="B29" s="23">
        <v>2019</v>
      </c>
      <c r="C29" s="23">
        <v>0</v>
      </c>
      <c r="D29" s="23">
        <v>10355411</v>
      </c>
      <c r="E29" s="23">
        <v>3281232</v>
      </c>
    </row>
    <row r="30" spans="1:5" x14ac:dyDescent="0.35">
      <c r="A30" s="23" t="s">
        <v>29</v>
      </c>
      <c r="B30" s="23">
        <v>2019</v>
      </c>
      <c r="C30" s="23">
        <v>145031</v>
      </c>
      <c r="D30" s="23">
        <v>2994570</v>
      </c>
      <c r="E30" s="23">
        <v>3791255</v>
      </c>
    </row>
    <row r="31" spans="1:5" x14ac:dyDescent="0.35">
      <c r="A31" s="23" t="s">
        <v>239</v>
      </c>
      <c r="B31" s="23">
        <v>2019</v>
      </c>
      <c r="C31" s="23">
        <v>2548230</v>
      </c>
      <c r="D31" s="23">
        <v>49037696</v>
      </c>
      <c r="E31" s="23">
        <v>37124123</v>
      </c>
    </row>
    <row r="32" spans="1:5" x14ac:dyDescent="0.35">
      <c r="A32" s="23" t="s">
        <v>36</v>
      </c>
      <c r="B32" s="23">
        <v>2019</v>
      </c>
      <c r="C32" s="23">
        <v>0</v>
      </c>
      <c r="D32" s="23">
        <v>4584891</v>
      </c>
      <c r="E32" s="23">
        <v>1934311</v>
      </c>
    </row>
    <row r="33" spans="1:5" x14ac:dyDescent="0.35">
      <c r="A33" s="23" t="s">
        <v>30</v>
      </c>
      <c r="B33" s="23">
        <v>2019</v>
      </c>
      <c r="C33" s="23">
        <v>0</v>
      </c>
      <c r="D33" s="23">
        <v>4815160</v>
      </c>
      <c r="E33" s="23">
        <v>6276073</v>
      </c>
    </row>
    <row r="34" spans="1:5" x14ac:dyDescent="0.35">
      <c r="A34" s="23" t="s">
        <v>32</v>
      </c>
      <c r="B34" s="23">
        <v>2019</v>
      </c>
      <c r="C34" s="23">
        <v>3969821</v>
      </c>
      <c r="D34" s="23">
        <v>875174</v>
      </c>
      <c r="E34" s="23">
        <v>2401459</v>
      </c>
    </row>
    <row r="35" spans="1:5" x14ac:dyDescent="0.35">
      <c r="A35" s="23" t="s">
        <v>33</v>
      </c>
      <c r="B35" s="23">
        <v>2019</v>
      </c>
      <c r="C35" s="23">
        <v>30328896</v>
      </c>
      <c r="D35" s="23">
        <v>22632079</v>
      </c>
      <c r="E35" s="23">
        <v>85248950</v>
      </c>
    </row>
    <row r="36" spans="1:5" x14ac:dyDescent="0.35">
      <c r="A36" s="23" t="s">
        <v>34</v>
      </c>
      <c r="B36" s="23">
        <v>2019</v>
      </c>
      <c r="C36" s="23">
        <v>331362</v>
      </c>
      <c r="D36" s="23">
        <v>4270615</v>
      </c>
      <c r="E36" s="23">
        <v>11058565</v>
      </c>
    </row>
    <row r="37" spans="1:5" x14ac:dyDescent="0.35">
      <c r="A37" s="23" t="s">
        <v>31</v>
      </c>
      <c r="B37" s="23">
        <v>2019</v>
      </c>
      <c r="C37" s="23">
        <v>410090</v>
      </c>
      <c r="D37" s="23">
        <v>13795616</v>
      </c>
      <c r="E37" s="23">
        <v>22752296</v>
      </c>
    </row>
    <row r="38" spans="1:5" x14ac:dyDescent="0.35">
      <c r="A38" s="23" t="s">
        <v>35</v>
      </c>
      <c r="B38" s="23">
        <v>2019</v>
      </c>
      <c r="C38" s="23">
        <v>18162255</v>
      </c>
      <c r="D38" s="23">
        <v>62282351</v>
      </c>
      <c r="E38" s="23">
        <v>182735062</v>
      </c>
    </row>
    <row r="39" spans="1:5" x14ac:dyDescent="0.35">
      <c r="A39" s="23" t="s">
        <v>37</v>
      </c>
      <c r="B39" s="23">
        <v>2019</v>
      </c>
      <c r="C39" s="23">
        <v>515002</v>
      </c>
      <c r="D39" s="23">
        <v>37821824</v>
      </c>
      <c r="E39" s="23">
        <v>56939993</v>
      </c>
    </row>
    <row r="40" spans="1:5" x14ac:dyDescent="0.35">
      <c r="A40" s="23" t="s">
        <v>38</v>
      </c>
      <c r="B40" s="23">
        <v>2019</v>
      </c>
      <c r="C40" s="23">
        <v>92708</v>
      </c>
      <c r="D40" s="23">
        <v>19161183</v>
      </c>
      <c r="E40" s="23">
        <v>7918742</v>
      </c>
    </row>
    <row r="41" spans="1:5" x14ac:dyDescent="0.35">
      <c r="A41" s="23" t="s">
        <v>39</v>
      </c>
      <c r="B41" s="23">
        <v>2019</v>
      </c>
      <c r="C41" s="23">
        <v>3750422</v>
      </c>
      <c r="D41" s="23">
        <v>13160147</v>
      </c>
      <c r="E41" s="23">
        <v>33429198</v>
      </c>
    </row>
    <row r="42" spans="1:5" x14ac:dyDescent="0.35">
      <c r="A42" s="23" t="s">
        <v>40</v>
      </c>
      <c r="B42" s="23">
        <v>2019</v>
      </c>
      <c r="C42" s="23">
        <v>4926331</v>
      </c>
      <c r="D42" s="23">
        <v>44238102</v>
      </c>
      <c r="E42" s="23">
        <v>88986984</v>
      </c>
    </row>
    <row r="43" spans="1:5" x14ac:dyDescent="0.35">
      <c r="A43" s="23" t="s">
        <v>87</v>
      </c>
      <c r="B43" s="23">
        <v>2019</v>
      </c>
      <c r="C43" s="23">
        <v>0</v>
      </c>
      <c r="D43" s="23">
        <v>1401597</v>
      </c>
      <c r="E43" s="23">
        <v>5328065</v>
      </c>
    </row>
    <row r="44" spans="1:5" x14ac:dyDescent="0.35">
      <c r="A44" s="23" t="s">
        <v>41</v>
      </c>
      <c r="B44" s="23">
        <v>2019</v>
      </c>
      <c r="C44" s="23">
        <v>0</v>
      </c>
      <c r="D44" s="23">
        <v>2424533</v>
      </c>
      <c r="E44" s="23">
        <v>8922598</v>
      </c>
    </row>
    <row r="45" spans="1:5" x14ac:dyDescent="0.35">
      <c r="A45" s="23" t="s">
        <v>240</v>
      </c>
      <c r="B45" s="23">
        <v>2019</v>
      </c>
      <c r="C45" s="23">
        <v>701719</v>
      </c>
      <c r="D45" s="23">
        <v>9490872</v>
      </c>
      <c r="E45" s="23">
        <v>10435969</v>
      </c>
    </row>
    <row r="46" spans="1:5" x14ac:dyDescent="0.35">
      <c r="A46" s="23" t="s">
        <v>42</v>
      </c>
      <c r="B46" s="23">
        <v>2019</v>
      </c>
      <c r="C46" s="23">
        <v>0</v>
      </c>
      <c r="D46" s="23">
        <v>5071774</v>
      </c>
      <c r="E46" s="23">
        <v>1450451</v>
      </c>
    </row>
    <row r="47" spans="1:5" x14ac:dyDescent="0.35">
      <c r="A47" s="23" t="s">
        <v>43</v>
      </c>
      <c r="B47" s="23">
        <v>2019</v>
      </c>
      <c r="C47" s="23">
        <v>326460</v>
      </c>
      <c r="D47" s="23">
        <v>31402928</v>
      </c>
      <c r="E47" s="23">
        <v>21251959</v>
      </c>
    </row>
    <row r="48" spans="1:5" x14ac:dyDescent="0.35">
      <c r="A48" s="23" t="s">
        <v>44</v>
      </c>
      <c r="B48" s="23">
        <v>2019</v>
      </c>
      <c r="C48" s="23">
        <v>14830278</v>
      </c>
      <c r="D48" s="23">
        <v>75039448</v>
      </c>
      <c r="E48" s="23">
        <v>140051617</v>
      </c>
    </row>
    <row r="49" spans="1:5" x14ac:dyDescent="0.35">
      <c r="A49" s="23" t="s">
        <v>45</v>
      </c>
      <c r="B49" s="23">
        <v>2019</v>
      </c>
      <c r="C49" s="23">
        <v>904101</v>
      </c>
      <c r="D49" s="23">
        <v>3319266</v>
      </c>
      <c r="E49" s="23">
        <v>20872218</v>
      </c>
    </row>
    <row r="50" spans="1:5" x14ac:dyDescent="0.35">
      <c r="A50" s="23" t="s">
        <v>47</v>
      </c>
      <c r="B50" s="23">
        <v>2019</v>
      </c>
      <c r="C50" s="23">
        <v>4031352</v>
      </c>
      <c r="D50" s="23">
        <v>13200660</v>
      </c>
      <c r="E50" s="23">
        <v>44091053</v>
      </c>
    </row>
    <row r="51" spans="1:5" x14ac:dyDescent="0.35">
      <c r="A51" s="23" t="s">
        <v>329</v>
      </c>
      <c r="B51" s="23">
        <v>2019</v>
      </c>
      <c r="C51" s="23">
        <v>0</v>
      </c>
      <c r="D51" s="23">
        <v>349850</v>
      </c>
      <c r="E51" s="23">
        <v>291988</v>
      </c>
    </row>
    <row r="52" spans="1:5" x14ac:dyDescent="0.35">
      <c r="A52" s="23" t="s">
        <v>46</v>
      </c>
      <c r="B52" s="23">
        <v>2019</v>
      </c>
      <c r="C52" s="23">
        <v>2005605</v>
      </c>
      <c r="D52" s="23">
        <v>13420628</v>
      </c>
      <c r="E52" s="23">
        <v>3731759</v>
      </c>
    </row>
    <row r="53" spans="1:5" x14ac:dyDescent="0.35">
      <c r="A53" s="23" t="s">
        <v>48</v>
      </c>
      <c r="B53" s="23">
        <v>2019</v>
      </c>
      <c r="C53" s="23">
        <v>15447471</v>
      </c>
      <c r="D53" s="23">
        <v>28877650</v>
      </c>
      <c r="E53" s="23">
        <v>83332487</v>
      </c>
    </row>
    <row r="54" spans="1:5" x14ac:dyDescent="0.35">
      <c r="A54" s="23" t="s">
        <v>50</v>
      </c>
      <c r="B54" s="23">
        <v>2019</v>
      </c>
      <c r="C54" s="23">
        <v>880327</v>
      </c>
      <c r="D54" s="23">
        <v>16792018</v>
      </c>
      <c r="E54" s="23">
        <v>33284438</v>
      </c>
    </row>
    <row r="55" spans="1:5" x14ac:dyDescent="0.35">
      <c r="A55" s="23" t="s">
        <v>49</v>
      </c>
      <c r="B55" s="23">
        <v>2019</v>
      </c>
      <c r="C55" s="23">
        <v>0</v>
      </c>
      <c r="D55" s="23">
        <v>2671749</v>
      </c>
      <c r="E55" s="23">
        <v>9309564</v>
      </c>
    </row>
    <row r="56" spans="1:5" x14ac:dyDescent="0.35">
      <c r="A56" s="23" t="s">
        <v>51</v>
      </c>
      <c r="B56" s="23">
        <v>2019</v>
      </c>
      <c r="C56" s="23">
        <v>0</v>
      </c>
      <c r="D56" s="23">
        <v>1673521</v>
      </c>
      <c r="E56" s="23">
        <v>2044125</v>
      </c>
    </row>
    <row r="57" spans="1:5" x14ac:dyDescent="0.35">
      <c r="A57" s="23" t="s">
        <v>333</v>
      </c>
      <c r="B57" s="23">
        <v>2019</v>
      </c>
      <c r="C57" s="23">
        <f>SUM(C2:C56)</f>
        <v>145819083</v>
      </c>
      <c r="D57" s="23">
        <f t="shared" ref="D57:E57" si="0">SUM(D2:D56)</f>
        <v>1114624042</v>
      </c>
      <c r="E57" s="23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2025-07-28T18:27:20Z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