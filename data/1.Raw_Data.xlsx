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86" documentId="13_ncr:1_{1FBCA57C-6DC9-49DB-92F9-9F72A168ADC6}" xr6:coauthVersionLast="47" xr6:coauthVersionMax="47" xr10:uidLastSave="{2EFC02C1-0A25-425F-AF23-815BBD7A4C12}"/>
  <bookViews>
    <workbookView xWindow="270" yWindow="-16320" windowWidth="29040" windowHeight="16440" tabRatio="955" firstSheet="6" activeTab="7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<sst xmlns="http://schemas.openxmlformats.org/spreadsheetml/2006/main" count="8748" uniqueCount="335">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</sst>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3" dataDxfId="92">
  <autoFilter ref="A1:C154" xr:uid="{ADE72E7A-0DB0-4383-8DA6-330004A96BD0}"/>
  <tableColumns count="3">
    <tableColumn id="1" xr3:uid="{F73397ED-6858-4813-B93E-2A498EEFD6E3}" name="state" dataDxfId="91"/>
    <tableColumn id="2" xr3:uid="{EAD47E40-4750-4C1A-A537-F6E5EF6A8690}" name="year" dataDxfId="90"/>
    <tableColumn id="3" xr3:uid="{4E1E205E-B487-4A34-A35C-C243A187E68E}" name="population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8" dataDxfId="87">
  <autoFilter ref="A1:D1141" xr:uid="{582D4DAA-0A5B-4D25-ABF1-823CB17290ED}"/>
  <tableColumns count="4">
    <tableColumn id="2" xr3:uid="{A9C8722C-57C5-40ED-81D2-F9D452B57E3E}" name="veh_type" dataDxfId="86"/>
    <tableColumn id="1" xr3:uid="{3C2D67BB-3546-42C7-9841-AE339E1104FD}" name="veh_subtype" dataDxfId="85"/>
    <tableColumn id="3" xr3:uid="{0DD6F3F8-56C6-4110-A8A5-7C8CD018E715}" name="year" dataDxfId="84"/>
    <tableColumn id="4" xr3:uid="{753CDE3B-EF5E-47F8-951F-924B91E92EDB}" name="mpg_gasoline_eq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2"/>
    <tableColumn id="3" xr3:uid="{5494E6D8-5555-4D07-A136-D2F095F89A0D}" name="2021" dataDxfId="81"/>
    <tableColumn id="4" xr3:uid="{CB4CDFAB-90E2-419E-8EE6-8088731A718B}" name="2022" dataDxfId="80"/>
    <tableColumn id="5" xr3:uid="{BC7EE75F-AFCD-4529-B49D-65B37D50E18B}" name="2023" dataDxfId="79"/>
    <tableColumn id="6" xr3:uid="{2623A818-04D3-4CB7-9536-20CF33F0B445}" name="2024" dataDxfId="78"/>
    <tableColumn id="7" xr3:uid="{C39B458D-DADB-4DC8-8072-5961431A9CC2}" name="2025" dataDxfId="77"/>
    <tableColumn id="8" xr3:uid="{948F76BF-D2B4-4121-B3D8-5EDC8BE89BBD}" name="2026" dataDxfId="76"/>
    <tableColumn id="9" xr3:uid="{86DCCC54-C9B2-482B-A28E-FB136851756A}" name="2027" dataDxfId="75"/>
    <tableColumn id="10" xr3:uid="{1F24E1A2-102B-4F50-B2EF-531364FD506A}" name="2028" dataDxfId="74"/>
    <tableColumn id="11" xr3:uid="{B5BD79DC-374C-41E2-BBE0-C4FA5CA7266B}" name="2029" dataDxfId="73"/>
    <tableColumn id="12" xr3:uid="{6040F6C0-728F-4F56-82FA-8F335B346240}" name="2030" dataDxfId="72"/>
    <tableColumn id="13" xr3:uid="{777D8B44-0C5D-412C-83B4-00F03632ECF9}" name="2031" dataDxfId="71"/>
    <tableColumn id="14" xr3:uid="{9EC73B4B-E136-4AB8-B77D-C1FE60128A72}" name="2032" dataDxfId="70"/>
    <tableColumn id="15" xr3:uid="{87DBED95-4E40-4F35-AC1E-B196183A1426}" name="2033" dataDxfId="69"/>
    <tableColumn id="16" xr3:uid="{F1439027-BBF2-49AA-A591-3632F24804A1}" name="2034" dataDxfId="68"/>
    <tableColumn id="17" xr3:uid="{F7968730-192F-404F-9B45-308DDE081907}" name="2035" dataDxfId="67"/>
    <tableColumn id="18" xr3:uid="{7A7C733C-F5A6-49A9-BFF2-A495AEEB66C2}" name="2036" dataDxfId="66"/>
    <tableColumn id="19" xr3:uid="{58026119-8B8F-4A3D-83CA-4C8B006005FF}" name="2037" dataDxfId="65"/>
    <tableColumn id="20" xr3:uid="{0DC2964A-45E1-4675-9A45-6F69DA155672}" name="2038" dataDxfId="64"/>
    <tableColumn id="21" xr3:uid="{84BBC27E-E152-41D2-9036-587EF7DB9FF2}" name="2039" dataDxfId="63"/>
    <tableColumn id="22" xr3:uid="{3807A9C4-C050-4A3A-952A-5859AD2AE874}" name="2040" dataDxfId="62"/>
    <tableColumn id="23" xr3:uid="{FF9A5B48-C7D9-4B91-84E5-63297F2C4FEC}" name="2041" dataDxfId="61"/>
    <tableColumn id="24" xr3:uid="{8B5085CD-A302-4A03-B5EA-F22DABEA8C34}" name="2042" dataDxfId="60"/>
    <tableColumn id="25" xr3:uid="{136F35CC-46CA-4CB2-AA82-25188F53F90B}" name="2043" dataDxfId="59"/>
    <tableColumn id="26" xr3:uid="{D9C87554-6CC8-4B3B-873C-8198436EB206}" name="2044" dataDxfId="58"/>
    <tableColumn id="27" xr3:uid="{A5A1C6D2-F476-404B-8688-89130BE3DF0D}" name="2045" dataDxfId="57"/>
    <tableColumn id="28" xr3:uid="{88296D41-DBE1-4E61-96BF-AEF8FC13BE35}" name="2046" dataDxfId="56"/>
    <tableColumn id="29" xr3:uid="{CE07A51A-2B10-4EA2-ACE8-6F4BE2476DCE}" name="2047" dataDxfId="55"/>
    <tableColumn id="30" xr3:uid="{1DAC48BA-1924-498D-8FC3-861C248885FC}" name="2048" dataDxfId="54"/>
    <tableColumn id="31" xr3:uid="{B688E9DA-A549-42F4-AB8B-FDE0EFCB9009}" name="2049" dataDxfId="53"/>
    <tableColumn id="32" xr3:uid="{24389340-B3AB-4C24-8D9C-A0BD7675F042}" name="2050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1" dataDxfId="50">
  <autoFilter ref="A1:C125" xr:uid="{3CAC199F-1E44-400D-AE49-2DF031458F28}"/>
  <tableColumns count="3">
    <tableColumn id="1" xr3:uid="{51DE3611-329C-41B0-A4DB-52AE83C97AC8}" name="veh_type" dataDxfId="49"/>
    <tableColumn id="2" xr3:uid="{591F901E-48BF-4AA2-83C5-3ABFD077C4E7}" name="year" dataDxfId="48"/>
    <tableColumn id="3" xr3:uid="{68ED531E-CBD1-4FD0-B6FE-39DCA60A2D35}" name="VMT_AE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6" dataDxfId="45">
  <autoFilter ref="A1:H743" xr:uid="{1316E024-4D78-4E5E-A3BE-D1D66BF710F0}"/>
  <tableColumns count="8">
    <tableColumn id="1" xr3:uid="{8197FE9A-A39C-4187-B5AC-62137B98FA8C}" name="state" dataDxfId="44"/>
    <tableColumn id="2" xr3:uid="{33E598CD-870F-42AB-891F-120C293216E4}" name="road_class" dataDxfId="43"/>
    <tableColumn id="8" xr3:uid="{497DF0FF-D0A2-4A0F-AFE6-132C97C1B5AD}" name="area_type" dataDxfId="42"/>
    <tableColumn id="3" xr3:uid="{776B704E-54DA-4B36-942C-A38CD577374B}" name="VMT" dataDxfId="41"/>
    <tableColumn id="4" xr3:uid="{BDC6225D-BEFD-46A2-B173-8338BF6CD1D9}" name="ln_mile" dataDxfId="40"/>
    <tableColumn id="5" xr3:uid="{24DAA4FA-2524-49F1-8BF5-F7D985D4CF64}" name="cntrln_mile" dataDxfId="39"/>
    <tableColumn id="6" xr3:uid="{08E78B07-AE22-4A69-BADE-9D39986335D3}" name="AADT" dataDxfId="38"/>
    <tableColumn id="7" xr3:uid="{863F524C-50D9-4550-847E-504CEE40EC23}" name="VMT_perl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6"/>
    <tableColumn id="3" xr3:uid="{FEC27B6E-BBC0-45E0-8D54-901A00210403}" name="CO2eq_lbs_MWh" dataDxfId="35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4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3" dataDxfId="32">
  <autoFilter ref="A1:J52" xr:uid="{8F71A607-355D-4561-B371-DF64A33BAB60}"/>
  <tableColumns count="10">
    <tableColumn id="1" xr3:uid="{FCA1C28F-7FB1-4E75-ABE4-772AFC6C788B}" name="source" dataDxfId="31"/>
    <tableColumn id="2" xr3:uid="{8F610959-9FEF-4037-AD50-D15004FDEC97}" name="state " dataDxfId="30"/>
    <tableColumn id="3" xr3:uid="{DC14385D-FE79-4EBC-B031-AAF6DF063175}" name="gas_regular" dataDxfId="29"/>
    <tableColumn id="4" xr3:uid="{30495008-5280-426E-A40F-3CBF7D9B9A92}" name="gas_mid" dataDxfId="28"/>
    <tableColumn id="5" xr3:uid="{66FA34E8-985C-461A-9962-D27A2E7BC3B6}" name="gas_premium" dataDxfId="27"/>
    <tableColumn id="6" xr3:uid="{9B04AF70-034B-4C94-AFF3-98D10D1FD236}" name="gas_diesel" dataDxfId="26"/>
    <tableColumn id="7" xr3:uid="{2118497B-7145-40BC-9331-03F557AA7959}" name="electricity_retail_avg" dataDxfId="25"/>
    <tableColumn id="8" xr3:uid="{ACAB8D01-5214-4549-830E-B7BF39440F10}" name="electricity_summer_capacity" dataDxfId="24"/>
    <tableColumn id="9" xr3:uid="{E2BC6161-14F8-44FD-9F20-BBB936BC725E}" name="electricity_net_generation" dataDxfId="23"/>
    <tableColumn id="10" xr3:uid="{EBA42203-1B14-46B5-AF40-8E9C9B3EBA3C}" name="electricity_retail_sales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1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20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abSelected="1" topLeftCell="A974" workbookViewId="0">
      <selection activeCell="A1001" sqref="A100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244</v>
      </c>
      <c r="B992">
        <v>2021</v>
      </c>
      <c r="C992">
        <v>117734</v>
      </c>
    </row>
    <row r="993" spans="1:3" x14ac:dyDescent="0.35">
      <c r="A993" t="s">
        <v>244</v>
      </c>
      <c r="B993">
        <v>2022</v>
      </c>
      <c r="C993">
        <v>118965.94291047599</v>
      </c>
    </row>
    <row r="994" spans="1:3" x14ac:dyDescent="0.35">
      <c r="A994" t="s">
        <v>244</v>
      </c>
      <c r="B994">
        <v>2023</v>
      </c>
      <c r="C994">
        <v>120197.88582095198</v>
      </c>
    </row>
    <row r="995" spans="1:3" x14ac:dyDescent="0.35">
      <c r="A995" t="s">
        <v>244</v>
      </c>
      <c r="B995">
        <v>2024</v>
      </c>
      <c r="C995">
        <v>121429.82873142799</v>
      </c>
    </row>
    <row r="996" spans="1:3" x14ac:dyDescent="0.35">
      <c r="A996" t="s">
        <v>244</v>
      </c>
      <c r="B996">
        <v>2025</v>
      </c>
      <c r="C996">
        <v>122661.77164190395</v>
      </c>
    </row>
    <row r="997" spans="1:3" x14ac:dyDescent="0.35">
      <c r="A997" t="s">
        <v>244</v>
      </c>
      <c r="B997">
        <v>2026</v>
      </c>
      <c r="C997">
        <v>123893.71455237994</v>
      </c>
    </row>
    <row r="998" spans="1:3" x14ac:dyDescent="0.35">
      <c r="A998" t="s">
        <v>244</v>
      </c>
      <c r="B998">
        <v>2027</v>
      </c>
      <c r="C998">
        <v>125125.65746285593</v>
      </c>
    </row>
    <row r="999" spans="1:3" x14ac:dyDescent="0.35">
      <c r="A999" t="s">
        <v>244</v>
      </c>
      <c r="B999">
        <v>2028</v>
      </c>
      <c r="C999">
        <v>126357.60037333192</v>
      </c>
    </row>
    <row r="1000" spans="1:3" x14ac:dyDescent="0.35">
      <c r="A1000" t="s">
        <v>244</v>
      </c>
      <c r="B1000">
        <v>2029</v>
      </c>
      <c r="C1000">
        <v>127589.54328380793</v>
      </c>
    </row>
    <row r="1001" spans="1:3" x14ac:dyDescent="0.35">
      <c r="A1001" t="s">
        <v>244</v>
      </c>
      <c r="B1001">
        <v>2030</v>
      </c>
      <c r="C1001">
        <v>128821.48619428392</v>
      </c>
    </row>
    <row r="1002" spans="1:3" x14ac:dyDescent="0.35">
      <c r="A1002" t="s">
        <v>244</v>
      </c>
      <c r="B1002">
        <v>2031</v>
      </c>
      <c r="C1002">
        <v>130053.42910475978</v>
      </c>
    </row>
    <row r="1003" spans="1:3" x14ac:dyDescent="0.35">
      <c r="A1003" t="s">
        <v>244</v>
      </c>
      <c r="B1003">
        <v>2032</v>
      </c>
      <c r="C1003">
        <v>131150.86294994285</v>
      </c>
    </row>
    <row r="1004" spans="1:3" x14ac:dyDescent="0.35">
      <c r="A1004" t="s">
        <v>244</v>
      </c>
      <c r="B1004">
        <v>2033</v>
      </c>
      <c r="C1004">
        <v>132248.29679512593</v>
      </c>
    </row>
    <row r="1005" spans="1:3" x14ac:dyDescent="0.35">
      <c r="A1005" t="s">
        <v>244</v>
      </c>
      <c r="B1005">
        <v>2034</v>
      </c>
      <c r="C1005">
        <v>133345.73064030899</v>
      </c>
    </row>
    <row r="1006" spans="1:3" x14ac:dyDescent="0.35">
      <c r="A1006" t="s">
        <v>244</v>
      </c>
      <c r="B1006">
        <v>2035</v>
      </c>
      <c r="C1006">
        <v>134443.16448549205</v>
      </c>
    </row>
    <row r="1007" spans="1:3" x14ac:dyDescent="0.35">
      <c r="A1007" t="s">
        <v>244</v>
      </c>
      <c r="B1007">
        <v>2036</v>
      </c>
      <c r="C1007">
        <v>135540.5983306751</v>
      </c>
    </row>
    <row r="1008" spans="1:3" x14ac:dyDescent="0.35">
      <c r="A1008" t="s">
        <v>244</v>
      </c>
      <c r="B1008">
        <v>2037</v>
      </c>
      <c r="C1008">
        <v>136638.03217585818</v>
      </c>
    </row>
    <row r="1009" spans="1:3" x14ac:dyDescent="0.35">
      <c r="A1009" t="s">
        <v>244</v>
      </c>
      <c r="B1009">
        <v>2038</v>
      </c>
      <c r="C1009">
        <v>137735.46602104124</v>
      </c>
    </row>
    <row r="1010" spans="1:3" x14ac:dyDescent="0.35">
      <c r="A1010" t="s">
        <v>244</v>
      </c>
      <c r="B1010">
        <v>2039</v>
      </c>
      <c r="C1010">
        <v>138832.89986622432</v>
      </c>
    </row>
    <row r="1011" spans="1:3" x14ac:dyDescent="0.35">
      <c r="A1011" t="s">
        <v>244</v>
      </c>
      <c r="B1011">
        <v>2040</v>
      </c>
      <c r="C1011">
        <v>139930.33371140735</v>
      </c>
    </row>
    <row r="1012" spans="1:3" x14ac:dyDescent="0.35">
      <c r="A1012" t="s">
        <v>244</v>
      </c>
      <c r="B1012">
        <v>2041</v>
      </c>
      <c r="C1012">
        <v>141027.76755659049</v>
      </c>
    </row>
    <row r="1013" spans="1:3" x14ac:dyDescent="0.35">
      <c r="A1013" t="s">
        <v>244</v>
      </c>
      <c r="B1013">
        <v>2042</v>
      </c>
      <c r="C1013">
        <v>142217.80649898967</v>
      </c>
    </row>
    <row r="1014" spans="1:3" x14ac:dyDescent="0.35">
      <c r="A1014" t="s">
        <v>244</v>
      </c>
      <c r="B1014">
        <v>2043</v>
      </c>
      <c r="C1014">
        <v>143407.84544138884</v>
      </c>
    </row>
    <row r="1015" spans="1:3" x14ac:dyDescent="0.35">
      <c r="A1015" t="s">
        <v>244</v>
      </c>
      <c r="B1015">
        <v>2044</v>
      </c>
      <c r="C1015">
        <v>144597.88438378801</v>
      </c>
    </row>
    <row r="1016" spans="1:3" x14ac:dyDescent="0.35">
      <c r="A1016" t="s">
        <v>244</v>
      </c>
      <c r="B1016">
        <v>2045</v>
      </c>
      <c r="C1016">
        <v>145787.92332618716</v>
      </c>
    </row>
    <row r="1017" spans="1:3" x14ac:dyDescent="0.35">
      <c r="A1017" t="s">
        <v>244</v>
      </c>
      <c r="B1017">
        <v>2046</v>
      </c>
      <c r="C1017">
        <v>146977.9622685863</v>
      </c>
    </row>
    <row r="1018" spans="1:3" x14ac:dyDescent="0.35">
      <c r="A1018" t="s">
        <v>244</v>
      </c>
      <c r="B1018">
        <v>2047</v>
      </c>
      <c r="C1018">
        <v>148168.00121098547</v>
      </c>
    </row>
    <row r="1019" spans="1:3" x14ac:dyDescent="0.35">
      <c r="A1019" t="s">
        <v>244</v>
      </c>
      <c r="B1019">
        <v>2048</v>
      </c>
      <c r="C1019">
        <v>149358.04015338465</v>
      </c>
    </row>
    <row r="1020" spans="1:3" x14ac:dyDescent="0.35">
      <c r="A1020" t="s">
        <v>244</v>
      </c>
      <c r="B1020">
        <v>2049</v>
      </c>
      <c r="C1020">
        <v>150548.07909578382</v>
      </c>
    </row>
    <row r="1021" spans="1:3" x14ac:dyDescent="0.35">
      <c r="A1021" t="s">
        <v>244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245</v>
      </c>
      <c r="B1202">
        <v>2021</v>
      </c>
      <c r="C1202">
        <v>57492</v>
      </c>
    </row>
    <row r="1203" spans="1:3" x14ac:dyDescent="0.35">
      <c r="A1203" t="s">
        <v>245</v>
      </c>
      <c r="B1203">
        <v>2022</v>
      </c>
      <c r="C1203">
        <v>58165.863726137752</v>
      </c>
    </row>
    <row r="1204" spans="1:3" x14ac:dyDescent="0.35">
      <c r="A1204" t="s">
        <v>245</v>
      </c>
      <c r="B1204">
        <v>2023</v>
      </c>
      <c r="C1204">
        <v>58839.727452275503</v>
      </c>
    </row>
    <row r="1205" spans="1:3" x14ac:dyDescent="0.35">
      <c r="A1205" t="s">
        <v>245</v>
      </c>
      <c r="B1205">
        <v>2024</v>
      </c>
      <c r="C1205">
        <v>59513.591178413255</v>
      </c>
    </row>
    <row r="1206" spans="1:3" x14ac:dyDescent="0.35">
      <c r="A1206" t="s">
        <v>245</v>
      </c>
      <c r="B1206">
        <v>2025</v>
      </c>
      <c r="C1206">
        <v>60187.454904551014</v>
      </c>
    </row>
    <row r="1207" spans="1:3" x14ac:dyDescent="0.35">
      <c r="A1207" t="s">
        <v>245</v>
      </c>
      <c r="B1207">
        <v>2026</v>
      </c>
      <c r="C1207">
        <v>60861.318630688766</v>
      </c>
    </row>
    <row r="1208" spans="1:3" x14ac:dyDescent="0.35">
      <c r="A1208" t="s">
        <v>245</v>
      </c>
      <c r="B1208">
        <v>2027</v>
      </c>
      <c r="C1208">
        <v>61535.182356826517</v>
      </c>
    </row>
    <row r="1209" spans="1:3" x14ac:dyDescent="0.35">
      <c r="A1209" t="s">
        <v>245</v>
      </c>
      <c r="B1209">
        <v>2028</v>
      </c>
      <c r="C1209">
        <v>62209.046082964269</v>
      </c>
    </row>
    <row r="1210" spans="1:3" x14ac:dyDescent="0.35">
      <c r="A1210" t="s">
        <v>245</v>
      </c>
      <c r="B1210">
        <v>2029</v>
      </c>
      <c r="C1210">
        <v>62882.909809102021</v>
      </c>
    </row>
    <row r="1211" spans="1:3" x14ac:dyDescent="0.35">
      <c r="A1211" t="s">
        <v>245</v>
      </c>
      <c r="B1211">
        <v>2030</v>
      </c>
      <c r="C1211">
        <v>63556.773535239772</v>
      </c>
    </row>
    <row r="1212" spans="1:3" x14ac:dyDescent="0.35">
      <c r="A1212" t="s">
        <v>245</v>
      </c>
      <c r="B1212">
        <v>2031</v>
      </c>
      <c r="C1212">
        <v>64230.637261377538</v>
      </c>
    </row>
    <row r="1213" spans="1:3" x14ac:dyDescent="0.35">
      <c r="A1213" t="s">
        <v>245</v>
      </c>
      <c r="B1213">
        <v>2032</v>
      </c>
      <c r="C1213">
        <v>64851.907869280156</v>
      </c>
    </row>
    <row r="1214" spans="1:3" x14ac:dyDescent="0.35">
      <c r="A1214" t="s">
        <v>245</v>
      </c>
      <c r="B1214">
        <v>2033</v>
      </c>
      <c r="C1214">
        <v>65473.178477182781</v>
      </c>
    </row>
    <row r="1215" spans="1:3" x14ac:dyDescent="0.35">
      <c r="A1215" t="s">
        <v>245</v>
      </c>
      <c r="B1215">
        <v>2034</v>
      </c>
      <c r="C1215">
        <v>66094.449085085391</v>
      </c>
    </row>
    <row r="1216" spans="1:3" x14ac:dyDescent="0.35">
      <c r="A1216" t="s">
        <v>245</v>
      </c>
      <c r="B1216">
        <v>2035</v>
      </c>
      <c r="C1216">
        <v>66715.719692988016</v>
      </c>
    </row>
    <row r="1217" spans="1:3" x14ac:dyDescent="0.35">
      <c r="A1217" t="s">
        <v>245</v>
      </c>
      <c r="B1217">
        <v>2036</v>
      </c>
      <c r="C1217">
        <v>67336.990300890626</v>
      </c>
    </row>
    <row r="1218" spans="1:3" x14ac:dyDescent="0.35">
      <c r="A1218" t="s">
        <v>245</v>
      </c>
      <c r="B1218">
        <v>2037</v>
      </c>
      <c r="C1218">
        <v>67958.260908793236</v>
      </c>
    </row>
    <row r="1219" spans="1:3" x14ac:dyDescent="0.35">
      <c r="A1219" t="s">
        <v>245</v>
      </c>
      <c r="B1219">
        <v>2038</v>
      </c>
      <c r="C1219">
        <v>68579.531516695846</v>
      </c>
    </row>
    <row r="1220" spans="1:3" x14ac:dyDescent="0.35">
      <c r="A1220" t="s">
        <v>245</v>
      </c>
      <c r="B1220">
        <v>2039</v>
      </c>
      <c r="C1220">
        <v>69200.802124598471</v>
      </c>
    </row>
    <row r="1221" spans="1:3" x14ac:dyDescent="0.35">
      <c r="A1221" t="s">
        <v>245</v>
      </c>
      <c r="B1221">
        <v>2040</v>
      </c>
      <c r="C1221">
        <v>69822.072732501096</v>
      </c>
    </row>
    <row r="1222" spans="1:3" x14ac:dyDescent="0.35">
      <c r="A1222" t="s">
        <v>245</v>
      </c>
      <c r="B1222">
        <v>2041</v>
      </c>
      <c r="C1222">
        <v>70443.343340403691</v>
      </c>
    </row>
    <row r="1223" spans="1:3" x14ac:dyDescent="0.35">
      <c r="A1223" t="s">
        <v>245</v>
      </c>
      <c r="B1223">
        <v>2042</v>
      </c>
      <c r="C1223">
        <v>71124.706325511448</v>
      </c>
    </row>
    <row r="1224" spans="1:3" x14ac:dyDescent="0.35">
      <c r="A1224" t="s">
        <v>245</v>
      </c>
      <c r="B1224">
        <v>2043</v>
      </c>
      <c r="C1224">
        <v>71806.069310619205</v>
      </c>
    </row>
    <row r="1225" spans="1:3" x14ac:dyDescent="0.35">
      <c r="A1225" t="s">
        <v>245</v>
      </c>
      <c r="B1225">
        <v>2044</v>
      </c>
      <c r="C1225">
        <v>72487.432295726961</v>
      </c>
    </row>
    <row r="1226" spans="1:3" x14ac:dyDescent="0.35">
      <c r="A1226" t="s">
        <v>245</v>
      </c>
      <c r="B1226">
        <v>2045</v>
      </c>
      <c r="C1226">
        <v>73168.795280834689</v>
      </c>
    </row>
    <row r="1227" spans="1:3" x14ac:dyDescent="0.35">
      <c r="A1227" t="s">
        <v>245</v>
      </c>
      <c r="B1227">
        <v>2046</v>
      </c>
      <c r="C1227">
        <v>73850.158265942446</v>
      </c>
    </row>
    <row r="1228" spans="1:3" x14ac:dyDescent="0.35">
      <c r="A1228" t="s">
        <v>245</v>
      </c>
      <c r="B1228">
        <v>2047</v>
      </c>
      <c r="C1228">
        <v>74531.521251050202</v>
      </c>
    </row>
    <row r="1229" spans="1:3" x14ac:dyDescent="0.35">
      <c r="A1229" t="s">
        <v>245</v>
      </c>
      <c r="B1229">
        <v>2048</v>
      </c>
      <c r="C1229">
        <v>75212.884236157945</v>
      </c>
    </row>
    <row r="1230" spans="1:3" x14ac:dyDescent="0.35">
      <c r="A1230" t="s">
        <v>245</v>
      </c>
      <c r="B1230">
        <v>2049</v>
      </c>
      <c r="C1230">
        <v>75894.247221265701</v>
      </c>
    </row>
    <row r="1231" spans="1:3" x14ac:dyDescent="0.35">
      <c r="A1231" t="s">
        <v>245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318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319</v>
      </c>
      <c r="B2" t="s">
        <v>325</v>
      </c>
      <c r="C2">
        <v>327</v>
      </c>
      <c r="D2">
        <v>798</v>
      </c>
      <c r="E2">
        <v>0</v>
      </c>
    </row>
    <row r="3" spans="1:5" x14ac:dyDescent="0.35">
      <c r="A3" t="s">
        <v>319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319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319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320</v>
      </c>
      <c r="B6" t="s">
        <v>325</v>
      </c>
      <c r="C6">
        <v>150</v>
      </c>
      <c r="D6">
        <v>0</v>
      </c>
      <c r="E6">
        <v>0</v>
      </c>
    </row>
    <row r="7" spans="1:5" x14ac:dyDescent="0.35">
      <c r="A7" t="s">
        <v>320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321</v>
      </c>
      <c r="B10" t="s">
        <v>325</v>
      </c>
      <c r="C10">
        <v>203.25</v>
      </c>
      <c r="D10">
        <v>0</v>
      </c>
      <c r="E10">
        <v>0</v>
      </c>
    </row>
    <row r="11" spans="1:5" x14ac:dyDescent="0.35">
      <c r="A11" t="s">
        <v>321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322</v>
      </c>
      <c r="B14" t="s">
        <v>325</v>
      </c>
      <c r="C14">
        <v>0</v>
      </c>
      <c r="D14">
        <v>798</v>
      </c>
      <c r="E14">
        <v>0</v>
      </c>
    </row>
    <row r="15" spans="1:5" x14ac:dyDescent="0.35">
      <c r="A15" t="s">
        <v>322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323</v>
      </c>
      <c r="B18" t="s">
        <v>325</v>
      </c>
      <c r="C18">
        <v>150</v>
      </c>
      <c r="D18">
        <v>798</v>
      </c>
      <c r="E18">
        <v>0</v>
      </c>
    </row>
    <row r="19" spans="1:5" x14ac:dyDescent="0.35">
      <c r="A19" t="s">
        <v>323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topLeftCell="A151"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317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326</v>
      </c>
      <c r="E1" t="s">
        <v>327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328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329</v>
      </c>
      <c r="C6">
        <v>0.24</v>
      </c>
    </row>
    <row r="7" spans="1:3" x14ac:dyDescent="0.35">
      <c r="A7" t="s">
        <v>156</v>
      </c>
      <c r="B7" t="s">
        <v>329</v>
      </c>
      <c r="C7">
        <v>0.21</v>
      </c>
    </row>
    <row r="8" spans="1:3" x14ac:dyDescent="0.35">
      <c r="A8" t="s">
        <v>66</v>
      </c>
      <c r="B8" t="s">
        <v>329</v>
      </c>
      <c r="C8">
        <v>0.28999999999999998</v>
      </c>
    </row>
    <row r="9" spans="1:3" x14ac:dyDescent="0.35">
      <c r="A9" t="s">
        <v>59</v>
      </c>
      <c r="B9" t="s">
        <v>329</v>
      </c>
      <c r="C9">
        <v>0</v>
      </c>
    </row>
    <row r="10" spans="1:3" x14ac:dyDescent="0.35">
      <c r="A10" t="s">
        <v>70</v>
      </c>
      <c r="B10" t="s">
        <v>329</v>
      </c>
      <c r="C10">
        <v>0</v>
      </c>
    </row>
    <row r="11" spans="1:3" x14ac:dyDescent="0.35">
      <c r="A11" t="s">
        <v>298</v>
      </c>
      <c r="B11" t="s">
        <v>329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185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185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185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185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185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185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185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185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185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185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185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185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185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185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185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185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185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185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185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185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185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185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185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185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185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185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185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185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185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185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184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184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184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184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184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184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184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184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184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184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184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184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184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184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184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184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184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184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184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184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184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184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184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184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184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184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184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184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184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184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196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196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196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196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196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196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196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196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196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196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196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196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196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196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196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196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196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196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196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196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196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196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196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196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196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196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196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196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196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196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308</v>
      </c>
      <c r="D1" t="s">
        <v>309</v>
      </c>
      <c r="E1" t="s">
        <v>310</v>
      </c>
      <c r="F1" t="s">
        <v>311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312</v>
      </c>
      <c r="C1" t="s">
        <v>313</v>
      </c>
      <c r="D1" t="s">
        <v>314</v>
      </c>
      <c r="E1" t="s">
        <v>315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316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workbookViewId="0">
      <selection activeCell="B2" sqref="B2:B56"/>
    </sheetView>
  </sheetViews>
  <sheetFormatPr defaultRowHeight="14.5" x14ac:dyDescent="0.35"/>
  <sheetData>
    <row r="1" spans="1:5" x14ac:dyDescent="0.35">
      <c r="A1" s="23" t="s">
        <v>330</v>
      </c>
      <c r="B1" s="23" t="s">
        <v>1</v>
      </c>
      <c r="C1" s="23" t="s">
        <v>331</v>
      </c>
      <c r="D1" s="23" t="s">
        <v>332</v>
      </c>
      <c r="E1" s="23" t="s">
        <v>333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244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245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334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2024-03-04T08:48:15Z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