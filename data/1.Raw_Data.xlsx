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75" documentId="13_ncr:1_{12930437-8380-4A20-BC55-0F37E67B4891}" xr6:coauthVersionLast="47" xr6:coauthVersionMax="47" xr10:uidLastSave="{B1B8D76C-00D5-4846-BCB1-A43933AB5893}"/>
  <bookViews>
    <workbookView xWindow="270" yWindow="-16320" windowWidth="29040" windowHeight="16440" tabRatio="821" activeTab="1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VMT_State_Allocation" sheetId="9" r:id="rId8"/>
    <sheet name="State_Prices" sheetId="10" r:id="rId9"/>
    <sheet name="Bike_Ped" sheetId="5" r:id="rId10"/>
    <sheet name="Transit_Costs" sheetId="16" r:id="rId11"/>
    <sheet name="NTD_Service" sheetId="12" r:id="rId12"/>
    <sheet name="Fuel_Factors" sheetId="14" r:id="rId13"/>
    <sheet name="Fuel_Factors_Revision" sheetId="22" r:id="rId14"/>
    <sheet name="Warming_Potential" sheetId="17" r:id="rId15"/>
  </sheets>
  <externalReferences>
    <externalReference r:id="rId16"/>
    <externalReference r:id="rId17"/>
    <externalReference r:id="rId18"/>
  </externalReferences>
  <definedNames>
    <definedName name="_xlnm._FilterDatabase" localSheetId="3" hidden="1">AEO_VMT_Base!$A$1:$C$1</definedName>
    <definedName name="_xlnm._FilterDatabase" localSheetId="7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9" l="1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D231" i="12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F194" i="16" a="1"/>
  <c r="F194" i="16" s="1"/>
  <c r="F193" i="16" a="1"/>
  <c r="F193" i="16" s="1"/>
  <c r="F192" i="16" a="1"/>
  <c r="F192" i="16" s="1"/>
  <c r="F191" i="16" a="1"/>
  <c r="F191" i="16" s="1"/>
  <c r="F190" i="16" a="1"/>
  <c r="F190" i="16" s="1"/>
  <c r="F189" i="16" a="1"/>
  <c r="F189" i="16" s="1"/>
  <c r="F188" i="16" a="1"/>
  <c r="F188" i="16" s="1"/>
  <c r="F187" i="16" a="1"/>
  <c r="F187" i="16" s="1"/>
  <c r="F186" i="16" a="1"/>
  <c r="F186" i="16" s="1"/>
  <c r="F185" i="16" a="1"/>
  <c r="F185" i="16" s="1"/>
  <c r="F184" i="16" a="1"/>
  <c r="F184" i="16" s="1"/>
  <c r="F183" i="16" a="1"/>
  <c r="F183" i="16" s="1"/>
  <c r="F182" i="16" a="1"/>
  <c r="F182" i="16" s="1"/>
  <c r="F181" i="16" a="1"/>
  <c r="F181" i="16" s="1"/>
  <c r="F180" i="16" a="1"/>
  <c r="F180" i="16" s="1"/>
  <c r="F179" i="16" a="1"/>
  <c r="F179" i="16" s="1"/>
  <c r="F178" i="16" a="1"/>
  <c r="F178" i="16" s="1"/>
  <c r="F177" i="16" a="1"/>
  <c r="F177" i="16" s="1"/>
  <c r="F176" i="16" a="1"/>
  <c r="F176" i="16" s="1"/>
  <c r="F175" i="16" a="1"/>
  <c r="F175" i="16" s="1"/>
  <c r="F174" i="16"/>
  <c r="F174" i="16" a="1"/>
  <c r="F173" i="16" a="1"/>
  <c r="F173" i="16" s="1"/>
  <c r="F172" i="16"/>
  <c r="F172" i="16" a="1"/>
  <c r="F171" i="16" a="1"/>
  <c r="F171" i="16" s="1"/>
  <c r="F170" i="16"/>
  <c r="F170" i="16" a="1"/>
  <c r="F169" i="16" a="1"/>
  <c r="F169" i="16" s="1"/>
  <c r="F168" i="16" a="1"/>
  <c r="F168" i="16" s="1"/>
  <c r="F167" i="16" a="1"/>
  <c r="F167" i="16" s="1"/>
  <c r="F166" i="16" a="1"/>
  <c r="F166" i="16" s="1"/>
  <c r="F165" i="16" a="1"/>
  <c r="F165" i="16" s="1"/>
  <c r="F164" i="16"/>
  <c r="F164" i="16" a="1"/>
  <c r="F163" i="16" a="1"/>
  <c r="F163" i="16" s="1"/>
  <c r="F162" i="16" a="1"/>
  <c r="F162" i="16" s="1"/>
  <c r="F161" i="16" a="1"/>
  <c r="F161" i="16" s="1"/>
  <c r="F160" i="16" a="1"/>
  <c r="F160" i="16" s="1"/>
  <c r="F159" i="16"/>
  <c r="F159" i="16" a="1"/>
  <c r="F158" i="16" a="1"/>
  <c r="F158" i="16" s="1"/>
  <c r="F157" i="16" a="1"/>
  <c r="F157" i="16" s="1"/>
  <c r="F156" i="16" a="1"/>
  <c r="F156" i="16" s="1"/>
  <c r="F155" i="16"/>
  <c r="F155" i="16" a="1"/>
  <c r="F154" i="16"/>
  <c r="F154" i="16" a="1"/>
  <c r="F153" i="16" a="1"/>
  <c r="F153" i="16" s="1"/>
  <c r="F152" i="16"/>
  <c r="F152" i="16" a="1"/>
  <c r="F151" i="16" a="1"/>
  <c r="F151" i="16" s="1"/>
  <c r="F150" i="16"/>
  <c r="F150" i="16" a="1"/>
  <c r="F149" i="16" a="1"/>
  <c r="F149" i="16" s="1"/>
  <c r="F148" i="16" a="1"/>
  <c r="F148" i="16" s="1"/>
  <c r="F147" i="16" a="1"/>
  <c r="F147" i="16" s="1"/>
  <c r="F146" i="16"/>
  <c r="F146" i="16" a="1"/>
  <c r="F145" i="16" a="1"/>
  <c r="F145" i="16" s="1"/>
  <c r="F144" i="16" a="1"/>
  <c r="F144" i="16" s="1"/>
  <c r="F143" i="16" a="1"/>
  <c r="F143" i="16" s="1"/>
  <c r="F142" i="16" a="1"/>
  <c r="F142" i="16" s="1"/>
  <c r="F141" i="16"/>
  <c r="F141" i="16" a="1"/>
  <c r="F140" i="16"/>
  <c r="F140" i="16" a="1"/>
  <c r="F139" i="16" a="1"/>
  <c r="F139" i="16" s="1"/>
  <c r="F138" i="16"/>
  <c r="F138" i="16" a="1"/>
  <c r="F137" i="16" a="1"/>
  <c r="F137" i="16" s="1"/>
  <c r="F136" i="16"/>
  <c r="F136" i="16" a="1"/>
  <c r="F135" i="16" a="1"/>
  <c r="F135" i="16" s="1"/>
  <c r="F134" i="16" a="1"/>
  <c r="F134" i="16" s="1"/>
  <c r="F133" i="16" a="1"/>
  <c r="F133" i="16" s="1"/>
  <c r="F132" i="16"/>
  <c r="F132" i="16" a="1"/>
  <c r="F131" i="16" a="1"/>
  <c r="F131" i="16" s="1"/>
  <c r="F130" i="16" a="1"/>
  <c r="F130" i="16" s="1"/>
  <c r="F129" i="16"/>
  <c r="F129" i="16" a="1"/>
  <c r="F128" i="16" a="1"/>
  <c r="F128" i="16" s="1"/>
  <c r="F127" i="16" a="1"/>
  <c r="F127" i="16" s="1"/>
  <c r="F126" i="16"/>
  <c r="F126" i="16" a="1"/>
  <c r="F125" i="16" a="1"/>
  <c r="F125" i="16" s="1"/>
  <c r="F124" i="16" a="1"/>
  <c r="F124" i="16" s="1"/>
  <c r="F123" i="16" a="1"/>
  <c r="F123" i="16" s="1"/>
  <c r="F122" i="16"/>
  <c r="F122" i="16" a="1"/>
  <c r="F121" i="16" a="1"/>
  <c r="F121" i="16" s="1"/>
  <c r="F120" i="16"/>
  <c r="F120" i="16" a="1"/>
  <c r="F119" i="16" a="1"/>
  <c r="F119" i="16" s="1"/>
  <c r="F118" i="16"/>
  <c r="F118" i="16" a="1"/>
  <c r="F117" i="16"/>
  <c r="F117" i="16" a="1"/>
  <c r="F116" i="16" a="1"/>
  <c r="F116" i="16" s="1"/>
  <c r="F115" i="16" a="1"/>
  <c r="F115" i="16" s="1"/>
  <c r="F114" i="16" a="1"/>
  <c r="F114" i="16" s="1"/>
  <c r="F113" i="16"/>
  <c r="F113" i="16" a="1"/>
  <c r="F112" i="16"/>
  <c r="F112" i="16" a="1"/>
  <c r="F111" i="16" a="1"/>
  <c r="F111" i="16" s="1"/>
  <c r="F110" i="16" a="1"/>
  <c r="F110" i="16" s="1"/>
  <c r="F109" i="16" a="1"/>
  <c r="F109" i="16" s="1"/>
  <c r="F108" i="16" a="1"/>
  <c r="F108" i="16" s="1"/>
  <c r="F107" i="16"/>
  <c r="F107" i="16" a="1"/>
  <c r="F106" i="16" a="1"/>
  <c r="F106" i="16" s="1"/>
  <c r="F105" i="16" a="1"/>
  <c r="F105" i="16" s="1"/>
  <c r="F104" i="16" a="1"/>
  <c r="F104" i="16" s="1"/>
  <c r="F103" i="16" a="1"/>
  <c r="F103" i="16" s="1"/>
  <c r="F102" i="16" a="1"/>
  <c r="F102" i="16" s="1"/>
  <c r="F101" i="16" a="1"/>
  <c r="F101" i="16" s="1"/>
  <c r="F100" i="16" a="1"/>
  <c r="F100" i="16" s="1"/>
  <c r="F99" i="16" a="1"/>
  <c r="F99" i="16" s="1"/>
  <c r="F98" i="16" a="1"/>
  <c r="F98" i="16" s="1"/>
  <c r="F97" i="16" a="1"/>
  <c r="F97" i="16" s="1"/>
  <c r="F96" i="16" a="1"/>
  <c r="F96" i="16" s="1"/>
  <c r="F95" i="16"/>
  <c r="F95" i="16" a="1"/>
  <c r="F94" i="16" a="1"/>
  <c r="F94" i="16" s="1"/>
  <c r="F93" i="16" a="1"/>
  <c r="F93" i="16" s="1"/>
  <c r="F92" i="16" a="1"/>
  <c r="F92" i="16" s="1"/>
  <c r="F91" i="16"/>
  <c r="F91" i="16" a="1"/>
  <c r="F90" i="16" a="1"/>
  <c r="F90" i="16" s="1"/>
  <c r="F89" i="16" a="1"/>
  <c r="F89" i="16" s="1"/>
  <c r="F88" i="16" a="1"/>
  <c r="F88" i="16" s="1"/>
  <c r="F87" i="16"/>
  <c r="F87" i="16" a="1"/>
  <c r="F86" i="16" a="1"/>
  <c r="F86" i="16" s="1"/>
  <c r="F85" i="16" a="1"/>
  <c r="F85" i="16" s="1"/>
  <c r="F84" i="16" a="1"/>
  <c r="F84" i="16" s="1"/>
  <c r="F83" i="16" a="1"/>
  <c r="F83" i="16" s="1"/>
  <c r="F82" i="16" a="1"/>
  <c r="F82" i="16" s="1"/>
  <c r="F81" i="16" a="1"/>
  <c r="F81" i="16" s="1"/>
  <c r="F80" i="16" a="1"/>
  <c r="F80" i="16" s="1"/>
  <c r="F79" i="16" a="1"/>
  <c r="F79" i="16" s="1"/>
  <c r="F78" i="16" a="1"/>
  <c r="F78" i="16" s="1"/>
  <c r="F77" i="16" a="1"/>
  <c r="F77" i="16" s="1"/>
  <c r="F76" i="16" a="1"/>
  <c r="F76" i="16" s="1"/>
  <c r="F75" i="16"/>
  <c r="F75" i="16" a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/>
  <c r="F63" i="16" a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3" i="16" a="1"/>
  <c r="F53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3" i="16" a="1"/>
  <c r="F43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F24" i="16" a="1"/>
  <c r="F24" i="16" s="1"/>
  <c r="F23" i="16" a="1"/>
  <c r="F23" i="16" s="1"/>
  <c r="F22" i="16" a="1"/>
  <c r="F22" i="16" s="1"/>
  <c r="F21" i="16" a="1"/>
  <c r="F21" i="16" s="1"/>
  <c r="F20" i="16" a="1"/>
  <c r="F20" i="16" s="1"/>
  <c r="F19" i="16" a="1"/>
  <c r="F19" i="16" s="1"/>
  <c r="F18" i="16" a="1"/>
  <c r="F18" i="16" s="1"/>
  <c r="F17" i="16" a="1"/>
  <c r="F17" i="16" s="1"/>
  <c r="F16" i="16" a="1"/>
  <c r="F16" i="16" s="1"/>
  <c r="F15" i="16" a="1"/>
  <c r="F15" i="16" s="1"/>
  <c r="F14" i="16" a="1"/>
  <c r="F14" i="16" s="1"/>
  <c r="F13" i="16" a="1"/>
  <c r="F13" i="16" s="1"/>
  <c r="F12" i="16" a="1"/>
  <c r="F12" i="16" s="1"/>
  <c r="F11" i="16" a="1"/>
  <c r="F11" i="16" s="1"/>
  <c r="F10" i="16" a="1"/>
  <c r="F10" i="16" s="1"/>
  <c r="F9" i="16" a="1"/>
  <c r="F9" i="16" s="1"/>
  <c r="F8" i="16" a="1"/>
  <c r="F8" i="16" s="1"/>
  <c r="F7" i="16" a="1"/>
  <c r="F7" i="16" s="1"/>
  <c r="F6" i="16" a="1"/>
  <c r="F6" i="16" s="1"/>
  <c r="F5" i="16" a="1"/>
  <c r="F5" i="16" s="1"/>
  <c r="F4" i="16" a="1"/>
  <c r="F4" i="16" s="1"/>
  <c r="F3" i="16" a="1"/>
  <c r="F3" i="16" s="1"/>
  <c r="F2" i="16" a="1"/>
  <c r="F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  <c r="G54" i="19" l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Q54" i="19"/>
  <c r="H54" i="19"/>
  <c r="R54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Q19" i="19" l="1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<sst xmlns="http://schemas.openxmlformats.org/spreadsheetml/2006/main" count="8384" uniqueCount="307">
  <si>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</si>
  <si>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</si>
  <si>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</si>
  <si>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</si>
  <si>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</si>
  <si>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</si>
  <si>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</si>
  <si>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</si>
  <si>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</si>
  <si>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</si>
  <si>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</si>
  <si>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</si>
  <si>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</si>
  <si>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</si>
  <si>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</si>
  <si>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</si>
  <si>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</si>
  <si>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</si>
  <si>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</si>
  <si>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</si>
  <si>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</si>
  <si>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</si>
  <si>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</si>
  <si>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</si>
  <si>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</si>
  <si>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</si>
  <si>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</si>
  <si>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</si>
  <si>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</si>
  <si>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</si>
  <si>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</si>
  <si>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</si>
  <si>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</si>
  <si>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</si>
  <si>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</si>
  <si>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</si>
  <si>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</si>
  <si>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</si>
  <si>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</si>
  <si>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</si>
  <si>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</si>
  <si>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</si>
  <si>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</si>
  <si>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</si>
  <si>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</si>
  <si>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</si>
  <si>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</si>
  <si>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</si>
  <si>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</si>
  <si>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</si>
  <si>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</si>
  <si>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</si>
  <si>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</si>
  <si>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</si>
  <si>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</si>
  <si>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</si>
  <si>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</si>
  <si>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</si>
  <si>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</si>
  <si>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</si>
  <si>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</si>
  <si>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</si>
  <si>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</si>
  <si>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</si>
  <si>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</si>
  <si>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</si>
  <si>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</si>
  <si>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</si>
  <si>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</si>
  <si>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</si>
  <si>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</si>
  <si>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</si>
  <si>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</si>
  <si>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</si>
  <si>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</si>
  <si>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</si>
  <si>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</si>
  <si>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</si>
  <si>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</si>
  <si>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</si>
  <si>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</si>
  <si>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</si>
  <si>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</si>
  <si>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</si>
  <si>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</si>
  <si>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</si>
  <si>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</si>
  <si>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</si>
  <si>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</si>
  <si>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</si>
  <si>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</si>
  <si>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</si>
  <si>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</si>
  <si>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</si>
  <si>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</si>
  <si>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</si>
  <si>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</si>
  <si>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</si>
  <si>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</si>
  <si>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</si>
  <si>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</si>
  <si>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</si>
  <si>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</si>
  <si>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</si>
  <si>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</si>
  <si>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</si>
  <si>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</si>
  <si>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</si>
  <si>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</si>
  <si>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</si>
  <si>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</si>
  <si>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</si>
  <si>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</si>
  <si>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</si>
  <si>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</si>
  <si>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</si>
  <si>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</si>
  <si>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</si>
  <si>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</si>
  <si>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</si>
  <si>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</si>
  <si>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</si>
  <si>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</si>
  <si>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</si>
  <si>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</si>
  <si>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</si>
  <si>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</si>
  <si>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</si>
  <si>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</si>
  <si>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</si>
  <si>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</si>
  <si>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</si>
  <si>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</si>
  <si>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</si>
  <si>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</si>
  <si>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</si>
  <si>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</si>
  <si>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</si>
  <si>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</si>
  <si>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</si>
  <si>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</si>
  <si>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</si>
  <si>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</si>
  <si>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</si>
  <si>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</si>
  <si>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</si>
  <si>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</si>
  <si>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</si>
  <si>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</si>
  <si>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</si>
  <si>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</si>
  <si>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</si>
  <si>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</si>
  <si>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</si>
  <si>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</si>
  <si>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</si>
  <si>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</si>
  <si>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</si>
  <si>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Core Urban</t>
  </si>
  <si>
    <t>Shared-use path</t>
  </si>
  <si>
    <t>Bike lane/facility</t>
  </si>
  <si>
    <t>Separated bike lane</t>
  </si>
  <si>
    <t>Sidewalk/ pedestrian facility</t>
  </si>
  <si>
    <t>“Complete Streets” reconstruction</t>
  </si>
  <si>
    <t>Widened Shoulder</t>
  </si>
  <si>
    <t>bike_ped_project_type</t>
  </si>
  <si>
    <t>state 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</si>
  <si>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</si>
  <si>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</si>
  <si>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</si>
  <si>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</si>
  <si>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</si>
  <si>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</si>
  <si>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</si>
  <si>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</si>
  <si>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</si>
  <si>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</si>
  <si>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</si>
  <si>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</si>
  <si>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</si>
  <si>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</si>
  <si>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</si>
  <si>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</si>
  <si>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</si>
  <si>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</si>
  <si>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</si>
  <si>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</si>
  <si>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</si>
  <si>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</si>
  <si>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</si>
  <si>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</si>
  <si>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</si>
  <si>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</si>
  <si>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</si>
  <si>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</si>
  <si>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</si>
  <si>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</si>
  <si>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</si>
  <si>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</si>
  <si>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</si>
  <si>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</si>
  <si>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</si>
  <si>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</si>
  <si>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</si>
  <si>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</si>
  <si>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</si>
  <si>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</si>
  <si>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</si>
  <si>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Medium Duty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</si>
  <si>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</si>
  <si>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</si>
  <si>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</si>
  <si>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</si>
  <si>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</si>
  <si>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</si>
  <si>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</si>
  <si>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</si>
  <si>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</si>
  <si>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</si>
  <si>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Electric</t>
  </si>
  <si>
    <t>Gas PHEV</t>
  </si>
  <si>
    <t>Fuel Cell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</si>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</sst>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82"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ACarsT_v1.8_Local_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apital Project Inputs"/>
      <sheetName val="Strategy Parameters"/>
      <sheetName val="Cost Parameters"/>
      <sheetName val="Scenario Testing"/>
      <sheetName val="Baseline GHG Forecast"/>
      <sheetName val="Scenario and Strategy Summary"/>
      <sheetName val="Cost Effectiveness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Strategy Summary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Custom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81" dataDxfId="80">
  <autoFilter ref="A1:C154" xr:uid="{ADE72E7A-0DB0-4383-8DA6-330004A96BD0}"/>
  <tableColumns count="3">
    <tableColumn id="1" xr3:uid="{F73397ED-6858-4813-B93E-2A498EEFD6E3}" name="state" dataDxfId="79"/>
    <tableColumn id="2" xr3:uid="{EAD47E40-4750-4C1A-A537-F6E5EF6A8690}" name="year" dataDxfId="78"/>
    <tableColumn id="3" xr3:uid="{4E1E205E-B487-4A34-A35C-C243A187E68E}" name="population" dataDxfId="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76" dataDxfId="75">
  <autoFilter ref="A1:D1141" xr:uid="{582D4DAA-0A5B-4D25-ABF1-823CB17290ED}"/>
  <tableColumns count="4">
    <tableColumn id="2" xr3:uid="{A9C8722C-57C5-40ED-81D2-F9D452B57E3E}" name="veh_type" dataDxfId="74"/>
    <tableColumn id="1" xr3:uid="{3C2D67BB-3546-42C7-9841-AE339E1104FD}" name="fuel_type" dataDxfId="73"/>
    <tableColumn id="3" xr3:uid="{0DD6F3F8-56C6-4110-A8A5-7C8CD018E715}" name="year" dataDxfId="72"/>
    <tableColumn id="4" xr3:uid="{753CDE3B-EF5E-47F8-951F-924B91E92EDB}" name="mpg_gasoline_eq" dataDxfId="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70"/>
    <tableColumn id="3" xr3:uid="{5494E6D8-5555-4D07-A136-D2F095F89A0D}" name="2021" dataDxfId="69"/>
    <tableColumn id="4" xr3:uid="{CB4CDFAB-90E2-419E-8EE6-8088731A718B}" name="2022" dataDxfId="68"/>
    <tableColumn id="5" xr3:uid="{BC7EE75F-AFCD-4529-B49D-65B37D50E18B}" name="2023" dataDxfId="67"/>
    <tableColumn id="6" xr3:uid="{2623A818-04D3-4CB7-9536-20CF33F0B445}" name="2024" dataDxfId="66"/>
    <tableColumn id="7" xr3:uid="{C39B458D-DADB-4DC8-8072-5961431A9CC2}" name="2025" dataDxfId="65"/>
    <tableColumn id="8" xr3:uid="{948F76BF-D2B4-4121-B3D8-5EDC8BE89BBD}" name="2026" dataDxfId="64"/>
    <tableColumn id="9" xr3:uid="{86DCCC54-C9B2-482B-A28E-FB136851756A}" name="2027" dataDxfId="63"/>
    <tableColumn id="10" xr3:uid="{1F24E1A2-102B-4F50-B2EF-531364FD506A}" name="2028" dataDxfId="62"/>
    <tableColumn id="11" xr3:uid="{B5BD79DC-374C-41E2-BBE0-C4FA5CA7266B}" name="2029" dataDxfId="61"/>
    <tableColumn id="12" xr3:uid="{6040F6C0-728F-4F56-82FA-8F335B346240}" name="2030" dataDxfId="60"/>
    <tableColumn id="13" xr3:uid="{777D8B44-0C5D-412C-83B4-00F03632ECF9}" name="2031" dataDxfId="59"/>
    <tableColumn id="14" xr3:uid="{9EC73B4B-E136-4AB8-B77D-C1FE60128A72}" name="2032" dataDxfId="58"/>
    <tableColumn id="15" xr3:uid="{87DBED95-4E40-4F35-AC1E-B196183A1426}" name="2033" dataDxfId="57"/>
    <tableColumn id="16" xr3:uid="{F1439027-BBF2-49AA-A591-3632F24804A1}" name="2034" dataDxfId="56"/>
    <tableColumn id="17" xr3:uid="{F7968730-192F-404F-9B45-308DDE081907}" name="2035" dataDxfId="55"/>
    <tableColumn id="18" xr3:uid="{7A7C733C-F5A6-49A9-BFF2-A495AEEB66C2}" name="2036" dataDxfId="54"/>
    <tableColumn id="19" xr3:uid="{58026119-8B8F-4A3D-83CA-4C8B006005FF}" name="2037" dataDxfId="53"/>
    <tableColumn id="20" xr3:uid="{0DC2964A-45E1-4675-9A45-6F69DA155672}" name="2038" dataDxfId="52"/>
    <tableColumn id="21" xr3:uid="{84BBC27E-E152-41D2-9036-587EF7DB9FF2}" name="2039" dataDxfId="51"/>
    <tableColumn id="22" xr3:uid="{3807A9C4-C050-4A3A-952A-5859AD2AE874}" name="2040" dataDxfId="50"/>
    <tableColumn id="23" xr3:uid="{FF9A5B48-C7D9-4B91-84E5-63297F2C4FEC}" name="2041" dataDxfId="49"/>
    <tableColumn id="24" xr3:uid="{8B5085CD-A302-4A03-B5EA-F22DABEA8C34}" name="2042" dataDxfId="48"/>
    <tableColumn id="25" xr3:uid="{136F35CC-46CA-4CB2-AA82-25188F53F90B}" name="2043" dataDxfId="47"/>
    <tableColumn id="26" xr3:uid="{D9C87554-6CC8-4B3B-873C-8198436EB206}" name="2044" dataDxfId="46"/>
    <tableColumn id="27" xr3:uid="{A5A1C6D2-F476-404B-8688-89130BE3DF0D}" name="2045" dataDxfId="45"/>
    <tableColumn id="28" xr3:uid="{88296D41-DBE1-4E61-96BF-AEF8FC13BE35}" name="2046" dataDxfId="44"/>
    <tableColumn id="29" xr3:uid="{CE07A51A-2B10-4EA2-ACE8-6F4BE2476DCE}" name="2047" dataDxfId="43"/>
    <tableColumn id="30" xr3:uid="{1DAC48BA-1924-498D-8FC3-861C248885FC}" name="2048" dataDxfId="42"/>
    <tableColumn id="31" xr3:uid="{B688E9DA-A549-42F4-AB8B-FDE0EFCB9009}" name="2049" dataDxfId="41"/>
    <tableColumn id="32" xr3:uid="{24389340-B3AB-4C24-8D9C-A0BD7675F042}" name="2050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39" dataDxfId="38">
  <autoFilter ref="A1:C125" xr:uid="{3CAC199F-1E44-400D-AE49-2DF031458F28}"/>
  <tableColumns count="3">
    <tableColumn id="1" xr3:uid="{51DE3611-329C-41B0-A4DB-52AE83C97AC8}" name="veh_type" dataDxfId="37"/>
    <tableColumn id="2" xr3:uid="{591F901E-48BF-4AA2-83C5-3ABFD077C4E7}" name="year" dataDxfId="36"/>
    <tableColumn id="3" xr3:uid="{68ED531E-CBD1-4FD0-B6FE-39DCA60A2D35}" name="VMT_AEO" dataDxfId="3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34" dataDxfId="33">
  <autoFilter ref="A1:H743" xr:uid="{1316E024-4D78-4E5E-A3BE-D1D66BF710F0}"/>
  <tableColumns count="8">
    <tableColumn id="1" xr3:uid="{8197FE9A-A39C-4187-B5AC-62137B98FA8C}" name="state" dataDxfId="32"/>
    <tableColumn id="2" xr3:uid="{33E598CD-870F-42AB-891F-120C293216E4}" name="road_class" dataDxfId="31"/>
    <tableColumn id="8" xr3:uid="{497DF0FF-D0A2-4A0F-AFE6-132C97C1B5AD}" name="area_type" dataDxfId="30"/>
    <tableColumn id="3" xr3:uid="{776B704E-54DA-4B36-942C-A38CD577374B}" name="VMT" dataDxfId="29"/>
    <tableColumn id="4" xr3:uid="{BDC6225D-BEFD-46A2-B173-8338BF6CD1D9}" name="ln_mile" dataDxfId="28"/>
    <tableColumn id="5" xr3:uid="{24DAA4FA-2524-49F1-8BF5-F7D985D4CF64}" name="cntrln_mile" dataDxfId="27"/>
    <tableColumn id="6" xr3:uid="{08E78B07-AE22-4A69-BADE-9D39986335D3}" name="AADT" dataDxfId="26"/>
    <tableColumn id="7" xr3:uid="{863F524C-50D9-4550-847E-504CEE40EC23}" name="VMT_perln" dataDxfId="2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D52" totalsRowShown="0">
  <autoFilter ref="A1:D52" xr:uid="{AF7C35B9-8FE5-4041-A7B8-E1A84CB12C3D}"/>
  <tableColumns count="4">
    <tableColumn id="1" xr3:uid="{45CA7A43-AA6B-4C86-8B4D-AAB410C7E1C6}" name="state"/>
    <tableColumn id="2" xr3:uid="{5CF42C05-08A7-42B5-BC47-0AEEE4AC6C72}" name="year" dataDxfId="24"/>
    <tableColumn id="3" xr3:uid="{FEC27B6E-BBC0-45E0-8D54-901A00210403}" name="CO2eq_lbs_MWh" dataDxfId="23"/>
    <tableColumn id="4" xr3:uid="{2895651D-5EC8-4717-945D-3D007960FE15}" name="CO2eq_g_kW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22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21" dataDxfId="20">
  <autoFilter ref="A1:J52" xr:uid="{8F71A607-355D-4561-B371-DF64A33BAB60}"/>
  <tableColumns count="10">
    <tableColumn id="1" xr3:uid="{FCA1C28F-7FB1-4E75-ABE4-772AFC6C788B}" name="source" dataDxfId="19"/>
    <tableColumn id="2" xr3:uid="{8F610959-9FEF-4037-AD50-D15004FDEC97}" name="state " dataDxfId="18"/>
    <tableColumn id="3" xr3:uid="{DC14385D-FE79-4EBC-B031-AAF6DF063175}" name="gas_regular" dataDxfId="17"/>
    <tableColumn id="4" xr3:uid="{30495008-5280-426E-A40F-3CBF7D9B9A92}" name="gas_mid" dataDxfId="16"/>
    <tableColumn id="5" xr3:uid="{66FA34E8-985C-461A-9962-D27A2E7BC3B6}" name="gas_premium" dataDxfId="15"/>
    <tableColumn id="6" xr3:uid="{9B04AF70-034B-4C94-AFF3-98D10D1FD236}" name="gas_diesel" dataDxfId="14"/>
    <tableColumn id="7" xr3:uid="{2118497B-7145-40BC-9331-03F557AA7959}" name="electricity_retail_avg" dataDxfId="13"/>
    <tableColumn id="8" xr3:uid="{ACAB8D01-5214-4549-830E-B7BF39440F10}" name="electricity_summer_capacity" dataDxfId="12"/>
    <tableColumn id="9" xr3:uid="{E2BC6161-14F8-44FD-9F20-BBB936BC725E}" name="electricity_net_generation" dataDxfId="11"/>
    <tableColumn id="10" xr3:uid="{EBA42203-1B14-46B5-AF40-8E9C9B3EBA3C}" name="electricity_retail_sales" dataDxfId="1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9">
  <autoFilter ref="A1:E22" xr:uid="{8B4E7E83-799B-427A-A3DA-A7D8C89C054B}"/>
  <tableColumns count="5">
    <tableColumn id="1" xr3:uid="{16080A00-286A-46F0-B3AC-AB7A89FB70FC}" name="bike_ped_project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F194" totalsRowShown="0" headerRowDxfId="8" headerRowCellStyle="Percent">
  <autoFilter ref="A1:F194" xr:uid="{B4795AAF-4610-425F-8F68-4147C1C92E9B}"/>
  <tableColumns count="6">
    <tableColumn id="1" xr3:uid="{3700977E-9911-44C0-B2F1-15979A419435}" name="state_code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SUM(C2:D2-E2)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7">
      <calculatedColumnFormula>F2/E2</calculatedColumnFormula>
    </tableColumn>
    <tableColumn id="8" xr3:uid="{D8D93C7A-8CA9-4D72-844F-B335D2C20C19}" name="total_pass_miles" dataDxfId="6"/>
    <tableColumn id="10" xr3:uid="{F5AEBFD2-08D8-4868-BAFE-9688429964B0}" name="load_factor" dataDxfId="5"/>
    <tableColumn id="11" xr3:uid="{05EF0C75-B302-4BAB-8F15-9D21DC18BA9D}" name="avg_trip_length" dataDxfId="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M17" totalsRowShown="0">
  <autoFilter ref="A1:M17" xr:uid="{62EC80A7-DBC4-4CDB-B48F-50BC0B39765B}"/>
  <tableColumns count="13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3"/>
    <tableColumn id="6" xr3:uid="{E24522AC-FEF6-4CF1-A652-CD1CACE1519C}" name="GWP_N20_g_per_mi" dataDxfId="2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"/>
    <tableColumn id="10" xr3:uid="{236B1E85-CD34-4728-A85A-22981CBD37AD}" name="GWP_N20_g_per_gallon" dataDxfId="0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fuel_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40" workbookViewId="0">
      <selection activeCell="A53" sqref="A53"/>
    </sheetView>
  </sheetViews>
  <sheetFormatPr defaultRowHeight="14.5" x14ac:dyDescent="0.35"/>
  <cols>
    <col min="3" max="3" width="12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253</v>
      </c>
      <c r="B68" s="1">
        <v>2020</v>
      </c>
      <c r="C68" s="1">
        <v>10568032.77</v>
      </c>
    </row>
    <row r="69" spans="1:3" x14ac:dyDescent="0.35">
      <c r="A69" s="1" t="s">
        <v>253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254</v>
      </c>
      <c r="B82" s="1">
        <v>2020</v>
      </c>
      <c r="C82" s="1">
        <v>5184564.4369999999</v>
      </c>
    </row>
    <row r="83" spans="1:3" x14ac:dyDescent="0.35">
      <c r="A83" s="1" t="s">
        <v>254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253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254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abSelected="1" workbookViewId="0">
      <selection activeCell="B2" sqref="B2"/>
    </sheetView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52</v>
      </c>
      <c r="C1" s="9" t="s">
        <v>1</v>
      </c>
      <c r="D1" s="9" t="s">
        <v>54</v>
      </c>
    </row>
    <row r="2" spans="1:4" x14ac:dyDescent="0.35">
      <c r="A2" s="1" t="s">
        <v>204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204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204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204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204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204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204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204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204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204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204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204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204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204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204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204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204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204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204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204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204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204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204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204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204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204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204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204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204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204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204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204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204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204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204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204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204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204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204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204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204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204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204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204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204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204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204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204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204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204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204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204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204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204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204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204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204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204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204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204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204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204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204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204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204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204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204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204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204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204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204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204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204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204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204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204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204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204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204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204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204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204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204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204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204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204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204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204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204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204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204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204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204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204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204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204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204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204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204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204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204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204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204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204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204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204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204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204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204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204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204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204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204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204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204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204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204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204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204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204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204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204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204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204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204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204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204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204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204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204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204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204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204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204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204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204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204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204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204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204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204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204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204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204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204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204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204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204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204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204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204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204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204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204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204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204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204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204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204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204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204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204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204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204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204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204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204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204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204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204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204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204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204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204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204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204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204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204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204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204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204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204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204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204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204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204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204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204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204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204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204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204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204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204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204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204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204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204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204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204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204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204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204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204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204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204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204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204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204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204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204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204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204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204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204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204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204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204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204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204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204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204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204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204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204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204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204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204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204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204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204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204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204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204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204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204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204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204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204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204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204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204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204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204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204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204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204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204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204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204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204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204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204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204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204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204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204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204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204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204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204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204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204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204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204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204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204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204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204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204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204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204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204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204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204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204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204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204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204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204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204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204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204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204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204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204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204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204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204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204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204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204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204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204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204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204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204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204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204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204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204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204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204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204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204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204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204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204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204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204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204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204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204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204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204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204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204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204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204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204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204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204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204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204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204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204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204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204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204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204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192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192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192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192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192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192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192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192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192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192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192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192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192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192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192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192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192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192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192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192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192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192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192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192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192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192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192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192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192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192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192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192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192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192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192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192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192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192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192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192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192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192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192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192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192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192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192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192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192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192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192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192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192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192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192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192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192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192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192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192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192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192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192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192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192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192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192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192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192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192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192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192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192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192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192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192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192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192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192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192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192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192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192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192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192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192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192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192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192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192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192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192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192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192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192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192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192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192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192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192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192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192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192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192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192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192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192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192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192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192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192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192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192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192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192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192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192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192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192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192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192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192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192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192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192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192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192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192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192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192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192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192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192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192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192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192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192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192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192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192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192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192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192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192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192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192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192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192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192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192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192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192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192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192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192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192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192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192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192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192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192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192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192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192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192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192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192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192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192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192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192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192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192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192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192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192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192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192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192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192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192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192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192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192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192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192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192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192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192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192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192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192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192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192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192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192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192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192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192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192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192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192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192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192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192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192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192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192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192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192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192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192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192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192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192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192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192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192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192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192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192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192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192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192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192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192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192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192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192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192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192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192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192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192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192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192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192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192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192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192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192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192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192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192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192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192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192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192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192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192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192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192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192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192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192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192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192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192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192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192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192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192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192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192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192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192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192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192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192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192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192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192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192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192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192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192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192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192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192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192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192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192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192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192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192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192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192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192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192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192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192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192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192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192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192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192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192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192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192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192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192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192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192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192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192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192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192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192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192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192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192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192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192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192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192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192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192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192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192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192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192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192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192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192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192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192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192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192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192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192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222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222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222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222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222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222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222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222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222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222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222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222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222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222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222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222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222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222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222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222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222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222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222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222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222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222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222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222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222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222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222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222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222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222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222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222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222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222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222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222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222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222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222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222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222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222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222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222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222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222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222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222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222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222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222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222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222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222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222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222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222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222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222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222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222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222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222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222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222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222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222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222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222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222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222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222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222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222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222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222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222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222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222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222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222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222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222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222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222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222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222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222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222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222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222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222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222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222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222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222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222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222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222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222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222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222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222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222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222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222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222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222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222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222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222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222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222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222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222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222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222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222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222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222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222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222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222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222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222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222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222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222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222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222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222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222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222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222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222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222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222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222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222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222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222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222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222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222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222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222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222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222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222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222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222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222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222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222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222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222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222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222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222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222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222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222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222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222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222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222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222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222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222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222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222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222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222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222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222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222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222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222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222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222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222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222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222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222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222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222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222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222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222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222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222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222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222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222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222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222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222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222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222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222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222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222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222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222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222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222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222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222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222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222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222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222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222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222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222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222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222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222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222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222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222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222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222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222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222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222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222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222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222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222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222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222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222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222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222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222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193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193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193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193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193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193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193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193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193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193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193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193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193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193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193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193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193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193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193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193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193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193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193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193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193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193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193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193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193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193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193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193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193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193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193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193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193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193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193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193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193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193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193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193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193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193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193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193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193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193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193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193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193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193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193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193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193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193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193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193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193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193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193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193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193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193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193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193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193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193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193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193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193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193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193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193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193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193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193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193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193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193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193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193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193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193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193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193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193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193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193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193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193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193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193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193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193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193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193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193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193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193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193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193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193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193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193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193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193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193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193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193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193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193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193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193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193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193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193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193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193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193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193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193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193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193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193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193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193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193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193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193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193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193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193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193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193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193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193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193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193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193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193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193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193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193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193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193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193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193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193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193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193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193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193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193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193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193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193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193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193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193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193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193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193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193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193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193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193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193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193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193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193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193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193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193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193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193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193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193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193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193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193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193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193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193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193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193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193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193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193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193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193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193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193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193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193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193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193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193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193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193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193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193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193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193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193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193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193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193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193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193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193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193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193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193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193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193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193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193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193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193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193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193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193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193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193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193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193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193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193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193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193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193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193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193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193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193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193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193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workbookViewId="0">
      <selection activeCell="F9" sqref="F9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217</v>
      </c>
      <c r="C1" t="s">
        <v>223</v>
      </c>
      <c r="D1" t="s">
        <v>224</v>
      </c>
      <c r="E1" t="s">
        <v>225</v>
      </c>
      <c r="F1" t="s">
        <v>226</v>
      </c>
      <c r="G1" t="s">
        <v>227</v>
      </c>
      <c r="H1" t="s">
        <v>228</v>
      </c>
      <c r="I1" t="s">
        <v>229</v>
      </c>
      <c r="J1" t="s">
        <v>230</v>
      </c>
      <c r="K1" t="s">
        <v>231</v>
      </c>
      <c r="L1" t="s">
        <v>232</v>
      </c>
      <c r="M1" t="s">
        <v>233</v>
      </c>
      <c r="N1" t="s">
        <v>234</v>
      </c>
      <c r="O1" t="s">
        <v>235</v>
      </c>
      <c r="P1" t="s">
        <v>236</v>
      </c>
      <c r="Q1" t="s">
        <v>237</v>
      </c>
      <c r="R1" t="s">
        <v>238</v>
      </c>
      <c r="S1" t="s">
        <v>239</v>
      </c>
      <c r="T1" t="s">
        <v>240</v>
      </c>
      <c r="U1" t="s">
        <v>241</v>
      </c>
      <c r="V1" t="s">
        <v>242</v>
      </c>
      <c r="W1" t="s">
        <v>243</v>
      </c>
      <c r="X1" t="s">
        <v>244</v>
      </c>
      <c r="Y1" t="s">
        <v>245</v>
      </c>
      <c r="Z1" t="s">
        <v>246</v>
      </c>
      <c r="AA1" t="s">
        <v>247</v>
      </c>
      <c r="AB1" t="s">
        <v>248</v>
      </c>
      <c r="AC1" t="s">
        <v>249</v>
      </c>
      <c r="AD1" t="s">
        <v>250</v>
      </c>
      <c r="AE1" t="s">
        <v>251</v>
      </c>
      <c r="AF1" t="s">
        <v>252</v>
      </c>
    </row>
    <row r="2" spans="1:32" x14ac:dyDescent="0.35">
      <c r="A2" t="s">
        <v>204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204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204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204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204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204</v>
      </c>
      <c r="B7" s="16" t="s">
        <v>218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204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204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204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204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204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192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192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192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192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192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192</v>
      </c>
      <c r="B18" s="16" t="s">
        <v>218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192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192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192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192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192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222</v>
      </c>
      <c r="B24" s="16" t="s">
        <v>156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222</v>
      </c>
      <c r="B25" s="16" t="s">
        <v>182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222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222</v>
      </c>
      <c r="B27" s="16" t="s">
        <v>183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222</v>
      </c>
      <c r="B28" s="16" t="s">
        <v>219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222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222</v>
      </c>
      <c r="B30" s="16" t="s">
        <v>220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222</v>
      </c>
      <c r="B31" s="16" t="s">
        <v>221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193</v>
      </c>
      <c r="B32" s="16" t="s">
        <v>156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193</v>
      </c>
      <c r="B33" s="16" t="s">
        <v>182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193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193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193</v>
      </c>
      <c r="B36" s="16" t="s">
        <v>219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193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193</v>
      </c>
      <c r="B38" s="16" t="s">
        <v>220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193</v>
      </c>
      <c r="B39" s="16" t="s">
        <v>221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C25" sqref="C25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193</v>
      </c>
      <c r="B2" s="1">
        <v>2020</v>
      </c>
      <c r="C2" s="1">
        <v>0</v>
      </c>
    </row>
    <row r="3" spans="1:3" x14ac:dyDescent="0.35">
      <c r="A3" s="1" t="s">
        <v>192</v>
      </c>
      <c r="B3" s="1">
        <v>2020</v>
      </c>
      <c r="C3" s="1">
        <v>0</v>
      </c>
    </row>
    <row r="4" spans="1:3" x14ac:dyDescent="0.35">
      <c r="A4" s="1" t="s">
        <v>222</v>
      </c>
      <c r="B4" s="1">
        <v>2020</v>
      </c>
      <c r="C4" s="1">
        <v>0</v>
      </c>
    </row>
    <row r="5" spans="1:3" x14ac:dyDescent="0.35">
      <c r="A5" s="1" t="s">
        <v>204</v>
      </c>
      <c r="B5" s="1">
        <v>2020</v>
      </c>
      <c r="C5" s="1">
        <v>0</v>
      </c>
    </row>
    <row r="6" spans="1:3" x14ac:dyDescent="0.35">
      <c r="A6" s="1" t="s">
        <v>193</v>
      </c>
      <c r="B6" s="1">
        <v>2021</v>
      </c>
      <c r="C6" s="1">
        <v>175905.05869999999</v>
      </c>
    </row>
    <row r="7" spans="1:3" x14ac:dyDescent="0.35">
      <c r="A7" s="1" t="s">
        <v>192</v>
      </c>
      <c r="B7" s="1">
        <v>2021</v>
      </c>
      <c r="C7" s="1">
        <v>1453415.709</v>
      </c>
    </row>
    <row r="8" spans="1:3" x14ac:dyDescent="0.35">
      <c r="A8" s="1" t="s">
        <v>222</v>
      </c>
      <c r="B8" s="1">
        <v>2021</v>
      </c>
      <c r="C8" s="1">
        <v>120902.86599999999</v>
      </c>
    </row>
    <row r="9" spans="1:3" x14ac:dyDescent="0.35">
      <c r="A9" s="1" t="s">
        <v>204</v>
      </c>
      <c r="B9" s="1">
        <v>2021</v>
      </c>
      <c r="C9" s="1">
        <v>1385678.007</v>
      </c>
    </row>
    <row r="10" spans="1:3" x14ac:dyDescent="0.35">
      <c r="A10" s="1" t="s">
        <v>193</v>
      </c>
      <c r="B10" s="1">
        <v>2022</v>
      </c>
      <c r="C10" s="1">
        <v>180087.62419999999</v>
      </c>
    </row>
    <row r="11" spans="1:3" x14ac:dyDescent="0.35">
      <c r="A11" s="1" t="s">
        <v>192</v>
      </c>
      <c r="B11" s="1">
        <v>2022</v>
      </c>
      <c r="C11" s="1">
        <v>1587379.9620000001</v>
      </c>
    </row>
    <row r="12" spans="1:3" x14ac:dyDescent="0.35">
      <c r="A12" s="1" t="s">
        <v>222</v>
      </c>
      <c r="B12" s="1">
        <v>2022</v>
      </c>
      <c r="C12" s="1">
        <v>124146.145</v>
      </c>
    </row>
    <row r="13" spans="1:3" x14ac:dyDescent="0.35">
      <c r="A13" s="1" t="s">
        <v>204</v>
      </c>
      <c r="B13" s="1">
        <v>2022</v>
      </c>
      <c r="C13" s="1">
        <v>1293781.5649999999</v>
      </c>
    </row>
    <row r="14" spans="1:3" x14ac:dyDescent="0.35">
      <c r="A14" s="1" t="s">
        <v>193</v>
      </c>
      <c r="B14" s="1">
        <v>2023</v>
      </c>
      <c r="C14" s="1">
        <v>182482.29639999999</v>
      </c>
    </row>
    <row r="15" spans="1:3" x14ac:dyDescent="0.35">
      <c r="A15" s="1" t="s">
        <v>192</v>
      </c>
      <c r="B15" s="1">
        <v>2023</v>
      </c>
      <c r="C15" s="1">
        <v>1697480.8940000001</v>
      </c>
    </row>
    <row r="16" spans="1:3" x14ac:dyDescent="0.35">
      <c r="A16" s="1" t="s">
        <v>222</v>
      </c>
      <c r="B16" s="1">
        <v>2023</v>
      </c>
      <c r="C16" s="1">
        <v>126453.22</v>
      </c>
    </row>
    <row r="17" spans="1:3" x14ac:dyDescent="0.35">
      <c r="A17" s="1" t="s">
        <v>204</v>
      </c>
      <c r="B17" s="1">
        <v>2023</v>
      </c>
      <c r="C17" s="1">
        <v>1314686.4809999999</v>
      </c>
    </row>
    <row r="18" spans="1:3" x14ac:dyDescent="0.35">
      <c r="A18" s="1" t="s">
        <v>193</v>
      </c>
      <c r="B18" s="1">
        <v>2024</v>
      </c>
      <c r="C18" s="1">
        <v>184146.29070000001</v>
      </c>
    </row>
    <row r="19" spans="1:3" x14ac:dyDescent="0.35">
      <c r="A19" s="1" t="s">
        <v>192</v>
      </c>
      <c r="B19" s="1">
        <v>2024</v>
      </c>
      <c r="C19" s="1">
        <v>1797010.4129999999</v>
      </c>
    </row>
    <row r="20" spans="1:3" x14ac:dyDescent="0.35">
      <c r="A20" s="1" t="s">
        <v>222</v>
      </c>
      <c r="B20" s="1">
        <v>2024</v>
      </c>
      <c r="C20" s="1">
        <v>128525.497</v>
      </c>
    </row>
    <row r="21" spans="1:3" x14ac:dyDescent="0.35">
      <c r="A21" s="1" t="s">
        <v>204</v>
      </c>
      <c r="B21" s="1">
        <v>2024</v>
      </c>
      <c r="C21" s="1">
        <v>1316350.733</v>
      </c>
    </row>
    <row r="22" spans="1:3" x14ac:dyDescent="0.35">
      <c r="A22" s="1" t="s">
        <v>193</v>
      </c>
      <c r="B22" s="1">
        <v>2025</v>
      </c>
      <c r="C22" s="1">
        <v>185937.74249999999</v>
      </c>
    </row>
    <row r="23" spans="1:3" x14ac:dyDescent="0.35">
      <c r="A23" s="1" t="s">
        <v>192</v>
      </c>
      <c r="B23" s="1">
        <v>2025</v>
      </c>
      <c r="C23" s="1">
        <v>1871423.4709999999</v>
      </c>
    </row>
    <row r="24" spans="1:3" x14ac:dyDescent="0.35">
      <c r="A24" s="1" t="s">
        <v>222</v>
      </c>
      <c r="B24" s="1">
        <v>2025</v>
      </c>
      <c r="C24" s="1">
        <v>130945.202</v>
      </c>
    </row>
    <row r="25" spans="1:3" x14ac:dyDescent="0.35">
      <c r="A25" s="1" t="s">
        <v>204</v>
      </c>
      <c r="B25" s="1">
        <v>2025</v>
      </c>
      <c r="C25" s="1">
        <v>1290550.6950000001</v>
      </c>
    </row>
    <row r="26" spans="1:3" x14ac:dyDescent="0.35">
      <c r="A26" s="1" t="s">
        <v>193</v>
      </c>
      <c r="B26" s="1">
        <v>2026</v>
      </c>
      <c r="C26" s="1">
        <v>187153.3437</v>
      </c>
    </row>
    <row r="27" spans="1:3" x14ac:dyDescent="0.35">
      <c r="A27" s="1" t="s">
        <v>192</v>
      </c>
      <c r="B27" s="1">
        <v>2026</v>
      </c>
      <c r="C27" s="1">
        <v>1946860.6070000001</v>
      </c>
    </row>
    <row r="28" spans="1:3" x14ac:dyDescent="0.35">
      <c r="A28" s="1" t="s">
        <v>222</v>
      </c>
      <c r="B28" s="1">
        <v>2026</v>
      </c>
      <c r="C28" s="1">
        <v>133322.02499999999</v>
      </c>
    </row>
    <row r="29" spans="1:3" x14ac:dyDescent="0.35">
      <c r="A29" s="1" t="s">
        <v>204</v>
      </c>
      <c r="B29" s="1">
        <v>2026</v>
      </c>
      <c r="C29" s="1">
        <v>1260452.5419999999</v>
      </c>
    </row>
    <row r="30" spans="1:3" x14ac:dyDescent="0.35">
      <c r="A30" s="1" t="s">
        <v>193</v>
      </c>
      <c r="B30" s="1">
        <v>2027</v>
      </c>
      <c r="C30" s="1">
        <v>187637.05809999999</v>
      </c>
    </row>
    <row r="31" spans="1:3" x14ac:dyDescent="0.35">
      <c r="A31" s="1" t="s">
        <v>192</v>
      </c>
      <c r="B31" s="1">
        <v>2027</v>
      </c>
      <c r="C31" s="1">
        <v>2019509.8770000001</v>
      </c>
    </row>
    <row r="32" spans="1:3" x14ac:dyDescent="0.35">
      <c r="A32" s="1" t="s">
        <v>222</v>
      </c>
      <c r="B32" s="1">
        <v>2027</v>
      </c>
      <c r="C32" s="1">
        <v>135653.24100000001</v>
      </c>
    </row>
    <row r="33" spans="1:3" x14ac:dyDescent="0.35">
      <c r="A33" s="1" t="s">
        <v>204</v>
      </c>
      <c r="B33" s="1">
        <v>2027</v>
      </c>
      <c r="C33" s="1">
        <v>1224924.429</v>
      </c>
    </row>
    <row r="34" spans="1:3" x14ac:dyDescent="0.35">
      <c r="A34" s="1" t="s">
        <v>193</v>
      </c>
      <c r="B34" s="1">
        <v>2028</v>
      </c>
      <c r="C34" s="1">
        <v>188223.3774</v>
      </c>
    </row>
    <row r="35" spans="1:3" x14ac:dyDescent="0.35">
      <c r="A35" s="1" t="s">
        <v>192</v>
      </c>
      <c r="B35" s="1">
        <v>2028</v>
      </c>
      <c r="C35" s="1">
        <v>2086422.263</v>
      </c>
    </row>
    <row r="36" spans="1:3" x14ac:dyDescent="0.35">
      <c r="A36" s="1" t="s">
        <v>222</v>
      </c>
      <c r="B36" s="1">
        <v>2028</v>
      </c>
      <c r="C36" s="1">
        <v>138483.856</v>
      </c>
    </row>
    <row r="37" spans="1:3" x14ac:dyDescent="0.35">
      <c r="A37" s="1" t="s">
        <v>204</v>
      </c>
      <c r="B37" s="1">
        <v>2028</v>
      </c>
      <c r="C37" s="1">
        <v>1184882.7139999999</v>
      </c>
    </row>
    <row r="38" spans="1:3" x14ac:dyDescent="0.35">
      <c r="A38" s="1" t="s">
        <v>193</v>
      </c>
      <c r="B38" s="1">
        <v>2029</v>
      </c>
      <c r="C38" s="1">
        <v>188772.98740000001</v>
      </c>
    </row>
    <row r="39" spans="1:3" x14ac:dyDescent="0.35">
      <c r="A39" s="1" t="s">
        <v>192</v>
      </c>
      <c r="B39" s="1">
        <v>2029</v>
      </c>
      <c r="C39" s="1">
        <v>2150056.2030000002</v>
      </c>
    </row>
    <row r="40" spans="1:3" x14ac:dyDescent="0.35">
      <c r="A40" s="1" t="s">
        <v>222</v>
      </c>
      <c r="B40" s="1">
        <v>2029</v>
      </c>
      <c r="C40" s="1">
        <v>141633.06</v>
      </c>
    </row>
    <row r="41" spans="1:3" x14ac:dyDescent="0.35">
      <c r="A41" s="1" t="s">
        <v>204</v>
      </c>
      <c r="B41" s="1">
        <v>2029</v>
      </c>
      <c r="C41" s="1">
        <v>1143207.7690000001</v>
      </c>
    </row>
    <row r="42" spans="1:3" x14ac:dyDescent="0.35">
      <c r="A42" s="1" t="s">
        <v>193</v>
      </c>
      <c r="B42" s="1">
        <v>2030</v>
      </c>
      <c r="C42" s="1">
        <v>189083.60569999999</v>
      </c>
    </row>
    <row r="43" spans="1:3" x14ac:dyDescent="0.35">
      <c r="A43" s="1" t="s">
        <v>192</v>
      </c>
      <c r="B43" s="1">
        <v>2030</v>
      </c>
      <c r="C43" s="1">
        <v>2211753.6189999999</v>
      </c>
    </row>
    <row r="44" spans="1:3" x14ac:dyDescent="0.35">
      <c r="A44" s="1" t="s">
        <v>222</v>
      </c>
      <c r="B44" s="1">
        <v>2030</v>
      </c>
      <c r="C44" s="1">
        <v>144797.84</v>
      </c>
    </row>
    <row r="45" spans="1:3" x14ac:dyDescent="0.35">
      <c r="A45" s="1" t="s">
        <v>204</v>
      </c>
      <c r="B45" s="1">
        <v>2030</v>
      </c>
      <c r="C45" s="1">
        <v>1102584.8289999999</v>
      </c>
    </row>
    <row r="46" spans="1:3" x14ac:dyDescent="0.35">
      <c r="A46" s="1" t="s">
        <v>193</v>
      </c>
      <c r="B46" s="1">
        <v>2031</v>
      </c>
      <c r="C46" s="1">
        <v>189308.39300000001</v>
      </c>
    </row>
    <row r="47" spans="1:3" x14ac:dyDescent="0.35">
      <c r="A47" s="1" t="s">
        <v>192</v>
      </c>
      <c r="B47" s="1">
        <v>2031</v>
      </c>
      <c r="C47" s="1">
        <v>2271951.747</v>
      </c>
    </row>
    <row r="48" spans="1:3" x14ac:dyDescent="0.35">
      <c r="A48" s="1" t="s">
        <v>222</v>
      </c>
      <c r="B48" s="1">
        <v>2031</v>
      </c>
      <c r="C48" s="1">
        <v>148003.883</v>
      </c>
    </row>
    <row r="49" spans="1:3" x14ac:dyDescent="0.35">
      <c r="A49" s="1" t="s">
        <v>204</v>
      </c>
      <c r="B49" s="1">
        <v>2031</v>
      </c>
      <c r="C49" s="1">
        <v>1064723.162</v>
      </c>
    </row>
    <row r="50" spans="1:3" x14ac:dyDescent="0.35">
      <c r="A50" s="1" t="s">
        <v>193</v>
      </c>
      <c r="B50" s="1">
        <v>2032</v>
      </c>
      <c r="C50" s="1">
        <v>189464.01329999999</v>
      </c>
    </row>
    <row r="51" spans="1:3" x14ac:dyDescent="0.35">
      <c r="A51" s="1" t="s">
        <v>192</v>
      </c>
      <c r="B51" s="1">
        <v>2032</v>
      </c>
      <c r="C51" s="1">
        <v>2329925.5959999999</v>
      </c>
    </row>
    <row r="52" spans="1:3" x14ac:dyDescent="0.35">
      <c r="A52" s="1" t="s">
        <v>222</v>
      </c>
      <c r="B52" s="1">
        <v>2032</v>
      </c>
      <c r="C52" s="1">
        <v>151342.39999999999</v>
      </c>
    </row>
    <row r="53" spans="1:3" x14ac:dyDescent="0.35">
      <c r="A53" s="1" t="s">
        <v>204</v>
      </c>
      <c r="B53" s="1">
        <v>2032</v>
      </c>
      <c r="C53" s="1">
        <v>1029644.0429999999</v>
      </c>
    </row>
    <row r="54" spans="1:3" x14ac:dyDescent="0.35">
      <c r="A54" s="1" t="s">
        <v>193</v>
      </c>
      <c r="B54" s="1">
        <v>2033</v>
      </c>
      <c r="C54" s="1">
        <v>189539.73</v>
      </c>
    </row>
    <row r="55" spans="1:3" x14ac:dyDescent="0.35">
      <c r="A55" s="1" t="s">
        <v>192</v>
      </c>
      <c r="B55" s="1">
        <v>2033</v>
      </c>
      <c r="C55" s="1">
        <v>2381138.9350000001</v>
      </c>
    </row>
    <row r="56" spans="1:3" x14ac:dyDescent="0.35">
      <c r="A56" s="1" t="s">
        <v>222</v>
      </c>
      <c r="B56" s="1">
        <v>2033</v>
      </c>
      <c r="C56" s="1">
        <v>154675.133</v>
      </c>
    </row>
    <row r="57" spans="1:3" x14ac:dyDescent="0.35">
      <c r="A57" s="1" t="s">
        <v>204</v>
      </c>
      <c r="B57" s="1">
        <v>2033</v>
      </c>
      <c r="C57" s="1">
        <v>996160.41799999995</v>
      </c>
    </row>
    <row r="58" spans="1:3" x14ac:dyDescent="0.35">
      <c r="A58" s="1" t="s">
        <v>193</v>
      </c>
      <c r="B58" s="1">
        <v>2034</v>
      </c>
      <c r="C58" s="1">
        <v>189592.37040000001</v>
      </c>
    </row>
    <row r="59" spans="1:3" x14ac:dyDescent="0.35">
      <c r="A59" s="1" t="s">
        <v>192</v>
      </c>
      <c r="B59" s="1">
        <v>2034</v>
      </c>
      <c r="C59" s="1">
        <v>2429660.1639999999</v>
      </c>
    </row>
    <row r="60" spans="1:3" x14ac:dyDescent="0.35">
      <c r="A60" s="1" t="s">
        <v>222</v>
      </c>
      <c r="B60" s="1">
        <v>2034</v>
      </c>
      <c r="C60" s="1">
        <v>157937.71400000001</v>
      </c>
    </row>
    <row r="61" spans="1:3" x14ac:dyDescent="0.35">
      <c r="A61" s="1" t="s">
        <v>204</v>
      </c>
      <c r="B61" s="1">
        <v>2034</v>
      </c>
      <c r="C61" s="1">
        <v>966278.76100000006</v>
      </c>
    </row>
    <row r="62" spans="1:3" x14ac:dyDescent="0.35">
      <c r="A62" s="1" t="s">
        <v>193</v>
      </c>
      <c r="B62" s="1">
        <v>2035</v>
      </c>
      <c r="C62" s="1">
        <v>189671.37849999999</v>
      </c>
    </row>
    <row r="63" spans="1:3" x14ac:dyDescent="0.35">
      <c r="A63" s="1" t="s">
        <v>192</v>
      </c>
      <c r="B63" s="1">
        <v>2035</v>
      </c>
      <c r="C63" s="1">
        <v>2473313.2650000001</v>
      </c>
    </row>
    <row r="64" spans="1:3" x14ac:dyDescent="0.35">
      <c r="A64" s="1" t="s">
        <v>222</v>
      </c>
      <c r="B64" s="1">
        <v>2035</v>
      </c>
      <c r="C64" s="1">
        <v>161310.57800000001</v>
      </c>
    </row>
    <row r="65" spans="1:3" x14ac:dyDescent="0.35">
      <c r="A65" s="1" t="s">
        <v>204</v>
      </c>
      <c r="B65" s="1">
        <v>2035</v>
      </c>
      <c r="C65" s="1">
        <v>939809.076</v>
      </c>
    </row>
    <row r="66" spans="1:3" x14ac:dyDescent="0.35">
      <c r="A66" s="1" t="s">
        <v>193</v>
      </c>
      <c r="B66" s="1">
        <v>2036</v>
      </c>
      <c r="C66" s="1">
        <v>189741.73389999999</v>
      </c>
    </row>
    <row r="67" spans="1:3" x14ac:dyDescent="0.35">
      <c r="A67" s="1" t="s">
        <v>192</v>
      </c>
      <c r="B67" s="1">
        <v>2036</v>
      </c>
      <c r="C67" s="1">
        <v>2512835.2769999998</v>
      </c>
    </row>
    <row r="68" spans="1:3" x14ac:dyDescent="0.35">
      <c r="A68" s="1" t="s">
        <v>222</v>
      </c>
      <c r="B68" s="1">
        <v>2036</v>
      </c>
      <c r="C68" s="1">
        <v>164760.88699999999</v>
      </c>
    </row>
    <row r="69" spans="1:3" x14ac:dyDescent="0.35">
      <c r="A69" s="1" t="s">
        <v>204</v>
      </c>
      <c r="B69" s="1">
        <v>2036</v>
      </c>
      <c r="C69" s="1">
        <v>916837.32799999998</v>
      </c>
    </row>
    <row r="70" spans="1:3" x14ac:dyDescent="0.35">
      <c r="A70" s="1" t="s">
        <v>193</v>
      </c>
      <c r="B70" s="1">
        <v>2037</v>
      </c>
      <c r="C70" s="1">
        <v>190016.35509999999</v>
      </c>
    </row>
    <row r="71" spans="1:3" x14ac:dyDescent="0.35">
      <c r="A71" s="1" t="s">
        <v>192</v>
      </c>
      <c r="B71" s="1">
        <v>2037</v>
      </c>
      <c r="C71" s="1">
        <v>2549580.1340000001</v>
      </c>
    </row>
    <row r="72" spans="1:3" x14ac:dyDescent="0.35">
      <c r="A72" s="1" t="s">
        <v>222</v>
      </c>
      <c r="B72" s="1">
        <v>2037</v>
      </c>
      <c r="C72" s="1">
        <v>168423.584</v>
      </c>
    </row>
    <row r="73" spans="1:3" x14ac:dyDescent="0.35">
      <c r="A73" s="1" t="s">
        <v>204</v>
      </c>
      <c r="B73" s="1">
        <v>2037</v>
      </c>
      <c r="C73" s="1">
        <v>897685.51599999995</v>
      </c>
    </row>
    <row r="74" spans="1:3" x14ac:dyDescent="0.35">
      <c r="A74" s="1" t="s">
        <v>193</v>
      </c>
      <c r="B74" s="1">
        <v>2038</v>
      </c>
      <c r="C74" s="1">
        <v>190293.97640000001</v>
      </c>
    </row>
    <row r="75" spans="1:3" x14ac:dyDescent="0.35">
      <c r="A75" s="1" t="s">
        <v>192</v>
      </c>
      <c r="B75" s="1">
        <v>2038</v>
      </c>
      <c r="C75" s="1">
        <v>2583804.2710000002</v>
      </c>
    </row>
    <row r="76" spans="1:3" x14ac:dyDescent="0.35">
      <c r="A76" s="1" t="s">
        <v>222</v>
      </c>
      <c r="B76" s="1">
        <v>2038</v>
      </c>
      <c r="C76" s="1">
        <v>172034.745</v>
      </c>
    </row>
    <row r="77" spans="1:3" x14ac:dyDescent="0.35">
      <c r="A77" s="1" t="s">
        <v>204</v>
      </c>
      <c r="B77" s="1">
        <v>2038</v>
      </c>
      <c r="C77" s="1">
        <v>882476.03300000005</v>
      </c>
    </row>
    <row r="78" spans="1:3" x14ac:dyDescent="0.35">
      <c r="A78" s="1" t="s">
        <v>193</v>
      </c>
      <c r="B78" s="1">
        <v>2039</v>
      </c>
      <c r="C78" s="1">
        <v>190610.7175</v>
      </c>
    </row>
    <row r="79" spans="1:3" x14ac:dyDescent="0.35">
      <c r="A79" s="1" t="s">
        <v>192</v>
      </c>
      <c r="B79" s="1">
        <v>2039</v>
      </c>
      <c r="C79" s="1">
        <v>2615314.9619999998</v>
      </c>
    </row>
    <row r="80" spans="1:3" x14ac:dyDescent="0.35">
      <c r="A80" s="1" t="s">
        <v>222</v>
      </c>
      <c r="B80" s="1">
        <v>2039</v>
      </c>
      <c r="C80" s="1">
        <v>175634.46799999999</v>
      </c>
    </row>
    <row r="81" spans="1:3" x14ac:dyDescent="0.35">
      <c r="A81" s="1" t="s">
        <v>204</v>
      </c>
      <c r="B81" s="1">
        <v>2039</v>
      </c>
      <c r="C81" s="1">
        <v>870383.95499999996</v>
      </c>
    </row>
    <row r="82" spans="1:3" x14ac:dyDescent="0.35">
      <c r="A82" s="1" t="s">
        <v>193</v>
      </c>
      <c r="B82" s="1">
        <v>2040</v>
      </c>
      <c r="C82" s="1">
        <v>190970.98680000001</v>
      </c>
    </row>
    <row r="83" spans="1:3" x14ac:dyDescent="0.35">
      <c r="A83" s="1" t="s">
        <v>192</v>
      </c>
      <c r="B83" s="1">
        <v>2040</v>
      </c>
      <c r="C83" s="1">
        <v>2646150.2910000002</v>
      </c>
    </row>
    <row r="84" spans="1:3" x14ac:dyDescent="0.35">
      <c r="A84" s="1" t="s">
        <v>222</v>
      </c>
      <c r="B84" s="1">
        <v>2040</v>
      </c>
      <c r="C84" s="1">
        <v>179230.97200000001</v>
      </c>
    </row>
    <row r="85" spans="1:3" x14ac:dyDescent="0.35">
      <c r="A85" s="1" t="s">
        <v>204</v>
      </c>
      <c r="B85" s="1">
        <v>2040</v>
      </c>
      <c r="C85" s="1">
        <v>861964.58</v>
      </c>
    </row>
    <row r="86" spans="1:3" x14ac:dyDescent="0.35">
      <c r="A86" s="1" t="s">
        <v>193</v>
      </c>
      <c r="B86" s="1">
        <v>2041</v>
      </c>
      <c r="C86" s="1">
        <v>191453.59779999999</v>
      </c>
    </row>
    <row r="87" spans="1:3" x14ac:dyDescent="0.35">
      <c r="A87" s="1" t="s">
        <v>192</v>
      </c>
      <c r="B87" s="1">
        <v>2041</v>
      </c>
      <c r="C87" s="1">
        <v>2674284.6540000001</v>
      </c>
    </row>
    <row r="88" spans="1:3" x14ac:dyDescent="0.35">
      <c r="A88" s="1" t="s">
        <v>222</v>
      </c>
      <c r="B88" s="1">
        <v>2041</v>
      </c>
      <c r="C88" s="1">
        <v>183064.33100000001</v>
      </c>
    </row>
    <row r="89" spans="1:3" x14ac:dyDescent="0.35">
      <c r="A89" s="1" t="s">
        <v>204</v>
      </c>
      <c r="B89" s="1">
        <v>2041</v>
      </c>
      <c r="C89" s="1">
        <v>855630.73400000005</v>
      </c>
    </row>
    <row r="90" spans="1:3" x14ac:dyDescent="0.35">
      <c r="A90" s="1" t="s">
        <v>193</v>
      </c>
      <c r="B90" s="1">
        <v>2042</v>
      </c>
      <c r="C90" s="1">
        <v>192054.36309999999</v>
      </c>
    </row>
    <row r="91" spans="1:3" x14ac:dyDescent="0.35">
      <c r="A91" s="1" t="s">
        <v>192</v>
      </c>
      <c r="B91" s="1">
        <v>2042</v>
      </c>
      <c r="C91" s="1">
        <v>2699678.19</v>
      </c>
    </row>
    <row r="92" spans="1:3" x14ac:dyDescent="0.35">
      <c r="A92" s="1" t="s">
        <v>222</v>
      </c>
      <c r="B92" s="1">
        <v>2042</v>
      </c>
      <c r="C92" s="1">
        <v>186996.95600000001</v>
      </c>
    </row>
    <row r="93" spans="1:3" x14ac:dyDescent="0.35">
      <c r="A93" s="1" t="s">
        <v>204</v>
      </c>
      <c r="B93" s="1">
        <v>2042</v>
      </c>
      <c r="C93" s="1">
        <v>850804.74699999997</v>
      </c>
    </row>
    <row r="94" spans="1:3" x14ac:dyDescent="0.35">
      <c r="A94" s="1" t="s">
        <v>193</v>
      </c>
      <c r="B94" s="1">
        <v>2043</v>
      </c>
      <c r="C94" s="1">
        <v>192587.74789999999</v>
      </c>
    </row>
    <row r="95" spans="1:3" x14ac:dyDescent="0.35">
      <c r="A95" s="1" t="s">
        <v>192</v>
      </c>
      <c r="B95" s="1">
        <v>2043</v>
      </c>
      <c r="C95" s="1">
        <v>2724653.0090000001</v>
      </c>
    </row>
    <row r="96" spans="1:3" x14ac:dyDescent="0.35">
      <c r="A96" s="1" t="s">
        <v>222</v>
      </c>
      <c r="B96" s="1">
        <v>2043</v>
      </c>
      <c r="C96" s="1">
        <v>190871.391</v>
      </c>
    </row>
    <row r="97" spans="1:3" x14ac:dyDescent="0.35">
      <c r="A97" s="1" t="s">
        <v>204</v>
      </c>
      <c r="B97" s="1">
        <v>2043</v>
      </c>
      <c r="C97" s="1">
        <v>847901.91799999995</v>
      </c>
    </row>
    <row r="98" spans="1:3" x14ac:dyDescent="0.35">
      <c r="A98" s="1" t="s">
        <v>193</v>
      </c>
      <c r="B98" s="1">
        <v>2044</v>
      </c>
      <c r="C98" s="1">
        <v>193047.80609999999</v>
      </c>
    </row>
    <row r="99" spans="1:3" x14ac:dyDescent="0.35">
      <c r="A99" s="1" t="s">
        <v>192</v>
      </c>
      <c r="B99" s="1">
        <v>2044</v>
      </c>
      <c r="C99" s="1">
        <v>2748073.8020000001</v>
      </c>
    </row>
    <row r="100" spans="1:3" x14ac:dyDescent="0.35">
      <c r="A100" s="1" t="s">
        <v>222</v>
      </c>
      <c r="B100" s="1">
        <v>2044</v>
      </c>
      <c r="C100" s="1">
        <v>194784.18700000001</v>
      </c>
    </row>
    <row r="101" spans="1:3" x14ac:dyDescent="0.35">
      <c r="A101" s="1" t="s">
        <v>204</v>
      </c>
      <c r="B101" s="1">
        <v>2044</v>
      </c>
      <c r="C101" s="1">
        <v>846015.01699999999</v>
      </c>
    </row>
    <row r="102" spans="1:3" x14ac:dyDescent="0.35">
      <c r="A102" s="1" t="s">
        <v>193</v>
      </c>
      <c r="B102" s="1">
        <v>2045</v>
      </c>
      <c r="C102" s="1">
        <v>193394.29629999999</v>
      </c>
    </row>
    <row r="103" spans="1:3" x14ac:dyDescent="0.35">
      <c r="A103" s="1" t="s">
        <v>192</v>
      </c>
      <c r="B103" s="1">
        <v>2045</v>
      </c>
      <c r="C103" s="1">
        <v>2770397.1660000002</v>
      </c>
    </row>
    <row r="104" spans="1:3" x14ac:dyDescent="0.35">
      <c r="A104" s="1" t="s">
        <v>222</v>
      </c>
      <c r="B104" s="1">
        <v>2045</v>
      </c>
      <c r="C104" s="1">
        <v>198765.693</v>
      </c>
    </row>
    <row r="105" spans="1:3" x14ac:dyDescent="0.35">
      <c r="A105" s="1" t="s">
        <v>204</v>
      </c>
      <c r="B105" s="1">
        <v>2045</v>
      </c>
      <c r="C105" s="1">
        <v>844884.71200000006</v>
      </c>
    </row>
    <row r="106" spans="1:3" x14ac:dyDescent="0.35">
      <c r="A106" s="1" t="s">
        <v>193</v>
      </c>
      <c r="B106" s="1">
        <v>2046</v>
      </c>
      <c r="C106" s="1">
        <v>193830.55290000001</v>
      </c>
    </row>
    <row r="107" spans="1:3" x14ac:dyDescent="0.35">
      <c r="A107" s="1" t="s">
        <v>192</v>
      </c>
      <c r="B107" s="1">
        <v>2046</v>
      </c>
      <c r="C107" s="1">
        <v>2793342.4109999998</v>
      </c>
    </row>
    <row r="108" spans="1:3" x14ac:dyDescent="0.35">
      <c r="A108" s="1" t="s">
        <v>222</v>
      </c>
      <c r="B108" s="1">
        <v>2046</v>
      </c>
      <c r="C108" s="1">
        <v>202974.114</v>
      </c>
    </row>
    <row r="109" spans="1:3" x14ac:dyDescent="0.35">
      <c r="A109" s="1" t="s">
        <v>204</v>
      </c>
      <c r="B109" s="1">
        <v>2046</v>
      </c>
      <c r="C109" s="1">
        <v>845135.25600000005</v>
      </c>
    </row>
    <row r="110" spans="1:3" x14ac:dyDescent="0.35">
      <c r="A110" s="1" t="s">
        <v>193</v>
      </c>
      <c r="B110" s="1">
        <v>2047</v>
      </c>
      <c r="C110" s="1">
        <v>193839.5312</v>
      </c>
    </row>
    <row r="111" spans="1:3" x14ac:dyDescent="0.35">
      <c r="A111" s="1" t="s">
        <v>192</v>
      </c>
      <c r="B111" s="1">
        <v>2047</v>
      </c>
      <c r="C111" s="1">
        <v>2817418.2620000001</v>
      </c>
    </row>
    <row r="112" spans="1:3" x14ac:dyDescent="0.35">
      <c r="A112" s="1" t="s">
        <v>222</v>
      </c>
      <c r="B112" s="1">
        <v>2047</v>
      </c>
      <c r="C112" s="1">
        <v>206951.79</v>
      </c>
    </row>
    <row r="113" spans="1:3" x14ac:dyDescent="0.35">
      <c r="A113" s="1" t="s">
        <v>204</v>
      </c>
      <c r="B113" s="1">
        <v>2047</v>
      </c>
      <c r="C113" s="1">
        <v>845825.82200000004</v>
      </c>
    </row>
    <row r="114" spans="1:3" x14ac:dyDescent="0.35">
      <c r="A114" s="1" t="s">
        <v>193</v>
      </c>
      <c r="B114" s="1">
        <v>2048</v>
      </c>
      <c r="C114" s="1">
        <v>193480.38269999999</v>
      </c>
    </row>
    <row r="115" spans="1:3" x14ac:dyDescent="0.35">
      <c r="A115" s="1" t="s">
        <v>192</v>
      </c>
      <c r="B115" s="1">
        <v>2048</v>
      </c>
      <c r="C115" s="1">
        <v>2841721.6919999998</v>
      </c>
    </row>
    <row r="116" spans="1:3" x14ac:dyDescent="0.35">
      <c r="A116" s="1" t="s">
        <v>222</v>
      </c>
      <c r="B116" s="1">
        <v>2048</v>
      </c>
      <c r="C116" s="1">
        <v>210744.30100000001</v>
      </c>
    </row>
    <row r="117" spans="1:3" x14ac:dyDescent="0.35">
      <c r="A117" s="1" t="s">
        <v>204</v>
      </c>
      <c r="B117" s="1">
        <v>2048</v>
      </c>
      <c r="C117" s="1">
        <v>846651.25100000005</v>
      </c>
    </row>
    <row r="118" spans="1:3" x14ac:dyDescent="0.35">
      <c r="A118" s="1" t="s">
        <v>193</v>
      </c>
      <c r="B118" s="1">
        <v>2049</v>
      </c>
      <c r="C118" s="1">
        <v>193608.07459999999</v>
      </c>
    </row>
    <row r="119" spans="1:3" x14ac:dyDescent="0.35">
      <c r="A119" s="1" t="s">
        <v>192</v>
      </c>
      <c r="B119" s="1">
        <v>2049</v>
      </c>
      <c r="C119" s="1">
        <v>2866483.3050000002</v>
      </c>
    </row>
    <row r="120" spans="1:3" x14ac:dyDescent="0.35">
      <c r="A120" s="1" t="s">
        <v>222</v>
      </c>
      <c r="B120" s="1">
        <v>2049</v>
      </c>
      <c r="C120" s="1">
        <v>215131.821</v>
      </c>
    </row>
    <row r="121" spans="1:3" x14ac:dyDescent="0.35">
      <c r="A121" s="1" t="s">
        <v>204</v>
      </c>
      <c r="B121" s="1">
        <v>2049</v>
      </c>
      <c r="C121" s="1">
        <v>847708.85499999998</v>
      </c>
    </row>
    <row r="122" spans="1:3" x14ac:dyDescent="0.35">
      <c r="A122" s="1" t="s">
        <v>193</v>
      </c>
      <c r="B122" s="1">
        <v>2050</v>
      </c>
      <c r="C122" s="1">
        <v>194188.55050000001</v>
      </c>
    </row>
    <row r="123" spans="1:3" x14ac:dyDescent="0.35">
      <c r="A123" s="1" t="s">
        <v>192</v>
      </c>
      <c r="B123" s="1">
        <v>2050</v>
      </c>
      <c r="C123" s="1">
        <v>2892942.5290000001</v>
      </c>
    </row>
    <row r="124" spans="1:3" x14ac:dyDescent="0.35">
      <c r="A124" s="1" t="s">
        <v>222</v>
      </c>
      <c r="B124" s="1">
        <v>2050</v>
      </c>
      <c r="C124" s="1">
        <v>220055.75599999999</v>
      </c>
    </row>
    <row r="125" spans="1:3" x14ac:dyDescent="0.35">
      <c r="A125" s="1" t="s">
        <v>204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E22" sqref="E22"/>
    </sheetView>
  </sheetViews>
  <sheetFormatPr defaultRowHeight="14.5" x14ac:dyDescent="0.35"/>
  <cols>
    <col min="2" max="2" width="13.2695312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2695312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253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5">
      <c r="A234" s="1" t="s">
        <v>253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5">
      <c r="A235" s="1" t="s">
        <v>253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5">
      <c r="A236" s="1" t="s">
        <v>253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5">
      <c r="A237" s="1" t="s">
        <v>253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5">
      <c r="A238" s="1" t="s">
        <v>253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253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254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5">
      <c r="A290" s="1" t="s">
        <v>254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5">
      <c r="A291" s="1" t="s">
        <v>254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5">
      <c r="A292" s="1" t="s">
        <v>254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5">
      <c r="A293" s="1" t="s">
        <v>254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5">
      <c r="A294" s="1" t="s">
        <v>254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254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5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5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5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5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5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5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5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5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5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5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5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5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5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5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5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5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5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5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5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5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5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5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5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5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5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5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5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5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5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5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5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5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5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5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5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5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5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5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5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5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5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5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5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5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5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5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5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5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5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5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5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5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5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5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5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5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5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5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5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5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5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5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5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5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5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5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5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5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5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5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5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5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5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5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5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5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5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5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5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5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5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5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5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5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5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5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5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5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5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5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5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5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5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5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5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5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5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5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5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5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5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5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5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5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5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5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5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5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5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5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5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5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5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5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5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5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5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5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5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5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5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5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5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5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5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5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5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5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5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5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5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5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5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5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5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5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5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5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5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5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5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5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5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5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5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5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5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5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5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5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5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5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5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5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5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5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5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5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5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5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5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5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5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5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5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5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5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5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5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5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253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5">
      <c r="A605" s="1" t="s">
        <v>253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5">
      <c r="A606" s="1" t="s">
        <v>253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5">
      <c r="A607" s="1" t="s">
        <v>253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5">
      <c r="A608" s="1" t="s">
        <v>253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5">
      <c r="A609" s="1" t="s">
        <v>253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253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5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5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5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5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5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5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5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5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5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5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5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5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5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5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5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5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5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5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5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5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5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5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5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5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5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5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5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5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5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5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5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5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5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5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5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254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5">
      <c r="A661" s="1" t="s">
        <v>254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5">
      <c r="A662" s="1" t="s">
        <v>254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5">
      <c r="A663" s="1" t="s">
        <v>254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5">
      <c r="A664" s="1" t="s">
        <v>254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5">
      <c r="A665" s="1" t="s">
        <v>254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254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5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5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5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5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5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5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5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5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5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5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5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5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5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5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5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5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5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5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5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5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5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5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5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5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5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5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5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5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5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5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5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5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5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5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5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5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5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5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5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5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5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5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5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5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5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5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5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5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5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5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5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5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5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5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5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topLeftCell="E1" workbookViewId="0">
      <selection activeCell="R57" sqref="R57"/>
    </sheetView>
  </sheetViews>
  <sheetFormatPr defaultRowHeight="14.5" x14ac:dyDescent="0.35"/>
  <cols>
    <col min="2" max="2" width="15.81640625" bestFit="1" customWidth="1"/>
    <col min="7" max="7" width="11.7265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261</v>
      </c>
      <c r="G1" t="s">
        <v>263</v>
      </c>
      <c r="H1" t="s">
        <v>264</v>
      </c>
      <c r="I1" s="4" t="s">
        <v>258</v>
      </c>
      <c r="M1" s="4"/>
    </row>
    <row r="2" spans="1:18" x14ac:dyDescent="0.35">
      <c r="B2" s="20" t="s">
        <v>259</v>
      </c>
      <c r="C2" s="20"/>
      <c r="D2" s="20"/>
      <c r="E2" s="20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262</v>
      </c>
      <c r="E3" t="s">
        <v>260</v>
      </c>
      <c r="F3" t="s">
        <v>255</v>
      </c>
      <c r="G3" s="4" t="s">
        <v>265</v>
      </c>
      <c r="H3" s="4" t="s">
        <v>266</v>
      </c>
      <c r="I3" s="4" t="s">
        <v>267</v>
      </c>
      <c r="J3" s="4" t="s">
        <v>268</v>
      </c>
      <c r="K3" s="4" t="s">
        <v>269</v>
      </c>
      <c r="L3" s="4" t="s">
        <v>270</v>
      </c>
      <c r="M3" s="4" t="s">
        <v>267</v>
      </c>
      <c r="N3" s="4" t="s">
        <v>268</v>
      </c>
      <c r="O3" s="4" t="s">
        <v>269</v>
      </c>
      <c r="P3" s="4" t="s">
        <v>270</v>
      </c>
      <c r="Q3" s="4" t="s">
        <v>271</v>
      </c>
      <c r="R3" s="4" t="s">
        <v>272</v>
      </c>
    </row>
    <row r="4" spans="1:18" x14ac:dyDescent="0.35">
      <c r="A4" t="s">
        <v>0</v>
      </c>
      <c r="B4" t="s">
        <v>278</v>
      </c>
      <c r="C4" t="s">
        <v>279</v>
      </c>
      <c r="D4" t="s">
        <v>280</v>
      </c>
      <c r="E4" t="s">
        <v>281</v>
      </c>
      <c r="F4" t="s">
        <v>273</v>
      </c>
      <c r="G4" t="s">
        <v>274</v>
      </c>
      <c r="H4" t="s">
        <v>275</v>
      </c>
      <c r="I4" t="s">
        <v>276</v>
      </c>
      <c r="J4" t="s">
        <v>277</v>
      </c>
      <c r="K4" t="s">
        <v>276</v>
      </c>
      <c r="L4" t="s">
        <v>282</v>
      </c>
      <c r="M4" t="s">
        <v>283</v>
      </c>
      <c r="N4" t="s">
        <v>284</v>
      </c>
      <c r="O4" t="s">
        <v>285</v>
      </c>
      <c r="P4" t="s">
        <v>286</v>
      </c>
      <c r="Q4" t="s">
        <v>287</v>
      </c>
      <c r="R4" t="s">
        <v>288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256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257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D52"/>
  <sheetViews>
    <sheetView workbookViewId="0">
      <selection activeCell="B3" sqref="B3"/>
    </sheetView>
  </sheetViews>
  <sheetFormatPr defaultRowHeight="14.5" x14ac:dyDescent="0.35"/>
  <cols>
    <col min="2" max="2" width="18.453125" customWidth="1"/>
  </cols>
  <sheetData>
    <row r="1" spans="1:4" x14ac:dyDescent="0.35">
      <c r="A1" t="s">
        <v>0</v>
      </c>
      <c r="B1" t="s">
        <v>1</v>
      </c>
      <c r="C1" t="s">
        <v>305</v>
      </c>
      <c r="D1" t="s">
        <v>306</v>
      </c>
    </row>
    <row r="2" spans="1:4" x14ac:dyDescent="0.35">
      <c r="A2" t="s">
        <v>4</v>
      </c>
      <c r="B2">
        <v>2021</v>
      </c>
      <c r="C2" s="14">
        <v>925</v>
      </c>
      <c r="D2">
        <v>419.6</v>
      </c>
    </row>
    <row r="3" spans="1:4" x14ac:dyDescent="0.35">
      <c r="A3" t="s">
        <v>3</v>
      </c>
      <c r="B3">
        <v>2021</v>
      </c>
      <c r="C3" s="14">
        <v>754.5</v>
      </c>
      <c r="D3">
        <v>342.2</v>
      </c>
    </row>
    <row r="4" spans="1:4" x14ac:dyDescent="0.35">
      <c r="A4" t="s">
        <v>6</v>
      </c>
      <c r="B4">
        <v>2021</v>
      </c>
      <c r="C4" s="14">
        <v>1093.0999999999999</v>
      </c>
      <c r="D4">
        <v>495.8</v>
      </c>
    </row>
    <row r="5" spans="1:4" x14ac:dyDescent="0.35">
      <c r="A5" t="s">
        <v>5</v>
      </c>
      <c r="B5">
        <v>2021</v>
      </c>
      <c r="C5" s="14">
        <v>727.6</v>
      </c>
      <c r="D5">
        <v>330</v>
      </c>
    </row>
    <row r="6" spans="1:4" x14ac:dyDescent="0.35">
      <c r="A6" t="s">
        <v>7</v>
      </c>
      <c r="B6">
        <v>2021</v>
      </c>
      <c r="C6" s="14">
        <v>480.5</v>
      </c>
      <c r="D6">
        <v>218</v>
      </c>
    </row>
    <row r="7" spans="1:4" x14ac:dyDescent="0.35">
      <c r="A7" t="s">
        <v>8</v>
      </c>
      <c r="B7">
        <v>2021</v>
      </c>
      <c r="C7" s="14">
        <v>1224.5999999999999</v>
      </c>
      <c r="D7">
        <v>555.5</v>
      </c>
    </row>
    <row r="8" spans="1:4" x14ac:dyDescent="0.35">
      <c r="A8" t="s">
        <v>9</v>
      </c>
      <c r="B8">
        <v>2021</v>
      </c>
      <c r="C8" s="14">
        <v>518.1</v>
      </c>
      <c r="D8">
        <v>235</v>
      </c>
    </row>
    <row r="9" spans="1:4" x14ac:dyDescent="0.35">
      <c r="A9" t="s">
        <v>11</v>
      </c>
      <c r="B9">
        <v>2021</v>
      </c>
      <c r="C9" s="14">
        <v>652.6</v>
      </c>
      <c r="D9">
        <v>296</v>
      </c>
    </row>
    <row r="10" spans="1:4" x14ac:dyDescent="0.35">
      <c r="A10" t="s">
        <v>10</v>
      </c>
      <c r="B10">
        <v>2021</v>
      </c>
      <c r="C10" s="14">
        <v>870.1</v>
      </c>
      <c r="D10">
        <v>394.7</v>
      </c>
    </row>
    <row r="11" spans="1:4" x14ac:dyDescent="0.35">
      <c r="A11" t="s">
        <v>12</v>
      </c>
      <c r="B11">
        <v>2021</v>
      </c>
      <c r="C11" s="14">
        <v>837.5</v>
      </c>
      <c r="D11">
        <v>379.9</v>
      </c>
    </row>
    <row r="12" spans="1:4" x14ac:dyDescent="0.35">
      <c r="A12" t="s">
        <v>13</v>
      </c>
      <c r="B12">
        <v>2021</v>
      </c>
      <c r="C12" s="14">
        <v>762.4</v>
      </c>
      <c r="D12">
        <v>345.8</v>
      </c>
    </row>
    <row r="13" spans="1:4" x14ac:dyDescent="0.35">
      <c r="A13" t="s">
        <v>14</v>
      </c>
      <c r="B13">
        <v>2021</v>
      </c>
      <c r="C13" s="14">
        <v>1502.6</v>
      </c>
      <c r="D13">
        <v>681.6</v>
      </c>
    </row>
    <row r="14" spans="1:4" x14ac:dyDescent="0.35">
      <c r="A14" t="s">
        <v>18</v>
      </c>
      <c r="B14">
        <v>2021</v>
      </c>
      <c r="C14" s="14">
        <v>774.4</v>
      </c>
      <c r="D14">
        <v>351.3</v>
      </c>
    </row>
    <row r="15" spans="1:4" x14ac:dyDescent="0.35">
      <c r="A15" t="s">
        <v>15</v>
      </c>
      <c r="B15">
        <v>2021</v>
      </c>
      <c r="C15" s="14">
        <v>272</v>
      </c>
      <c r="D15">
        <v>123.4</v>
      </c>
    </row>
    <row r="16" spans="1:4" x14ac:dyDescent="0.35">
      <c r="A16" t="s">
        <v>16</v>
      </c>
      <c r="B16">
        <v>2021</v>
      </c>
      <c r="C16" s="14">
        <v>657.3</v>
      </c>
      <c r="D16">
        <v>298.10000000000002</v>
      </c>
    </row>
    <row r="17" spans="1:4" x14ac:dyDescent="0.35">
      <c r="A17" t="s">
        <v>17</v>
      </c>
      <c r="B17">
        <v>2021</v>
      </c>
      <c r="C17" s="14">
        <v>1642.9</v>
      </c>
      <c r="D17">
        <v>745.2</v>
      </c>
    </row>
    <row r="18" spans="1:4" x14ac:dyDescent="0.35">
      <c r="A18" t="s">
        <v>19</v>
      </c>
      <c r="B18">
        <v>2021</v>
      </c>
      <c r="C18" s="14">
        <v>844.6</v>
      </c>
      <c r="D18">
        <v>383.1</v>
      </c>
    </row>
    <row r="19" spans="1:4" x14ac:dyDescent="0.35">
      <c r="A19" t="s">
        <v>20</v>
      </c>
      <c r="B19">
        <v>2021</v>
      </c>
      <c r="C19" s="14">
        <v>1739.8</v>
      </c>
      <c r="D19">
        <v>789.2</v>
      </c>
    </row>
    <row r="20" spans="1:4" x14ac:dyDescent="0.35">
      <c r="A20" t="s">
        <v>21</v>
      </c>
      <c r="B20">
        <v>2021</v>
      </c>
      <c r="C20" s="14">
        <v>828.7</v>
      </c>
      <c r="D20">
        <v>375.9</v>
      </c>
    </row>
    <row r="21" spans="1:4" x14ac:dyDescent="0.35">
      <c r="A21" t="s">
        <v>24</v>
      </c>
      <c r="B21">
        <v>2021</v>
      </c>
      <c r="C21" s="14">
        <v>859.6</v>
      </c>
      <c r="D21">
        <v>389.9</v>
      </c>
    </row>
    <row r="22" spans="1:4" x14ac:dyDescent="0.35">
      <c r="A22" t="s">
        <v>23</v>
      </c>
      <c r="B22">
        <v>2021</v>
      </c>
      <c r="C22" s="14">
        <v>702</v>
      </c>
      <c r="D22">
        <v>318.39999999999998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140.30000000000001</v>
      </c>
    </row>
    <row r="24" spans="1:4" x14ac:dyDescent="0.35">
      <c r="A24" t="s">
        <v>25</v>
      </c>
      <c r="B24">
        <v>2021</v>
      </c>
      <c r="C24" s="14">
        <v>1010.3</v>
      </c>
      <c r="D24">
        <v>458.3</v>
      </c>
    </row>
    <row r="25" spans="1:4" x14ac:dyDescent="0.35">
      <c r="A25" t="s">
        <v>26</v>
      </c>
      <c r="B25">
        <v>2021</v>
      </c>
      <c r="C25" s="14">
        <v>831.6</v>
      </c>
      <c r="D25">
        <v>377.2</v>
      </c>
    </row>
    <row r="26" spans="1:4" x14ac:dyDescent="0.35">
      <c r="A26" t="s">
        <v>28</v>
      </c>
      <c r="B26">
        <v>2021</v>
      </c>
      <c r="C26" s="14">
        <v>1649</v>
      </c>
      <c r="D26">
        <v>748</v>
      </c>
    </row>
    <row r="27" spans="1:4" x14ac:dyDescent="0.35">
      <c r="A27" t="s">
        <v>27</v>
      </c>
      <c r="B27">
        <v>2021</v>
      </c>
      <c r="C27" s="14">
        <v>836.4</v>
      </c>
      <c r="D27">
        <v>379.4</v>
      </c>
    </row>
    <row r="28" spans="1:4" x14ac:dyDescent="0.35">
      <c r="A28" t="s">
        <v>29</v>
      </c>
      <c r="B28">
        <v>2021</v>
      </c>
      <c r="C28" s="14">
        <v>1053</v>
      </c>
      <c r="D28">
        <v>477.6</v>
      </c>
    </row>
    <row r="29" spans="1:4" x14ac:dyDescent="0.35">
      <c r="A29" t="s">
        <v>256</v>
      </c>
      <c r="B29">
        <v>2021</v>
      </c>
      <c r="C29" s="14">
        <v>672.7</v>
      </c>
      <c r="D29">
        <v>305.10000000000002</v>
      </c>
    </row>
    <row r="30" spans="1:4" x14ac:dyDescent="0.35">
      <c r="A30" t="s">
        <v>36</v>
      </c>
      <c r="B30">
        <v>2021</v>
      </c>
      <c r="C30" s="14">
        <v>1351</v>
      </c>
      <c r="D30">
        <v>612.79999999999995</v>
      </c>
    </row>
    <row r="31" spans="1:4" x14ac:dyDescent="0.35">
      <c r="A31" t="s">
        <v>30</v>
      </c>
      <c r="B31">
        <v>2021</v>
      </c>
      <c r="C31" s="14">
        <v>1133.7</v>
      </c>
      <c r="D31">
        <v>514.20000000000005</v>
      </c>
    </row>
    <row r="32" spans="1:4" x14ac:dyDescent="0.35">
      <c r="A32" t="s">
        <v>32</v>
      </c>
      <c r="B32">
        <v>2021</v>
      </c>
      <c r="C32" s="14">
        <v>308</v>
      </c>
      <c r="D32">
        <v>139.69999999999999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</v>
      </c>
    </row>
    <row r="34" spans="1:4" x14ac:dyDescent="0.35">
      <c r="A34" t="s">
        <v>34</v>
      </c>
      <c r="B34">
        <v>2021</v>
      </c>
      <c r="C34" s="14">
        <v>1140.8</v>
      </c>
      <c r="D34">
        <v>517.5</v>
      </c>
    </row>
    <row r="35" spans="1:4" x14ac:dyDescent="0.35">
      <c r="A35" t="s">
        <v>31</v>
      </c>
      <c r="B35">
        <v>2021</v>
      </c>
      <c r="C35" s="14">
        <v>716.9</v>
      </c>
      <c r="D35">
        <v>325.2</v>
      </c>
    </row>
    <row r="36" spans="1:4" x14ac:dyDescent="0.35">
      <c r="A36" t="s">
        <v>35</v>
      </c>
      <c r="B36">
        <v>2021</v>
      </c>
      <c r="C36" s="14">
        <v>457</v>
      </c>
      <c r="D36">
        <v>207.3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551.1</v>
      </c>
    </row>
    <row r="38" spans="1:4" x14ac:dyDescent="0.35">
      <c r="A38" t="s">
        <v>38</v>
      </c>
      <c r="B38">
        <v>2021</v>
      </c>
      <c r="C38" s="14">
        <v>756.6</v>
      </c>
      <c r="D38">
        <v>343.2</v>
      </c>
    </row>
    <row r="39" spans="1:4" x14ac:dyDescent="0.35">
      <c r="A39" t="s">
        <v>39</v>
      </c>
      <c r="B39">
        <v>2021</v>
      </c>
      <c r="C39" s="14">
        <v>326.7</v>
      </c>
      <c r="D39">
        <v>148.19999999999999</v>
      </c>
    </row>
    <row r="40" spans="1:4" x14ac:dyDescent="0.35">
      <c r="A40" t="s">
        <v>40</v>
      </c>
      <c r="B40">
        <v>2021</v>
      </c>
      <c r="C40" s="14">
        <v>729.6</v>
      </c>
      <c r="D40">
        <v>330.9</v>
      </c>
    </row>
    <row r="41" spans="1:4" x14ac:dyDescent="0.35">
      <c r="A41" t="s">
        <v>41</v>
      </c>
      <c r="B41">
        <v>2021</v>
      </c>
      <c r="C41" s="14">
        <v>833.6</v>
      </c>
      <c r="D41">
        <v>378.1</v>
      </c>
    </row>
    <row r="42" spans="1:4" x14ac:dyDescent="0.35">
      <c r="A42" t="s">
        <v>257</v>
      </c>
      <c r="B42">
        <v>2021</v>
      </c>
      <c r="C42" s="14">
        <v>570.4</v>
      </c>
      <c r="D42">
        <v>258.7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138.19999999999999</v>
      </c>
    </row>
    <row r="44" spans="1:4" x14ac:dyDescent="0.35">
      <c r="A44" t="s">
        <v>43</v>
      </c>
      <c r="B44">
        <v>2021</v>
      </c>
      <c r="C44" s="14">
        <v>702.6</v>
      </c>
      <c r="D44">
        <v>318.7</v>
      </c>
    </row>
    <row r="45" spans="1:4" x14ac:dyDescent="0.35">
      <c r="A45" t="s">
        <v>44</v>
      </c>
      <c r="B45">
        <v>2021</v>
      </c>
      <c r="C45" s="14">
        <v>860.2</v>
      </c>
      <c r="D45">
        <v>390.2</v>
      </c>
    </row>
    <row r="46" spans="1:4" x14ac:dyDescent="0.35">
      <c r="A46" t="s">
        <v>45</v>
      </c>
      <c r="B46">
        <v>2021</v>
      </c>
      <c r="C46" s="14">
        <v>1571.2</v>
      </c>
      <c r="D46">
        <v>712.7</v>
      </c>
    </row>
    <row r="47" spans="1:4" x14ac:dyDescent="0.35">
      <c r="A47" t="s">
        <v>47</v>
      </c>
      <c r="B47">
        <v>2021</v>
      </c>
      <c r="C47" s="14">
        <v>601.5</v>
      </c>
      <c r="D47">
        <v>272.8</v>
      </c>
    </row>
    <row r="48" spans="1:4" x14ac:dyDescent="0.35">
      <c r="A48" t="s">
        <v>46</v>
      </c>
      <c r="B48">
        <v>2021</v>
      </c>
      <c r="C48" s="14">
        <v>44.8</v>
      </c>
      <c r="D48">
        <v>20.3</v>
      </c>
    </row>
    <row r="49" spans="1:4" x14ac:dyDescent="0.35">
      <c r="A49" t="s">
        <v>48</v>
      </c>
      <c r="B49">
        <v>2021</v>
      </c>
      <c r="C49" s="14">
        <v>203</v>
      </c>
      <c r="D49">
        <v>92.1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578.29999999999995</v>
      </c>
    </row>
    <row r="51" spans="1:4" x14ac:dyDescent="0.35">
      <c r="A51" t="s">
        <v>49</v>
      </c>
      <c r="B51">
        <v>2021</v>
      </c>
      <c r="C51" s="14">
        <v>1959.4</v>
      </c>
      <c r="D51">
        <v>888.8</v>
      </c>
    </row>
    <row r="52" spans="1:4" x14ac:dyDescent="0.35">
      <c r="A52" t="s">
        <v>51</v>
      </c>
      <c r="B52">
        <v>2021</v>
      </c>
      <c r="C52" s="14">
        <v>1847.4</v>
      </c>
      <c r="D52">
        <v>838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workbookViewId="0">
      <selection activeCell="C11" sqref="C11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92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253</v>
      </c>
      <c r="B992">
        <v>2021</v>
      </c>
      <c r="C992">
        <v>117734</v>
      </c>
    </row>
    <row r="993" spans="1:3" x14ac:dyDescent="0.35">
      <c r="A993" t="s">
        <v>253</v>
      </c>
      <c r="B993">
        <v>2022</v>
      </c>
      <c r="C993">
        <v>118965.94291047599</v>
      </c>
    </row>
    <row r="994" spans="1:3" x14ac:dyDescent="0.35">
      <c r="A994" t="s">
        <v>253</v>
      </c>
      <c r="B994">
        <v>2023</v>
      </c>
      <c r="C994">
        <v>120197.88582095198</v>
      </c>
    </row>
    <row r="995" spans="1:3" x14ac:dyDescent="0.35">
      <c r="A995" t="s">
        <v>253</v>
      </c>
      <c r="B995">
        <v>2024</v>
      </c>
      <c r="C995">
        <v>121429.82873142799</v>
      </c>
    </row>
    <row r="996" spans="1:3" x14ac:dyDescent="0.35">
      <c r="A996" t="s">
        <v>253</v>
      </c>
      <c r="B996">
        <v>2025</v>
      </c>
      <c r="C996">
        <v>122661.77164190395</v>
      </c>
    </row>
    <row r="997" spans="1:3" x14ac:dyDescent="0.35">
      <c r="A997" t="s">
        <v>253</v>
      </c>
      <c r="B997">
        <v>2026</v>
      </c>
      <c r="C997">
        <v>123893.71455237994</v>
      </c>
    </row>
    <row r="998" spans="1:3" x14ac:dyDescent="0.35">
      <c r="A998" t="s">
        <v>253</v>
      </c>
      <c r="B998">
        <v>2027</v>
      </c>
      <c r="C998">
        <v>125125.65746285593</v>
      </c>
    </row>
    <row r="999" spans="1:3" x14ac:dyDescent="0.35">
      <c r="A999" t="s">
        <v>253</v>
      </c>
      <c r="B999">
        <v>2028</v>
      </c>
      <c r="C999">
        <v>126357.60037333192</v>
      </c>
    </row>
    <row r="1000" spans="1:3" x14ac:dyDescent="0.35">
      <c r="A1000" t="s">
        <v>253</v>
      </c>
      <c r="B1000">
        <v>2029</v>
      </c>
      <c r="C1000">
        <v>127589.54328380793</v>
      </c>
    </row>
    <row r="1001" spans="1:3" x14ac:dyDescent="0.35">
      <c r="A1001" t="s">
        <v>253</v>
      </c>
      <c r="B1001">
        <v>2030</v>
      </c>
      <c r="C1001">
        <v>128821.48619428392</v>
      </c>
    </row>
    <row r="1002" spans="1:3" x14ac:dyDescent="0.35">
      <c r="A1002" t="s">
        <v>253</v>
      </c>
      <c r="B1002">
        <v>2031</v>
      </c>
      <c r="C1002">
        <v>130053.42910475978</v>
      </c>
    </row>
    <row r="1003" spans="1:3" x14ac:dyDescent="0.35">
      <c r="A1003" t="s">
        <v>253</v>
      </c>
      <c r="B1003">
        <v>2032</v>
      </c>
      <c r="C1003">
        <v>131150.86294994285</v>
      </c>
    </row>
    <row r="1004" spans="1:3" x14ac:dyDescent="0.35">
      <c r="A1004" t="s">
        <v>253</v>
      </c>
      <c r="B1004">
        <v>2033</v>
      </c>
      <c r="C1004">
        <v>132248.29679512593</v>
      </c>
    </row>
    <row r="1005" spans="1:3" x14ac:dyDescent="0.35">
      <c r="A1005" t="s">
        <v>253</v>
      </c>
      <c r="B1005">
        <v>2034</v>
      </c>
      <c r="C1005">
        <v>133345.73064030899</v>
      </c>
    </row>
    <row r="1006" spans="1:3" x14ac:dyDescent="0.35">
      <c r="A1006" t="s">
        <v>253</v>
      </c>
      <c r="B1006">
        <v>2035</v>
      </c>
      <c r="C1006">
        <v>134443.16448549205</v>
      </c>
    </row>
    <row r="1007" spans="1:3" x14ac:dyDescent="0.35">
      <c r="A1007" t="s">
        <v>253</v>
      </c>
      <c r="B1007">
        <v>2036</v>
      </c>
      <c r="C1007">
        <v>135540.5983306751</v>
      </c>
    </row>
    <row r="1008" spans="1:3" x14ac:dyDescent="0.35">
      <c r="A1008" t="s">
        <v>253</v>
      </c>
      <c r="B1008">
        <v>2037</v>
      </c>
      <c r="C1008">
        <v>136638.03217585818</v>
      </c>
    </row>
    <row r="1009" spans="1:3" x14ac:dyDescent="0.35">
      <c r="A1009" t="s">
        <v>253</v>
      </c>
      <c r="B1009">
        <v>2038</v>
      </c>
      <c r="C1009">
        <v>137735.46602104124</v>
      </c>
    </row>
    <row r="1010" spans="1:3" x14ac:dyDescent="0.35">
      <c r="A1010" t="s">
        <v>253</v>
      </c>
      <c r="B1010">
        <v>2039</v>
      </c>
      <c r="C1010">
        <v>138832.89986622432</v>
      </c>
    </row>
    <row r="1011" spans="1:3" x14ac:dyDescent="0.35">
      <c r="A1011" t="s">
        <v>253</v>
      </c>
      <c r="B1011">
        <v>2040</v>
      </c>
      <c r="C1011">
        <v>139930.33371140735</v>
      </c>
    </row>
    <row r="1012" spans="1:3" x14ac:dyDescent="0.35">
      <c r="A1012" t="s">
        <v>253</v>
      </c>
      <c r="B1012">
        <v>2041</v>
      </c>
      <c r="C1012">
        <v>141027.76755659049</v>
      </c>
    </row>
    <row r="1013" spans="1:3" x14ac:dyDescent="0.35">
      <c r="A1013" t="s">
        <v>253</v>
      </c>
      <c r="B1013">
        <v>2042</v>
      </c>
      <c r="C1013">
        <v>142217.80649898967</v>
      </c>
    </row>
    <row r="1014" spans="1:3" x14ac:dyDescent="0.35">
      <c r="A1014" t="s">
        <v>253</v>
      </c>
      <c r="B1014">
        <v>2043</v>
      </c>
      <c r="C1014">
        <v>143407.84544138884</v>
      </c>
    </row>
    <row r="1015" spans="1:3" x14ac:dyDescent="0.35">
      <c r="A1015" t="s">
        <v>253</v>
      </c>
      <c r="B1015">
        <v>2044</v>
      </c>
      <c r="C1015">
        <v>144597.88438378801</v>
      </c>
    </row>
    <row r="1016" spans="1:3" x14ac:dyDescent="0.35">
      <c r="A1016" t="s">
        <v>253</v>
      </c>
      <c r="B1016">
        <v>2045</v>
      </c>
      <c r="C1016">
        <v>145787.92332618716</v>
      </c>
    </row>
    <row r="1017" spans="1:3" x14ac:dyDescent="0.35">
      <c r="A1017" t="s">
        <v>253</v>
      </c>
      <c r="B1017">
        <v>2046</v>
      </c>
      <c r="C1017">
        <v>146977.9622685863</v>
      </c>
    </row>
    <row r="1018" spans="1:3" x14ac:dyDescent="0.35">
      <c r="A1018" t="s">
        <v>253</v>
      </c>
      <c r="B1018">
        <v>2047</v>
      </c>
      <c r="C1018">
        <v>148168.00121098547</v>
      </c>
    </row>
    <row r="1019" spans="1:3" x14ac:dyDescent="0.35">
      <c r="A1019" t="s">
        <v>253</v>
      </c>
      <c r="B1019">
        <v>2048</v>
      </c>
      <c r="C1019">
        <v>149358.04015338465</v>
      </c>
    </row>
    <row r="1020" spans="1:3" x14ac:dyDescent="0.35">
      <c r="A1020" t="s">
        <v>253</v>
      </c>
      <c r="B1020">
        <v>2049</v>
      </c>
      <c r="C1020">
        <v>150548.07909578382</v>
      </c>
    </row>
    <row r="1021" spans="1:3" x14ac:dyDescent="0.35">
      <c r="A1021" t="s">
        <v>253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254</v>
      </c>
      <c r="B1202">
        <v>2021</v>
      </c>
      <c r="C1202">
        <v>57492</v>
      </c>
    </row>
    <row r="1203" spans="1:3" x14ac:dyDescent="0.35">
      <c r="A1203" t="s">
        <v>254</v>
      </c>
      <c r="B1203">
        <v>2022</v>
      </c>
      <c r="C1203">
        <v>58165.863726137752</v>
      </c>
    </row>
    <row r="1204" spans="1:3" x14ac:dyDescent="0.35">
      <c r="A1204" t="s">
        <v>254</v>
      </c>
      <c r="B1204">
        <v>2023</v>
      </c>
      <c r="C1204">
        <v>58839.727452275503</v>
      </c>
    </row>
    <row r="1205" spans="1:3" x14ac:dyDescent="0.35">
      <c r="A1205" t="s">
        <v>254</v>
      </c>
      <c r="B1205">
        <v>2024</v>
      </c>
      <c r="C1205">
        <v>59513.591178413255</v>
      </c>
    </row>
    <row r="1206" spans="1:3" x14ac:dyDescent="0.35">
      <c r="A1206" t="s">
        <v>254</v>
      </c>
      <c r="B1206">
        <v>2025</v>
      </c>
      <c r="C1206">
        <v>60187.454904551014</v>
      </c>
    </row>
    <row r="1207" spans="1:3" x14ac:dyDescent="0.35">
      <c r="A1207" t="s">
        <v>254</v>
      </c>
      <c r="B1207">
        <v>2026</v>
      </c>
      <c r="C1207">
        <v>60861.318630688766</v>
      </c>
    </row>
    <row r="1208" spans="1:3" x14ac:dyDescent="0.35">
      <c r="A1208" t="s">
        <v>254</v>
      </c>
      <c r="B1208">
        <v>2027</v>
      </c>
      <c r="C1208">
        <v>61535.182356826517</v>
      </c>
    </row>
    <row r="1209" spans="1:3" x14ac:dyDescent="0.35">
      <c r="A1209" t="s">
        <v>254</v>
      </c>
      <c r="B1209">
        <v>2028</v>
      </c>
      <c r="C1209">
        <v>62209.046082964269</v>
      </c>
    </row>
    <row r="1210" spans="1:3" x14ac:dyDescent="0.35">
      <c r="A1210" t="s">
        <v>254</v>
      </c>
      <c r="B1210">
        <v>2029</v>
      </c>
      <c r="C1210">
        <v>62882.909809102021</v>
      </c>
    </row>
    <row r="1211" spans="1:3" x14ac:dyDescent="0.35">
      <c r="A1211" t="s">
        <v>254</v>
      </c>
      <c r="B1211">
        <v>2030</v>
      </c>
      <c r="C1211">
        <v>63556.773535239772</v>
      </c>
    </row>
    <row r="1212" spans="1:3" x14ac:dyDescent="0.35">
      <c r="A1212" t="s">
        <v>254</v>
      </c>
      <c r="B1212">
        <v>2031</v>
      </c>
      <c r="C1212">
        <v>64230.637261377538</v>
      </c>
    </row>
    <row r="1213" spans="1:3" x14ac:dyDescent="0.35">
      <c r="A1213" t="s">
        <v>254</v>
      </c>
      <c r="B1213">
        <v>2032</v>
      </c>
      <c r="C1213">
        <v>64851.907869280156</v>
      </c>
    </row>
    <row r="1214" spans="1:3" x14ac:dyDescent="0.35">
      <c r="A1214" t="s">
        <v>254</v>
      </c>
      <c r="B1214">
        <v>2033</v>
      </c>
      <c r="C1214">
        <v>65473.178477182781</v>
      </c>
    </row>
    <row r="1215" spans="1:3" x14ac:dyDescent="0.35">
      <c r="A1215" t="s">
        <v>254</v>
      </c>
      <c r="B1215">
        <v>2034</v>
      </c>
      <c r="C1215">
        <v>66094.449085085391</v>
      </c>
    </row>
    <row r="1216" spans="1:3" x14ac:dyDescent="0.35">
      <c r="A1216" t="s">
        <v>254</v>
      </c>
      <c r="B1216">
        <v>2035</v>
      </c>
      <c r="C1216">
        <v>66715.719692988016</v>
      </c>
    </row>
    <row r="1217" spans="1:3" x14ac:dyDescent="0.35">
      <c r="A1217" t="s">
        <v>254</v>
      </c>
      <c r="B1217">
        <v>2036</v>
      </c>
      <c r="C1217">
        <v>67336.990300890626</v>
      </c>
    </row>
    <row r="1218" spans="1:3" x14ac:dyDescent="0.35">
      <c r="A1218" t="s">
        <v>254</v>
      </c>
      <c r="B1218">
        <v>2037</v>
      </c>
      <c r="C1218">
        <v>67958.260908793236</v>
      </c>
    </row>
    <row r="1219" spans="1:3" x14ac:dyDescent="0.35">
      <c r="A1219" t="s">
        <v>254</v>
      </c>
      <c r="B1219">
        <v>2038</v>
      </c>
      <c r="C1219">
        <v>68579.531516695846</v>
      </c>
    </row>
    <row r="1220" spans="1:3" x14ac:dyDescent="0.35">
      <c r="A1220" t="s">
        <v>254</v>
      </c>
      <c r="B1220">
        <v>2039</v>
      </c>
      <c r="C1220">
        <v>69200.802124598471</v>
      </c>
    </row>
    <row r="1221" spans="1:3" x14ac:dyDescent="0.35">
      <c r="A1221" t="s">
        <v>254</v>
      </c>
      <c r="B1221">
        <v>2040</v>
      </c>
      <c r="C1221">
        <v>69822.072732501096</v>
      </c>
    </row>
    <row r="1222" spans="1:3" x14ac:dyDescent="0.35">
      <c r="A1222" t="s">
        <v>254</v>
      </c>
      <c r="B1222">
        <v>2041</v>
      </c>
      <c r="C1222">
        <v>70443.343340403691</v>
      </c>
    </row>
    <row r="1223" spans="1:3" x14ac:dyDescent="0.35">
      <c r="A1223" t="s">
        <v>254</v>
      </c>
      <c r="B1223">
        <v>2042</v>
      </c>
      <c r="C1223">
        <v>71124.706325511448</v>
      </c>
    </row>
    <row r="1224" spans="1:3" x14ac:dyDescent="0.35">
      <c r="A1224" t="s">
        <v>254</v>
      </c>
      <c r="B1224">
        <v>2043</v>
      </c>
      <c r="C1224">
        <v>71806.069310619205</v>
      </c>
    </row>
    <row r="1225" spans="1:3" x14ac:dyDescent="0.35">
      <c r="A1225" t="s">
        <v>254</v>
      </c>
      <c r="B1225">
        <v>2044</v>
      </c>
      <c r="C1225">
        <v>72487.432295726961</v>
      </c>
    </row>
    <row r="1226" spans="1:3" x14ac:dyDescent="0.35">
      <c r="A1226" t="s">
        <v>254</v>
      </c>
      <c r="B1226">
        <v>2045</v>
      </c>
      <c r="C1226">
        <v>73168.795280834689</v>
      </c>
    </row>
    <row r="1227" spans="1:3" x14ac:dyDescent="0.35">
      <c r="A1227" t="s">
        <v>254</v>
      </c>
      <c r="B1227">
        <v>2046</v>
      </c>
      <c r="C1227">
        <v>73850.158265942446</v>
      </c>
    </row>
    <row r="1228" spans="1:3" x14ac:dyDescent="0.35">
      <c r="A1228" t="s">
        <v>254</v>
      </c>
      <c r="B1228">
        <v>2047</v>
      </c>
      <c r="C1228">
        <v>74531.521251050202</v>
      </c>
    </row>
    <row r="1229" spans="1:3" x14ac:dyDescent="0.35">
      <c r="A1229" t="s">
        <v>254</v>
      </c>
      <c r="B1229">
        <v>2048</v>
      </c>
      <c r="C1229">
        <v>75212.884236157945</v>
      </c>
    </row>
    <row r="1230" spans="1:3" x14ac:dyDescent="0.35">
      <c r="A1230" t="s">
        <v>254</v>
      </c>
      <c r="B1230">
        <v>2049</v>
      </c>
      <c r="C1230">
        <v>75894.247221265701</v>
      </c>
    </row>
    <row r="1231" spans="1:3" x14ac:dyDescent="0.35">
      <c r="A1231" t="s">
        <v>254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workbookViewId="0">
      <selection activeCell="F13" sqref="F13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93</v>
      </c>
      <c r="B1" s="10" t="s">
        <v>166</v>
      </c>
      <c r="C1" s="10" t="s">
        <v>209</v>
      </c>
      <c r="D1" s="10" t="s">
        <v>210</v>
      </c>
      <c r="E1" s="10" t="s">
        <v>211</v>
      </c>
      <c r="F1" s="10" t="s">
        <v>212</v>
      </c>
      <c r="G1" s="10" t="s">
        <v>213</v>
      </c>
      <c r="H1" s="10" t="s">
        <v>214</v>
      </c>
      <c r="I1" s="10" t="s">
        <v>215</v>
      </c>
      <c r="J1" s="10" t="s">
        <v>216</v>
      </c>
    </row>
    <row r="2" spans="1:10" x14ac:dyDescent="0.35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5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5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5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5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5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5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5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5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5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5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5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5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5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5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5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5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5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5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5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5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5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5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5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5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5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5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5">
      <c r="A29" s="2" t="s">
        <v>94</v>
      </c>
      <c r="B29" s="2" t="s">
        <v>253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5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5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5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5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5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5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5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5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5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5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5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5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5">
      <c r="A42" s="2" t="s">
        <v>94</v>
      </c>
      <c r="B42" s="2" t="s">
        <v>254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5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5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5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5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5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5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5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5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5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5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B14" sqref="B14"/>
    </sheetView>
  </sheetViews>
  <sheetFormatPr defaultRowHeight="14.5" x14ac:dyDescent="0.35"/>
  <cols>
    <col min="1" max="2" width="42.1796875" customWidth="1"/>
    <col min="3" max="3" width="19.6328125" customWidth="1"/>
    <col min="4" max="4" width="18.7265625" customWidth="1"/>
    <col min="5" max="5" width="27.6328125" customWidth="1"/>
  </cols>
  <sheetData>
    <row r="1" spans="1:5" x14ac:dyDescent="0.35">
      <c r="A1" s="4" t="s">
        <v>165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5">
      <c r="A2" t="s">
        <v>159</v>
      </c>
      <c r="B2" t="s">
        <v>158</v>
      </c>
      <c r="C2">
        <v>327</v>
      </c>
      <c r="D2">
        <v>798</v>
      </c>
      <c r="E2">
        <v>0</v>
      </c>
    </row>
    <row r="3" spans="1:5" x14ac:dyDescent="0.35">
      <c r="A3" t="s">
        <v>159</v>
      </c>
      <c r="B3" t="s">
        <v>90</v>
      </c>
      <c r="C3">
        <v>174.4</v>
      </c>
      <c r="D3">
        <v>247</v>
      </c>
      <c r="E3">
        <v>0</v>
      </c>
    </row>
    <row r="4" spans="1:5" x14ac:dyDescent="0.35">
      <c r="A4" t="s">
        <v>159</v>
      </c>
      <c r="B4" t="s">
        <v>157</v>
      </c>
      <c r="C4">
        <v>54.5</v>
      </c>
      <c r="D4">
        <v>13</v>
      </c>
      <c r="E4">
        <v>0</v>
      </c>
    </row>
    <row r="5" spans="1:5" x14ac:dyDescent="0.35">
      <c r="A5" t="s">
        <v>159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160</v>
      </c>
      <c r="B6" t="s">
        <v>158</v>
      </c>
      <c r="C6">
        <v>150</v>
      </c>
      <c r="D6">
        <v>0</v>
      </c>
      <c r="E6">
        <v>0</v>
      </c>
    </row>
    <row r="7" spans="1:5" x14ac:dyDescent="0.35">
      <c r="A7" t="s">
        <v>160</v>
      </c>
      <c r="B7" t="s">
        <v>90</v>
      </c>
      <c r="C7">
        <v>80</v>
      </c>
      <c r="D7">
        <v>0</v>
      </c>
      <c r="E7">
        <v>0</v>
      </c>
    </row>
    <row r="8" spans="1:5" x14ac:dyDescent="0.35">
      <c r="A8" t="s">
        <v>160</v>
      </c>
      <c r="B8" t="s">
        <v>157</v>
      </c>
      <c r="C8">
        <v>25</v>
      </c>
      <c r="D8">
        <v>0</v>
      </c>
      <c r="E8">
        <v>0</v>
      </c>
    </row>
    <row r="9" spans="1:5" x14ac:dyDescent="0.35">
      <c r="A9" t="s">
        <v>160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161</v>
      </c>
      <c r="B10" t="s">
        <v>158</v>
      </c>
      <c r="C10">
        <v>203.25</v>
      </c>
      <c r="D10">
        <v>0</v>
      </c>
      <c r="E10">
        <v>0</v>
      </c>
    </row>
    <row r="11" spans="1:5" x14ac:dyDescent="0.35">
      <c r="A11" t="s">
        <v>161</v>
      </c>
      <c r="B11" t="s">
        <v>90</v>
      </c>
      <c r="C11">
        <v>108.4</v>
      </c>
      <c r="D11">
        <v>0</v>
      </c>
      <c r="E11">
        <v>0</v>
      </c>
    </row>
    <row r="12" spans="1:5" x14ac:dyDescent="0.35">
      <c r="A12" t="s">
        <v>161</v>
      </c>
      <c r="B12" t="s">
        <v>157</v>
      </c>
      <c r="C12">
        <v>33.875</v>
      </c>
      <c r="D12">
        <v>0</v>
      </c>
      <c r="E12">
        <v>0</v>
      </c>
    </row>
    <row r="13" spans="1:5" x14ac:dyDescent="0.35">
      <c r="A13" t="s">
        <v>161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162</v>
      </c>
      <c r="B14" t="s">
        <v>158</v>
      </c>
      <c r="C14">
        <v>0</v>
      </c>
      <c r="D14">
        <v>798</v>
      </c>
      <c r="E14">
        <v>0</v>
      </c>
    </row>
    <row r="15" spans="1:5" x14ac:dyDescent="0.35">
      <c r="A15" t="s">
        <v>162</v>
      </c>
      <c r="B15" t="s">
        <v>90</v>
      </c>
      <c r="C15">
        <v>0</v>
      </c>
      <c r="D15">
        <v>247</v>
      </c>
      <c r="E15">
        <v>0</v>
      </c>
    </row>
    <row r="16" spans="1:5" x14ac:dyDescent="0.35">
      <c r="A16" t="s">
        <v>162</v>
      </c>
      <c r="B16" t="s">
        <v>157</v>
      </c>
      <c r="C16">
        <v>0</v>
      </c>
      <c r="D16">
        <v>13</v>
      </c>
      <c r="E16">
        <v>0</v>
      </c>
    </row>
    <row r="17" spans="1:5" x14ac:dyDescent="0.35">
      <c r="A17" t="s">
        <v>162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163</v>
      </c>
      <c r="B18" t="s">
        <v>158</v>
      </c>
      <c r="C18">
        <v>150</v>
      </c>
      <c r="D18">
        <v>798</v>
      </c>
      <c r="E18">
        <v>0</v>
      </c>
    </row>
    <row r="19" spans="1:5" x14ac:dyDescent="0.35">
      <c r="A19" t="s">
        <v>163</v>
      </c>
      <c r="B19" t="s">
        <v>90</v>
      </c>
      <c r="C19">
        <v>80</v>
      </c>
      <c r="D19">
        <v>247</v>
      </c>
      <c r="E19">
        <v>0</v>
      </c>
    </row>
    <row r="20" spans="1:5" x14ac:dyDescent="0.35">
      <c r="A20" t="s">
        <v>163</v>
      </c>
      <c r="B20" t="s">
        <v>157</v>
      </c>
      <c r="C20">
        <v>25</v>
      </c>
      <c r="D20">
        <v>798</v>
      </c>
      <c r="E20">
        <v>0</v>
      </c>
    </row>
    <row r="21" spans="1:5" x14ac:dyDescent="0.35">
      <c r="A21" t="s">
        <v>164</v>
      </c>
      <c r="B21" t="s">
        <v>157</v>
      </c>
      <c r="C21">
        <v>25</v>
      </c>
      <c r="D21">
        <v>0</v>
      </c>
      <c r="E21">
        <v>0</v>
      </c>
    </row>
    <row r="22" spans="1:5" x14ac:dyDescent="0.35">
      <c r="A22" t="s">
        <v>164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F194"/>
  <sheetViews>
    <sheetView workbookViewId="0">
      <selection activeCell="E21" sqref="E21"/>
    </sheetView>
  </sheetViews>
  <sheetFormatPr defaultRowHeight="14.5" x14ac:dyDescent="0.35"/>
  <cols>
    <col min="1" max="1" width="12.08984375" customWidth="1"/>
    <col min="2" max="2" width="16.453125" bestFit="1" customWidth="1"/>
    <col min="3" max="3" width="25.36328125" customWidth="1"/>
    <col min="4" max="4" width="27.6328125" customWidth="1"/>
    <col min="5" max="5" width="20.08984375" customWidth="1"/>
    <col min="6" max="6" width="15" customWidth="1"/>
  </cols>
  <sheetData>
    <row r="1" spans="1:6" x14ac:dyDescent="0.35">
      <c r="A1" s="4" t="s">
        <v>95</v>
      </c>
      <c r="B1" s="4" t="s">
        <v>174</v>
      </c>
      <c r="C1" s="11" t="s">
        <v>188</v>
      </c>
      <c r="D1" s="11" t="s">
        <v>189</v>
      </c>
      <c r="E1" s="11" t="s">
        <v>191</v>
      </c>
      <c r="F1" s="4" t="s">
        <v>190</v>
      </c>
    </row>
    <row r="2" spans="1:6" x14ac:dyDescent="0.35">
      <c r="A2" t="s">
        <v>96</v>
      </c>
      <c r="B2" t="s">
        <v>175</v>
      </c>
      <c r="C2" s="12">
        <v>14963837</v>
      </c>
      <c r="D2" s="12">
        <v>5312838</v>
      </c>
      <c r="E2">
        <v>1235379</v>
      </c>
      <c r="F2" s="12" cm="1">
        <f t="array" ref="F2">SUM(C2:D2-E2)</f>
        <v>17805917</v>
      </c>
    </row>
    <row r="3" spans="1:6" x14ac:dyDescent="0.35">
      <c r="A3" t="s">
        <v>97</v>
      </c>
      <c r="B3" t="s">
        <v>175</v>
      </c>
      <c r="C3" s="12">
        <v>22056821</v>
      </c>
      <c r="D3" s="12">
        <v>8527983</v>
      </c>
      <c r="E3">
        <v>2120500</v>
      </c>
      <c r="F3" s="12" cm="1">
        <f t="array" ref="F3">SUM(C3:D3-E3)</f>
        <v>26343804</v>
      </c>
    </row>
    <row r="4" spans="1:6" x14ac:dyDescent="0.35">
      <c r="A4" t="s">
        <v>98</v>
      </c>
      <c r="B4" t="s">
        <v>175</v>
      </c>
      <c r="C4" s="12">
        <v>8833429</v>
      </c>
      <c r="D4" s="12">
        <v>3181718</v>
      </c>
      <c r="E4">
        <v>1247691</v>
      </c>
      <c r="F4" s="12" cm="1">
        <f t="array" ref="F4">SUM(C4:D4-E4)</f>
        <v>9519765</v>
      </c>
    </row>
    <row r="5" spans="1:6" x14ac:dyDescent="0.35">
      <c r="A5" t="s">
        <v>101</v>
      </c>
      <c r="B5" t="s">
        <v>175</v>
      </c>
      <c r="C5" s="12">
        <v>240437914</v>
      </c>
      <c r="D5" s="12">
        <v>54995643</v>
      </c>
      <c r="E5">
        <v>17941180</v>
      </c>
      <c r="F5" s="12" cm="1">
        <f t="array" ref="F5">SUM(C5:D5-E5)</f>
        <v>259551197</v>
      </c>
    </row>
    <row r="6" spans="1:6" x14ac:dyDescent="0.35">
      <c r="A6" t="s">
        <v>102</v>
      </c>
      <c r="B6" t="s">
        <v>175</v>
      </c>
      <c r="C6" s="12">
        <v>2335604780</v>
      </c>
      <c r="D6" s="12">
        <v>773468590</v>
      </c>
      <c r="E6">
        <v>153313887</v>
      </c>
      <c r="F6" s="12" cm="1">
        <f t="array" ref="F6">SUM(C6:D6-E6)</f>
        <v>2802445596</v>
      </c>
    </row>
    <row r="7" spans="1:6" x14ac:dyDescent="0.35">
      <c r="A7" t="s">
        <v>103</v>
      </c>
      <c r="B7" t="s">
        <v>175</v>
      </c>
      <c r="C7" s="12">
        <v>213507851</v>
      </c>
      <c r="D7" s="12">
        <v>67459947</v>
      </c>
      <c r="E7">
        <v>16113225</v>
      </c>
      <c r="F7" s="12" cm="1">
        <f t="array" ref="F7">SUM(C7:D7-E7)</f>
        <v>248741348</v>
      </c>
    </row>
    <row r="8" spans="1:6" x14ac:dyDescent="0.35">
      <c r="A8" t="s">
        <v>104</v>
      </c>
      <c r="B8" t="s">
        <v>175</v>
      </c>
      <c r="C8" s="12">
        <v>135470465</v>
      </c>
      <c r="D8" s="12">
        <v>41967864</v>
      </c>
      <c r="E8">
        <v>11368526</v>
      </c>
      <c r="F8" s="12" cm="1">
        <f t="array" ref="F8">SUM(C8:D8-E8)</f>
        <v>154701277</v>
      </c>
    </row>
    <row r="9" spans="1:6" x14ac:dyDescent="0.35">
      <c r="A9" t="s">
        <v>105</v>
      </c>
      <c r="B9" t="s">
        <v>175</v>
      </c>
      <c r="C9" s="12">
        <v>442987207</v>
      </c>
      <c r="D9" s="12">
        <v>154650903</v>
      </c>
      <c r="E9">
        <v>25151574</v>
      </c>
      <c r="F9" s="12" cm="1">
        <f t="array" ref="F9">SUM(C9:D9-E9)</f>
        <v>547334962</v>
      </c>
    </row>
    <row r="10" spans="1:6" x14ac:dyDescent="0.35">
      <c r="A10" t="s">
        <v>106</v>
      </c>
      <c r="B10" t="s">
        <v>175</v>
      </c>
      <c r="C10" s="12">
        <v>41486625</v>
      </c>
      <c r="D10" s="12">
        <v>15062944</v>
      </c>
      <c r="E10">
        <v>5034879</v>
      </c>
      <c r="F10" s="12" cm="1">
        <f t="array" ref="F10">SUM(C10:D10-E10)</f>
        <v>46479811</v>
      </c>
    </row>
    <row r="11" spans="1:6" x14ac:dyDescent="0.35">
      <c r="A11" t="s">
        <v>107</v>
      </c>
      <c r="B11" t="s">
        <v>175</v>
      </c>
      <c r="C11" s="12">
        <v>606945195</v>
      </c>
      <c r="D11" s="12">
        <v>212050049</v>
      </c>
      <c r="E11">
        <v>77565967</v>
      </c>
      <c r="F11" s="12" cm="1">
        <f t="array" ref="F11">SUM(C11:D11-E11)</f>
        <v>663863310</v>
      </c>
    </row>
    <row r="12" spans="1:6" x14ac:dyDescent="0.35">
      <c r="A12" t="s">
        <v>108</v>
      </c>
      <c r="B12" t="s">
        <v>175</v>
      </c>
      <c r="C12" s="12">
        <v>177209013</v>
      </c>
      <c r="D12" s="12">
        <v>53261514</v>
      </c>
      <c r="E12">
        <v>16104354</v>
      </c>
      <c r="F12" s="12" cm="1">
        <f t="array" ref="F12">SUM(C12:D12-E12)</f>
        <v>198261819</v>
      </c>
    </row>
    <row r="13" spans="1:6" x14ac:dyDescent="0.35">
      <c r="A13" t="s">
        <v>109</v>
      </c>
      <c r="B13" t="s">
        <v>175</v>
      </c>
      <c r="C13" s="12">
        <v>0</v>
      </c>
      <c r="D13" s="12">
        <v>0</v>
      </c>
      <c r="E13">
        <v>0</v>
      </c>
      <c r="F13" s="12" cm="1">
        <f t="array" ref="F13">SUM(C13:D13-E13)</f>
        <v>0</v>
      </c>
    </row>
    <row r="14" spans="1:6" x14ac:dyDescent="0.35">
      <c r="A14" t="s">
        <v>111</v>
      </c>
      <c r="B14" t="s">
        <v>175</v>
      </c>
      <c r="C14" s="12">
        <v>135065882</v>
      </c>
      <c r="D14" s="12">
        <v>45050285</v>
      </c>
      <c r="E14">
        <v>0</v>
      </c>
      <c r="F14" s="12" cm="1">
        <f t="array" ref="F14">SUM(C14:D14-E14)</f>
        <v>180116167</v>
      </c>
    </row>
    <row r="15" spans="1:6" x14ac:dyDescent="0.35">
      <c r="A15" t="s">
        <v>112</v>
      </c>
      <c r="B15" t="s">
        <v>175</v>
      </c>
      <c r="C15" s="12">
        <v>35376099</v>
      </c>
      <c r="D15" s="12">
        <v>10436410</v>
      </c>
      <c r="E15">
        <v>4436498</v>
      </c>
      <c r="F15" s="12" cm="1">
        <f t="array" ref="F15">SUM(C15:D15-E15)</f>
        <v>36939513</v>
      </c>
    </row>
    <row r="16" spans="1:6" x14ac:dyDescent="0.35">
      <c r="A16" t="s">
        <v>113</v>
      </c>
      <c r="B16" t="s">
        <v>175</v>
      </c>
      <c r="C16" s="12">
        <v>5415875</v>
      </c>
      <c r="D16" s="12">
        <v>2082042</v>
      </c>
      <c r="E16">
        <v>314936</v>
      </c>
      <c r="F16" s="12" cm="1">
        <f t="array" ref="F16">SUM(C16:D16-E16)</f>
        <v>6868045</v>
      </c>
    </row>
    <row r="17" spans="1:6" x14ac:dyDescent="0.35">
      <c r="A17" t="s">
        <v>114</v>
      </c>
      <c r="B17" t="s">
        <v>175</v>
      </c>
      <c r="C17" s="12">
        <v>813782661</v>
      </c>
      <c r="D17" s="12">
        <v>198038855</v>
      </c>
      <c r="E17">
        <v>65399900</v>
      </c>
      <c r="F17" s="12" cm="1">
        <f t="array" ref="F17">SUM(C17:D17-E17)</f>
        <v>881021716</v>
      </c>
    </row>
    <row r="18" spans="1:6" x14ac:dyDescent="0.35">
      <c r="A18" t="s">
        <v>115</v>
      </c>
      <c r="B18" t="s">
        <v>175</v>
      </c>
      <c r="C18" s="12">
        <v>80670414</v>
      </c>
      <c r="D18" s="12">
        <v>24283758</v>
      </c>
      <c r="E18">
        <v>8141013</v>
      </c>
      <c r="F18" s="12" cm="1">
        <f t="array" ref="F18">SUM(C18:D18-E18)</f>
        <v>88672146</v>
      </c>
    </row>
    <row r="19" spans="1:6" x14ac:dyDescent="0.35">
      <c r="A19" t="s">
        <v>116</v>
      </c>
      <c r="B19" t="s">
        <v>175</v>
      </c>
      <c r="C19" s="12">
        <v>19585765</v>
      </c>
      <c r="D19" s="12">
        <v>5249967</v>
      </c>
      <c r="E19">
        <v>2478875</v>
      </c>
      <c r="F19" s="12" cm="1">
        <f t="array" ref="F19">SUM(C19:D19-E19)</f>
        <v>19877982</v>
      </c>
    </row>
    <row r="20" spans="1:6" x14ac:dyDescent="0.35">
      <c r="A20" t="s">
        <v>117</v>
      </c>
      <c r="B20" t="s">
        <v>175</v>
      </c>
      <c r="C20" s="12">
        <v>65893049</v>
      </c>
      <c r="D20" s="12">
        <v>20885716</v>
      </c>
      <c r="E20">
        <v>6812662</v>
      </c>
      <c r="F20" s="12" cm="1">
        <f t="array" ref="F20">SUM(C20:D20-E20)</f>
        <v>73153441</v>
      </c>
    </row>
    <row r="21" spans="1:6" x14ac:dyDescent="0.35">
      <c r="A21" t="s">
        <v>118</v>
      </c>
      <c r="B21" t="s">
        <v>175</v>
      </c>
      <c r="C21" s="12">
        <v>64980367</v>
      </c>
      <c r="D21" s="12">
        <v>20259373</v>
      </c>
      <c r="E21">
        <v>7524748</v>
      </c>
      <c r="F21" s="12" cm="1">
        <f t="array" ref="F21">SUM(C21:D21-E21)</f>
        <v>70190244</v>
      </c>
    </row>
    <row r="22" spans="1:6" x14ac:dyDescent="0.35">
      <c r="A22" t="s">
        <v>119</v>
      </c>
      <c r="B22" t="s">
        <v>175</v>
      </c>
      <c r="C22" s="12">
        <v>329748071</v>
      </c>
      <c r="D22" s="12">
        <v>109201898</v>
      </c>
      <c r="E22">
        <v>18544122</v>
      </c>
      <c r="F22" s="12" cm="1">
        <f t="array" ref="F22">SUM(C22:D22-E22)</f>
        <v>401861725</v>
      </c>
    </row>
    <row r="23" spans="1:6" x14ac:dyDescent="0.35">
      <c r="A23" t="s">
        <v>120</v>
      </c>
      <c r="B23" t="s">
        <v>175</v>
      </c>
      <c r="C23" s="12">
        <v>333920631</v>
      </c>
      <c r="D23" s="12">
        <v>98261957</v>
      </c>
      <c r="E23">
        <v>27012793</v>
      </c>
      <c r="F23" s="12" cm="1">
        <f t="array" ref="F23">SUM(C23:D23-E23)</f>
        <v>378157002</v>
      </c>
    </row>
    <row r="24" spans="1:6" x14ac:dyDescent="0.35">
      <c r="A24" t="s">
        <v>121</v>
      </c>
      <c r="B24" t="s">
        <v>175</v>
      </c>
      <c r="C24" s="12">
        <v>7645925</v>
      </c>
      <c r="D24" s="12">
        <v>1566222</v>
      </c>
      <c r="E24">
        <v>745412</v>
      </c>
      <c r="F24" s="12" cm="1">
        <f t="array" ref="F24">SUM(C24:D24-E24)</f>
        <v>7721323</v>
      </c>
    </row>
    <row r="25" spans="1:6" x14ac:dyDescent="0.35">
      <c r="A25" t="s">
        <v>122</v>
      </c>
      <c r="B25" t="s">
        <v>175</v>
      </c>
      <c r="C25" s="12">
        <v>211234205</v>
      </c>
      <c r="D25" s="12">
        <v>73006147</v>
      </c>
      <c r="E25">
        <v>25420916</v>
      </c>
      <c r="F25" s="12" cm="1">
        <f t="array" ref="F25">SUM(C25:D25-E25)</f>
        <v>233398520</v>
      </c>
    </row>
    <row r="26" spans="1:6" x14ac:dyDescent="0.35">
      <c r="A26" t="s">
        <v>123</v>
      </c>
      <c r="B26" t="s">
        <v>175</v>
      </c>
      <c r="C26" s="12">
        <v>253038762</v>
      </c>
      <c r="D26" s="12">
        <v>79208731</v>
      </c>
      <c r="E26">
        <v>19954343</v>
      </c>
      <c r="F26" s="12" cm="1">
        <f t="array" ref="F26">SUM(C26:D26-E26)</f>
        <v>292338807</v>
      </c>
    </row>
    <row r="27" spans="1:6" x14ac:dyDescent="0.35">
      <c r="A27" t="s">
        <v>124</v>
      </c>
      <c r="B27" t="s">
        <v>175</v>
      </c>
      <c r="C27" s="12">
        <v>145211409</v>
      </c>
      <c r="D27" s="12">
        <v>49155320</v>
      </c>
      <c r="E27">
        <v>13877099</v>
      </c>
      <c r="F27" s="12" cm="1">
        <f t="array" ref="F27">SUM(C27:D27-E27)</f>
        <v>166612531</v>
      </c>
    </row>
    <row r="28" spans="1:6" x14ac:dyDescent="0.35">
      <c r="A28" t="s">
        <v>125</v>
      </c>
      <c r="B28" t="s">
        <v>175</v>
      </c>
      <c r="C28" s="12">
        <v>4788899</v>
      </c>
      <c r="D28" s="12">
        <v>1632294</v>
      </c>
      <c r="E28">
        <v>892951</v>
      </c>
      <c r="F28" s="12" cm="1">
        <f t="array" ref="F28">SUM(C28:D28-E28)</f>
        <v>4635291</v>
      </c>
    </row>
    <row r="29" spans="1:6" x14ac:dyDescent="0.35">
      <c r="A29" t="s">
        <v>126</v>
      </c>
      <c r="B29" t="s">
        <v>175</v>
      </c>
      <c r="C29" s="12">
        <v>7512311</v>
      </c>
      <c r="D29" s="12">
        <v>2038127</v>
      </c>
      <c r="E29">
        <v>988243</v>
      </c>
      <c r="F29" s="12" cm="1">
        <f t="array" ref="F29">SUM(C29:D29-E29)</f>
        <v>7573952</v>
      </c>
    </row>
    <row r="30" spans="1:6" x14ac:dyDescent="0.35">
      <c r="A30" t="s">
        <v>127</v>
      </c>
      <c r="B30" t="s">
        <v>175</v>
      </c>
      <c r="C30" s="12">
        <v>133736223</v>
      </c>
      <c r="D30" s="12">
        <v>40204296</v>
      </c>
      <c r="E30">
        <v>16361992</v>
      </c>
      <c r="F30" s="12" cm="1">
        <f t="array" ref="F30">SUM(C30:D30-E30)</f>
        <v>141216535</v>
      </c>
    </row>
    <row r="31" spans="1:6" x14ac:dyDescent="0.35">
      <c r="A31" t="s">
        <v>128</v>
      </c>
      <c r="B31" t="s">
        <v>175</v>
      </c>
      <c r="C31" s="12">
        <v>4730342</v>
      </c>
      <c r="D31" s="12">
        <v>1844291</v>
      </c>
      <c r="E31">
        <v>867488</v>
      </c>
      <c r="F31" s="12" cm="1">
        <f t="array" ref="F31">SUM(C31:D31-E31)</f>
        <v>4839657</v>
      </c>
    </row>
    <row r="32" spans="1:6" x14ac:dyDescent="0.35">
      <c r="A32" t="s">
        <v>129</v>
      </c>
      <c r="B32" t="s">
        <v>175</v>
      </c>
      <c r="C32" s="12">
        <v>24021702</v>
      </c>
      <c r="D32" s="12">
        <v>5597118</v>
      </c>
      <c r="E32">
        <v>2495588</v>
      </c>
      <c r="F32" s="12" cm="1">
        <f t="array" ref="F32">SUM(C32:D32-E32)</f>
        <v>24627644</v>
      </c>
    </row>
    <row r="33" spans="1:6" x14ac:dyDescent="0.35">
      <c r="A33" t="s">
        <v>130</v>
      </c>
      <c r="B33" t="s">
        <v>175</v>
      </c>
      <c r="C33" s="12">
        <v>3935744</v>
      </c>
      <c r="D33" s="12">
        <v>632649</v>
      </c>
      <c r="E33">
        <v>559824</v>
      </c>
      <c r="F33" s="12" cm="1">
        <f t="array" ref="F33">SUM(C33:D33-E33)</f>
        <v>3448745</v>
      </c>
    </row>
    <row r="34" spans="1:6" x14ac:dyDescent="0.35">
      <c r="A34" t="s">
        <v>131</v>
      </c>
      <c r="B34" t="s">
        <v>175</v>
      </c>
      <c r="C34" s="12">
        <v>557472361</v>
      </c>
      <c r="D34" s="12">
        <v>215784320</v>
      </c>
      <c r="E34">
        <v>38337647</v>
      </c>
      <c r="F34" s="12" cm="1">
        <f t="array" ref="F34">SUM(C34:D34-E34)</f>
        <v>696581387</v>
      </c>
    </row>
    <row r="35" spans="1:6" x14ac:dyDescent="0.35">
      <c r="A35" t="s">
        <v>132</v>
      </c>
      <c r="B35" t="s">
        <v>175</v>
      </c>
      <c r="C35" s="12">
        <v>29049326</v>
      </c>
      <c r="D35" s="12">
        <v>11535143</v>
      </c>
      <c r="E35">
        <v>4077444</v>
      </c>
      <c r="F35" s="12" cm="1">
        <f t="array" ref="F35">SUM(C35:D35-E35)</f>
        <v>32429581</v>
      </c>
    </row>
    <row r="36" spans="1:6" x14ac:dyDescent="0.35">
      <c r="A36" t="s">
        <v>133</v>
      </c>
      <c r="B36" t="s">
        <v>175</v>
      </c>
      <c r="C36" s="12">
        <v>89482929</v>
      </c>
      <c r="D36" s="12">
        <v>43556692</v>
      </c>
      <c r="E36">
        <v>9480329</v>
      </c>
      <c r="F36" s="12" cm="1">
        <f t="array" ref="F36">SUM(C36:D36-E36)</f>
        <v>114078963</v>
      </c>
    </row>
    <row r="37" spans="1:6" x14ac:dyDescent="0.35">
      <c r="A37" t="s">
        <v>134</v>
      </c>
      <c r="B37" t="s">
        <v>175</v>
      </c>
      <c r="C37" s="12">
        <v>2543181640</v>
      </c>
      <c r="D37" s="12">
        <v>815696297</v>
      </c>
      <c r="E37">
        <v>111487838</v>
      </c>
      <c r="F37" s="12" cm="1">
        <f t="array" ref="F37">SUM(C37:D37-E37)</f>
        <v>3135902261</v>
      </c>
    </row>
    <row r="38" spans="1:6" x14ac:dyDescent="0.35">
      <c r="A38" t="s">
        <v>135</v>
      </c>
      <c r="B38" t="s">
        <v>175</v>
      </c>
      <c r="C38" s="12">
        <v>325211129</v>
      </c>
      <c r="D38" s="12">
        <v>115751942</v>
      </c>
      <c r="E38">
        <v>22532677</v>
      </c>
      <c r="F38" s="12" cm="1">
        <f t="array" ref="F38">SUM(C38:D38-E38)</f>
        <v>395897717</v>
      </c>
    </row>
    <row r="39" spans="1:6" x14ac:dyDescent="0.35">
      <c r="A39" t="s">
        <v>136</v>
      </c>
      <c r="B39" t="s">
        <v>175</v>
      </c>
      <c r="C39" s="12">
        <v>19320413</v>
      </c>
      <c r="D39" s="12">
        <v>6556404</v>
      </c>
      <c r="E39">
        <v>1978276</v>
      </c>
      <c r="F39" s="12" cm="1">
        <f t="array" ref="F39">SUM(C39:D39-E39)</f>
        <v>21920265</v>
      </c>
    </row>
    <row r="40" spans="1:6" x14ac:dyDescent="0.35">
      <c r="A40" t="s">
        <v>137</v>
      </c>
      <c r="B40" t="s">
        <v>175</v>
      </c>
      <c r="C40" s="12">
        <v>229760926</v>
      </c>
      <c r="D40" s="12">
        <v>59476605</v>
      </c>
      <c r="E40">
        <v>15492362</v>
      </c>
      <c r="F40" s="12" cm="1">
        <f t="array" ref="F40">SUM(C40:D40-E40)</f>
        <v>258252807</v>
      </c>
    </row>
    <row r="41" spans="1:6" x14ac:dyDescent="0.35">
      <c r="A41" t="s">
        <v>138</v>
      </c>
      <c r="B41" t="s">
        <v>175</v>
      </c>
      <c r="C41" s="12">
        <v>647283728</v>
      </c>
      <c r="D41" s="12">
        <v>218056719</v>
      </c>
      <c r="E41">
        <v>55595047</v>
      </c>
      <c r="F41" s="12" cm="1">
        <f t="array" ref="F41">SUM(C41:D41-E41)</f>
        <v>754150353</v>
      </c>
    </row>
    <row r="42" spans="1:6" x14ac:dyDescent="0.35">
      <c r="A42" t="s">
        <v>139</v>
      </c>
      <c r="B42" t="s">
        <v>175</v>
      </c>
      <c r="C42" s="12">
        <v>24399425</v>
      </c>
      <c r="D42" s="12">
        <v>9640186</v>
      </c>
      <c r="E42">
        <v>3054576</v>
      </c>
      <c r="F42" s="12" cm="1">
        <f t="array" ref="F42">SUM(C42:D42-E42)</f>
        <v>27930459</v>
      </c>
    </row>
    <row r="43" spans="1:6" x14ac:dyDescent="0.35">
      <c r="A43" t="s">
        <v>140</v>
      </c>
      <c r="B43" t="s">
        <v>175</v>
      </c>
      <c r="C43" s="12">
        <v>59946581</v>
      </c>
      <c r="D43" s="12">
        <v>17070464</v>
      </c>
      <c r="E43">
        <v>4443897</v>
      </c>
      <c r="F43" s="12" cm="1">
        <f t="array" ref="F43">SUM(C43:D43-E43)</f>
        <v>68129251</v>
      </c>
    </row>
    <row r="44" spans="1:6" x14ac:dyDescent="0.35">
      <c r="A44" t="s">
        <v>141</v>
      </c>
      <c r="B44" t="s">
        <v>175</v>
      </c>
      <c r="C44" s="12">
        <v>25269272</v>
      </c>
      <c r="D44" s="12">
        <v>6851024</v>
      </c>
      <c r="E44">
        <v>3337250</v>
      </c>
      <c r="F44" s="12" cm="1">
        <f t="array" ref="F44">SUM(C44:D44-E44)</f>
        <v>25445796</v>
      </c>
    </row>
    <row r="45" spans="1:6" x14ac:dyDescent="0.35">
      <c r="A45" t="s">
        <v>142</v>
      </c>
      <c r="B45" t="s">
        <v>175</v>
      </c>
      <c r="C45" s="12">
        <v>3266283</v>
      </c>
      <c r="D45" s="12">
        <v>629603</v>
      </c>
      <c r="E45">
        <v>367097</v>
      </c>
      <c r="F45" s="12" cm="1">
        <f t="array" ref="F45">SUM(C45:D45-E45)</f>
        <v>3161692</v>
      </c>
    </row>
    <row r="46" spans="1:6" x14ac:dyDescent="0.35">
      <c r="A46" t="s">
        <v>143</v>
      </c>
      <c r="B46" t="s">
        <v>175</v>
      </c>
      <c r="C46" s="12">
        <v>89359038</v>
      </c>
      <c r="D46" s="12">
        <v>27111135</v>
      </c>
      <c r="E46">
        <v>9309252</v>
      </c>
      <c r="F46" s="12" cm="1">
        <f t="array" ref="F46">SUM(C46:D46-E46)</f>
        <v>97851669</v>
      </c>
    </row>
    <row r="47" spans="1:6" x14ac:dyDescent="0.35">
      <c r="A47" t="s">
        <v>144</v>
      </c>
      <c r="B47" t="s">
        <v>175</v>
      </c>
      <c r="C47" s="12">
        <v>657722156</v>
      </c>
      <c r="D47" s="12">
        <v>228457432</v>
      </c>
      <c r="E47">
        <v>55535532</v>
      </c>
      <c r="F47" s="12" cm="1">
        <f t="array" ref="F47">SUM(C47:D47-E47)</f>
        <v>775108524</v>
      </c>
    </row>
    <row r="48" spans="1:6" x14ac:dyDescent="0.35">
      <c r="A48" t="s">
        <v>145</v>
      </c>
      <c r="B48" t="s">
        <v>175</v>
      </c>
      <c r="C48" s="5">
        <v>85889077</v>
      </c>
      <c r="D48" s="5">
        <v>29372249</v>
      </c>
      <c r="E48">
        <v>9201989</v>
      </c>
      <c r="F48" s="12" cm="1">
        <f t="array" ref="F48">SUM(C48:D48-E48)</f>
        <v>96857348</v>
      </c>
    </row>
    <row r="49" spans="1:6" x14ac:dyDescent="0.35">
      <c r="A49" t="s">
        <v>146</v>
      </c>
      <c r="B49" t="s">
        <v>175</v>
      </c>
      <c r="C49" s="5">
        <v>170995603</v>
      </c>
      <c r="D49" s="5">
        <v>54284614</v>
      </c>
      <c r="E49">
        <v>19403102</v>
      </c>
      <c r="F49" s="12" cm="1">
        <f t="array" ref="F49">SUM(C49:D49-E49)</f>
        <v>186474013</v>
      </c>
    </row>
    <row r="50" spans="1:6" x14ac:dyDescent="0.35">
      <c r="A50" t="s">
        <v>147</v>
      </c>
      <c r="B50" t="s">
        <v>175</v>
      </c>
      <c r="C50" s="5">
        <v>0</v>
      </c>
      <c r="D50" s="5">
        <v>0</v>
      </c>
      <c r="E50">
        <v>0</v>
      </c>
      <c r="F50" s="12" cm="1">
        <f t="array" ref="F50">SUM(C50:D50-E50)</f>
        <v>0</v>
      </c>
    </row>
    <row r="51" spans="1:6" x14ac:dyDescent="0.35">
      <c r="A51" t="s">
        <v>148</v>
      </c>
      <c r="B51" t="s">
        <v>175</v>
      </c>
      <c r="C51" s="5">
        <v>8216932</v>
      </c>
      <c r="D51" s="5">
        <v>1558099</v>
      </c>
      <c r="E51">
        <v>827122</v>
      </c>
      <c r="F51" s="12" cm="1">
        <f t="array" ref="F51">SUM(C51:D51-E51)</f>
        <v>8120787</v>
      </c>
    </row>
    <row r="52" spans="1:6" x14ac:dyDescent="0.35">
      <c r="A52" t="s">
        <v>149</v>
      </c>
      <c r="B52" t="s">
        <v>175</v>
      </c>
      <c r="C52" s="5">
        <v>596988520</v>
      </c>
      <c r="D52" s="5">
        <v>166052440</v>
      </c>
      <c r="E52">
        <v>40308315</v>
      </c>
      <c r="F52" s="12" cm="1">
        <f t="array" ref="F52">SUM(C52:D52-E52)</f>
        <v>682424330</v>
      </c>
    </row>
    <row r="53" spans="1:6" x14ac:dyDescent="0.35">
      <c r="A53" t="s">
        <v>150</v>
      </c>
      <c r="B53" t="s">
        <v>175</v>
      </c>
      <c r="C53" s="5">
        <v>151236562</v>
      </c>
      <c r="D53" s="5">
        <v>38335850</v>
      </c>
      <c r="E53">
        <v>6204771</v>
      </c>
      <c r="F53" s="12" cm="1">
        <f t="array" ref="F53">SUM(C53:D53-E53)</f>
        <v>177162870</v>
      </c>
    </row>
    <row r="54" spans="1:6" x14ac:dyDescent="0.35">
      <c r="A54" t="s">
        <v>151</v>
      </c>
      <c r="B54" t="s">
        <v>175</v>
      </c>
      <c r="C54" s="5">
        <v>12158269</v>
      </c>
      <c r="D54" s="5">
        <v>3855316</v>
      </c>
      <c r="E54">
        <v>1586612</v>
      </c>
      <c r="F54" s="12" cm="1">
        <f t="array" ref="F54">SUM(C54:D54-E54)</f>
        <v>12840361</v>
      </c>
    </row>
    <row r="55" spans="1:6" x14ac:dyDescent="0.35">
      <c r="A55" t="s">
        <v>152</v>
      </c>
      <c r="B55" t="s">
        <v>175</v>
      </c>
      <c r="C55" s="5">
        <v>0</v>
      </c>
      <c r="D55" s="5">
        <v>0</v>
      </c>
      <c r="E55">
        <v>0</v>
      </c>
      <c r="F55" s="12" cm="1">
        <f t="array" ref="F55">SUM(C55:D55-E55)</f>
        <v>0</v>
      </c>
    </row>
    <row r="56" spans="1:6" x14ac:dyDescent="0.35">
      <c r="A56" t="s">
        <v>96</v>
      </c>
      <c r="B56" t="s">
        <v>176</v>
      </c>
      <c r="C56">
        <v>3743937</v>
      </c>
      <c r="D56">
        <v>389169</v>
      </c>
      <c r="E56">
        <v>446081</v>
      </c>
      <c r="F56" s="12" cm="1">
        <f t="array" ref="F56">SUM(C56:D56-E56)</f>
        <v>3240944</v>
      </c>
    </row>
    <row r="57" spans="1:6" x14ac:dyDescent="0.35">
      <c r="A57" t="s">
        <v>97</v>
      </c>
      <c r="B57" t="s">
        <v>176</v>
      </c>
      <c r="C57">
        <v>11601142</v>
      </c>
      <c r="D57">
        <v>2742838</v>
      </c>
      <c r="E57">
        <v>1281229</v>
      </c>
      <c r="F57" s="12" cm="1">
        <f t="array" ref="F57">SUM(C57:D57-E57)</f>
        <v>11781522</v>
      </c>
    </row>
    <row r="58" spans="1:6" x14ac:dyDescent="0.35">
      <c r="A58" t="s">
        <v>98</v>
      </c>
      <c r="B58" t="s">
        <v>176</v>
      </c>
      <c r="C58">
        <v>2085150</v>
      </c>
      <c r="D58">
        <v>92100</v>
      </c>
      <c r="E58">
        <v>255550</v>
      </c>
      <c r="F58" s="12" cm="1">
        <f t="array" ref="F58">SUM(C58:D58-E58)</f>
        <v>1666150</v>
      </c>
    </row>
    <row r="59" spans="1:6" x14ac:dyDescent="0.35">
      <c r="A59" t="s">
        <v>99</v>
      </c>
      <c r="B59" t="s">
        <v>176</v>
      </c>
      <c r="C59">
        <v>0</v>
      </c>
      <c r="D59">
        <v>0</v>
      </c>
      <c r="E59">
        <v>0</v>
      </c>
      <c r="F59" s="12" cm="1">
        <f t="array" ref="F59">SUM(C59:D59-E59)</f>
        <v>0</v>
      </c>
    </row>
    <row r="60" spans="1:6" x14ac:dyDescent="0.35">
      <c r="A60" t="s">
        <v>101</v>
      </c>
      <c r="B60" t="s">
        <v>176</v>
      </c>
      <c r="C60">
        <v>26915267</v>
      </c>
      <c r="D60">
        <v>3749670</v>
      </c>
      <c r="E60">
        <v>1647337</v>
      </c>
      <c r="F60" s="12" cm="1">
        <f t="array" ref="F60">SUM(C60:D60-E60)</f>
        <v>27370263</v>
      </c>
    </row>
    <row r="61" spans="1:6" x14ac:dyDescent="0.35">
      <c r="A61" t="s">
        <v>102</v>
      </c>
      <c r="B61" t="s">
        <v>176</v>
      </c>
      <c r="C61">
        <v>277676704</v>
      </c>
      <c r="D61">
        <v>50993594</v>
      </c>
      <c r="E61">
        <v>15494672</v>
      </c>
      <c r="F61" s="12" cm="1">
        <f t="array" ref="F61">SUM(C61:D61-E61)</f>
        <v>297680954</v>
      </c>
    </row>
    <row r="62" spans="1:6" x14ac:dyDescent="0.35">
      <c r="A62" t="s">
        <v>103</v>
      </c>
      <c r="B62" t="s">
        <v>176</v>
      </c>
      <c r="C62">
        <v>31675045</v>
      </c>
      <c r="D62">
        <v>9526744</v>
      </c>
      <c r="E62">
        <v>304176</v>
      </c>
      <c r="F62" s="12" cm="1">
        <f t="array" ref="F62">SUM(C62:D62-E62)</f>
        <v>40593437</v>
      </c>
    </row>
    <row r="63" spans="1:6" x14ac:dyDescent="0.35">
      <c r="A63" t="s">
        <v>104</v>
      </c>
      <c r="B63" t="s">
        <v>176</v>
      </c>
      <c r="C63">
        <v>33997711</v>
      </c>
      <c r="D63">
        <v>3086874</v>
      </c>
      <c r="E63">
        <v>3244151</v>
      </c>
      <c r="F63" s="12" cm="1">
        <f t="array" ref="F63">SUM(C63:D63-E63)</f>
        <v>30596283</v>
      </c>
    </row>
    <row r="64" spans="1:6" x14ac:dyDescent="0.35">
      <c r="A64" t="s">
        <v>105</v>
      </c>
      <c r="B64" t="s">
        <v>176</v>
      </c>
      <c r="C64">
        <v>117293449</v>
      </c>
      <c r="D64">
        <v>9426578</v>
      </c>
      <c r="E64">
        <v>5740262</v>
      </c>
      <c r="F64" s="12" cm="1">
        <f t="array" ref="F64">SUM(C64:D64-E64)</f>
        <v>115239503</v>
      </c>
    </row>
    <row r="65" spans="1:6" x14ac:dyDescent="0.35">
      <c r="A65" t="s">
        <v>106</v>
      </c>
      <c r="B65" t="s">
        <v>176</v>
      </c>
      <c r="C65">
        <v>35857453</v>
      </c>
      <c r="D65">
        <v>5682386</v>
      </c>
      <c r="E65">
        <v>2539614</v>
      </c>
      <c r="F65" s="12" cm="1">
        <f t="array" ref="F65">SUM(C65:D65-E65)</f>
        <v>36460611</v>
      </c>
    </row>
    <row r="66" spans="1:6" x14ac:dyDescent="0.35">
      <c r="A66" t="s">
        <v>107</v>
      </c>
      <c r="B66" t="s">
        <v>176</v>
      </c>
      <c r="C66">
        <v>167551143</v>
      </c>
      <c r="D66">
        <v>27845661</v>
      </c>
      <c r="E66">
        <v>11350647</v>
      </c>
      <c r="F66" s="12" cm="1">
        <f t="array" ref="F66">SUM(C66:D66-E66)</f>
        <v>172695510</v>
      </c>
    </row>
    <row r="67" spans="1:6" x14ac:dyDescent="0.35">
      <c r="A67" t="s">
        <v>108</v>
      </c>
      <c r="B67" t="s">
        <v>176</v>
      </c>
      <c r="C67">
        <v>29601199</v>
      </c>
      <c r="D67">
        <v>9402496</v>
      </c>
      <c r="E67">
        <v>3849187</v>
      </c>
      <c r="F67" s="12" cm="1">
        <f t="array" ref="F67">SUM(C67:D67-E67)</f>
        <v>31305321</v>
      </c>
    </row>
    <row r="68" spans="1:6" x14ac:dyDescent="0.35">
      <c r="A68" t="s">
        <v>109</v>
      </c>
      <c r="B68" t="s">
        <v>176</v>
      </c>
      <c r="C68">
        <v>0</v>
      </c>
      <c r="D68">
        <v>0</v>
      </c>
      <c r="E68">
        <v>0</v>
      </c>
      <c r="F68" s="12" cm="1">
        <f t="array" ref="F68">SUM(C68:D68-E68)</f>
        <v>0</v>
      </c>
    </row>
    <row r="69" spans="1:6" x14ac:dyDescent="0.35">
      <c r="A69" t="s">
        <v>111</v>
      </c>
      <c r="B69" t="s">
        <v>176</v>
      </c>
      <c r="C69">
        <v>37618245</v>
      </c>
      <c r="D69">
        <v>7195510</v>
      </c>
      <c r="E69">
        <v>0</v>
      </c>
      <c r="F69" s="12" cm="1">
        <f t="array" ref="F69">SUM(C69:D69-E69)</f>
        <v>44813755</v>
      </c>
    </row>
    <row r="70" spans="1:6" x14ac:dyDescent="0.35">
      <c r="A70" t="s">
        <v>112</v>
      </c>
      <c r="B70" t="s">
        <v>176</v>
      </c>
      <c r="C70">
        <v>8280174</v>
      </c>
      <c r="D70">
        <v>1193666</v>
      </c>
      <c r="E70">
        <v>666973</v>
      </c>
      <c r="F70" s="12" cm="1">
        <f t="array" ref="F70">SUM(C70:D70-E70)</f>
        <v>8139894</v>
      </c>
    </row>
    <row r="71" spans="1:6" x14ac:dyDescent="0.35">
      <c r="A71" t="s">
        <v>113</v>
      </c>
      <c r="B71" t="s">
        <v>176</v>
      </c>
      <c r="C71">
        <v>2438532</v>
      </c>
      <c r="D71">
        <v>358882</v>
      </c>
      <c r="E71">
        <v>88566</v>
      </c>
      <c r="F71" s="12" cm="1">
        <f t="array" ref="F71">SUM(C71:D71-E71)</f>
        <v>2620282</v>
      </c>
    </row>
    <row r="72" spans="1:6" x14ac:dyDescent="0.35">
      <c r="A72" t="s">
        <v>114</v>
      </c>
      <c r="B72" t="s">
        <v>176</v>
      </c>
      <c r="C72">
        <v>124903434</v>
      </c>
      <c r="D72">
        <v>30007058</v>
      </c>
      <c r="E72">
        <v>4581514</v>
      </c>
      <c r="F72" s="12" cm="1">
        <f t="array" ref="F72">SUM(C72:D72-E72)</f>
        <v>145747464</v>
      </c>
    </row>
    <row r="73" spans="1:6" x14ac:dyDescent="0.35">
      <c r="A73" t="s">
        <v>115</v>
      </c>
      <c r="B73" t="s">
        <v>176</v>
      </c>
      <c r="C73">
        <v>18866689</v>
      </c>
      <c r="D73">
        <v>3228044</v>
      </c>
      <c r="E73">
        <v>1339719</v>
      </c>
      <c r="F73" s="12" cm="1">
        <f t="array" ref="F73">SUM(C73:D73-E73)</f>
        <v>19415295</v>
      </c>
    </row>
    <row r="74" spans="1:6" x14ac:dyDescent="0.35">
      <c r="A74" t="s">
        <v>116</v>
      </c>
      <c r="B74" t="s">
        <v>176</v>
      </c>
      <c r="C74">
        <v>5777857</v>
      </c>
      <c r="D74">
        <v>1040556</v>
      </c>
      <c r="E74">
        <v>801559</v>
      </c>
      <c r="F74" s="12" cm="1">
        <f t="array" ref="F74">SUM(C74:D74-E74)</f>
        <v>5215295</v>
      </c>
    </row>
    <row r="75" spans="1:6" x14ac:dyDescent="0.35">
      <c r="A75" t="s">
        <v>117</v>
      </c>
      <c r="B75" t="s">
        <v>176</v>
      </c>
      <c r="C75">
        <v>20035779</v>
      </c>
      <c r="D75">
        <v>2362457</v>
      </c>
      <c r="E75">
        <v>2144572</v>
      </c>
      <c r="F75" s="12" cm="1">
        <f t="array" ref="F75">SUM(C75:D75-E75)</f>
        <v>18109092</v>
      </c>
    </row>
    <row r="76" spans="1:6" x14ac:dyDescent="0.35">
      <c r="A76" t="s">
        <v>118</v>
      </c>
      <c r="B76" t="s">
        <v>176</v>
      </c>
      <c r="C76">
        <v>13274493</v>
      </c>
      <c r="D76">
        <v>2501130</v>
      </c>
      <c r="E76">
        <v>886092</v>
      </c>
      <c r="F76" s="12" cm="1">
        <f t="array" ref="F76">SUM(C76:D76-E76)</f>
        <v>14003439</v>
      </c>
    </row>
    <row r="77" spans="1:6" x14ac:dyDescent="0.35">
      <c r="A77" t="s">
        <v>119</v>
      </c>
      <c r="B77" t="s">
        <v>176</v>
      </c>
      <c r="C77">
        <v>133038125</v>
      </c>
      <c r="D77">
        <v>16191969</v>
      </c>
      <c r="E77">
        <v>6114739</v>
      </c>
      <c r="F77" s="12" cm="1">
        <f t="array" ref="F77">SUM(C77:D77-E77)</f>
        <v>137000616</v>
      </c>
    </row>
    <row r="78" spans="1:6" x14ac:dyDescent="0.35">
      <c r="A78" t="s">
        <v>120</v>
      </c>
      <c r="B78" t="s">
        <v>176</v>
      </c>
      <c r="C78">
        <v>71883509</v>
      </c>
      <c r="D78">
        <v>24090557</v>
      </c>
      <c r="E78">
        <v>742334</v>
      </c>
      <c r="F78" s="12" cm="1">
        <f t="array" ref="F78">SUM(C78:D78-E78)</f>
        <v>94489398</v>
      </c>
    </row>
    <row r="79" spans="1:6" x14ac:dyDescent="0.35">
      <c r="A79" t="s">
        <v>121</v>
      </c>
      <c r="B79" t="s">
        <v>176</v>
      </c>
      <c r="C79">
        <v>840170</v>
      </c>
      <c r="D79">
        <v>168284</v>
      </c>
      <c r="E79">
        <v>78791</v>
      </c>
      <c r="F79" s="12" cm="1">
        <f t="array" ref="F79">SUM(C79:D79-E79)</f>
        <v>850872</v>
      </c>
    </row>
    <row r="80" spans="1:6" x14ac:dyDescent="0.35">
      <c r="A80" t="s">
        <v>122</v>
      </c>
      <c r="B80" t="s">
        <v>176</v>
      </c>
      <c r="C80">
        <v>62205651</v>
      </c>
      <c r="D80">
        <v>12000976</v>
      </c>
      <c r="E80">
        <v>3085031</v>
      </c>
      <c r="F80" s="12" cm="1">
        <f t="array" ref="F80">SUM(C80:D80-E80)</f>
        <v>68036565</v>
      </c>
    </row>
    <row r="81" spans="1:6" x14ac:dyDescent="0.35">
      <c r="A81" t="s">
        <v>123</v>
      </c>
      <c r="B81" t="s">
        <v>176</v>
      </c>
      <c r="C81">
        <v>67306260</v>
      </c>
      <c r="D81">
        <v>7147655</v>
      </c>
      <c r="E81">
        <v>6704430</v>
      </c>
      <c r="F81" s="12" cm="1">
        <f t="array" ref="F81">SUM(C81:D81-E81)</f>
        <v>61045055</v>
      </c>
    </row>
    <row r="82" spans="1:6" x14ac:dyDescent="0.35">
      <c r="A82" t="s">
        <v>124</v>
      </c>
      <c r="B82" t="s">
        <v>176</v>
      </c>
      <c r="C82">
        <v>26106263</v>
      </c>
      <c r="D82">
        <v>6704448</v>
      </c>
      <c r="E82">
        <v>1870466</v>
      </c>
      <c r="F82" s="12" cm="1">
        <f t="array" ref="F82">SUM(C82:D82-E82)</f>
        <v>29069779</v>
      </c>
    </row>
    <row r="83" spans="1:6" x14ac:dyDescent="0.35">
      <c r="A83" t="s">
        <v>125</v>
      </c>
      <c r="B83" t="s">
        <v>176</v>
      </c>
      <c r="C83">
        <v>2092871</v>
      </c>
      <c r="D83">
        <v>719639</v>
      </c>
      <c r="E83">
        <v>225322</v>
      </c>
      <c r="F83" s="12" cm="1">
        <f t="array" ref="F83">SUM(C83:D83-E83)</f>
        <v>2361866</v>
      </c>
    </row>
    <row r="84" spans="1:6" x14ac:dyDescent="0.35">
      <c r="A84" t="s">
        <v>126</v>
      </c>
      <c r="B84" t="s">
        <v>176</v>
      </c>
      <c r="C84">
        <v>2655888</v>
      </c>
      <c r="D84">
        <v>160604</v>
      </c>
      <c r="E84">
        <v>166988</v>
      </c>
      <c r="F84" s="12" cm="1">
        <f t="array" ref="F84">SUM(C84:D84-E84)</f>
        <v>2482516</v>
      </c>
    </row>
    <row r="85" spans="1:6" x14ac:dyDescent="0.35">
      <c r="A85" t="s">
        <v>127</v>
      </c>
      <c r="B85" t="s">
        <v>176</v>
      </c>
      <c r="C85">
        <v>37064364</v>
      </c>
      <c r="D85">
        <v>5920413</v>
      </c>
      <c r="E85">
        <v>3743205</v>
      </c>
      <c r="F85" s="12" cm="1">
        <f t="array" ref="F85">SUM(C85:D85-E85)</f>
        <v>35498367</v>
      </c>
    </row>
    <row r="86" spans="1:6" x14ac:dyDescent="0.35">
      <c r="A86" t="s">
        <v>128</v>
      </c>
      <c r="B86" t="s">
        <v>176</v>
      </c>
      <c r="C86">
        <v>1613261</v>
      </c>
      <c r="D86">
        <v>392809</v>
      </c>
      <c r="E86">
        <v>140569</v>
      </c>
      <c r="F86" s="12" cm="1">
        <f t="array" ref="F86">SUM(C86:D86-E86)</f>
        <v>1724932</v>
      </c>
    </row>
    <row r="87" spans="1:6" x14ac:dyDescent="0.35">
      <c r="A87" t="s">
        <v>129</v>
      </c>
      <c r="B87" t="s">
        <v>176</v>
      </c>
      <c r="C87">
        <v>3682224</v>
      </c>
      <c r="D87">
        <v>496481</v>
      </c>
      <c r="E87">
        <v>369766</v>
      </c>
      <c r="F87" s="12" cm="1">
        <f t="array" ref="F87">SUM(C87:D87-E87)</f>
        <v>3439173</v>
      </c>
    </row>
    <row r="88" spans="1:6" x14ac:dyDescent="0.35">
      <c r="A88" t="s">
        <v>130</v>
      </c>
      <c r="B88" t="s">
        <v>176</v>
      </c>
      <c r="C88">
        <v>1468046</v>
      </c>
      <c r="D88">
        <v>291974</v>
      </c>
      <c r="E88">
        <v>167518</v>
      </c>
      <c r="F88" s="12" cm="1">
        <f t="array" ref="F88">SUM(C88:D88-E88)</f>
        <v>1424984</v>
      </c>
    </row>
    <row r="89" spans="1:6" x14ac:dyDescent="0.35">
      <c r="A89" t="s">
        <v>131</v>
      </c>
      <c r="B89" t="s">
        <v>176</v>
      </c>
      <c r="C89">
        <v>63663247</v>
      </c>
      <c r="D89">
        <v>16290541</v>
      </c>
      <c r="E89">
        <v>930825</v>
      </c>
      <c r="F89" s="12" cm="1">
        <f t="array" ref="F89">SUM(C89:D89-E89)</f>
        <v>78092138</v>
      </c>
    </row>
    <row r="90" spans="1:6" x14ac:dyDescent="0.35">
      <c r="A90" t="s">
        <v>132</v>
      </c>
      <c r="B90" t="s">
        <v>176</v>
      </c>
      <c r="C90">
        <v>9345435</v>
      </c>
      <c r="D90">
        <v>1167463</v>
      </c>
      <c r="E90">
        <v>1156662</v>
      </c>
      <c r="F90" s="12" cm="1">
        <f t="array" ref="F90">SUM(C90:D90-E90)</f>
        <v>8199574</v>
      </c>
    </row>
    <row r="91" spans="1:6" x14ac:dyDescent="0.35">
      <c r="A91" t="s">
        <v>133</v>
      </c>
      <c r="B91" t="s">
        <v>176</v>
      </c>
      <c r="C91">
        <v>39506034</v>
      </c>
      <c r="D91">
        <v>8454159</v>
      </c>
      <c r="E91">
        <v>1686196</v>
      </c>
      <c r="F91" s="12" cm="1">
        <f t="array" ref="F91">SUM(C91:D91-E91)</f>
        <v>44587801</v>
      </c>
    </row>
    <row r="92" spans="1:6" x14ac:dyDescent="0.35">
      <c r="A92" t="s">
        <v>134</v>
      </c>
      <c r="B92" t="s">
        <v>176</v>
      </c>
      <c r="C92">
        <v>388197270</v>
      </c>
      <c r="D92">
        <v>54589855</v>
      </c>
      <c r="E92">
        <v>14823963</v>
      </c>
      <c r="F92" s="12" cm="1">
        <f t="array" ref="F92">SUM(C92:D92-E92)</f>
        <v>413139199</v>
      </c>
    </row>
    <row r="93" spans="1:6" x14ac:dyDescent="0.35">
      <c r="A93" t="s">
        <v>135</v>
      </c>
      <c r="B93" t="s">
        <v>176</v>
      </c>
      <c r="C93">
        <v>83678399</v>
      </c>
      <c r="D93">
        <v>18131020</v>
      </c>
      <c r="E93">
        <v>5196939</v>
      </c>
      <c r="F93" s="12" cm="1">
        <f t="array" ref="F93">SUM(C93:D93-E93)</f>
        <v>91415541</v>
      </c>
    </row>
    <row r="94" spans="1:6" x14ac:dyDescent="0.35">
      <c r="A94" t="s">
        <v>136</v>
      </c>
      <c r="B94" t="s">
        <v>176</v>
      </c>
      <c r="C94">
        <v>3400458</v>
      </c>
      <c r="D94">
        <v>1413072</v>
      </c>
      <c r="E94">
        <v>300642</v>
      </c>
      <c r="F94" s="12" cm="1">
        <f t="array" ref="F94">SUM(C94:D94-E94)</f>
        <v>4212246</v>
      </c>
    </row>
    <row r="95" spans="1:6" x14ac:dyDescent="0.35">
      <c r="A95" t="s">
        <v>137</v>
      </c>
      <c r="B95" t="s">
        <v>176</v>
      </c>
      <c r="C95">
        <v>41146778</v>
      </c>
      <c r="D95">
        <v>4184268</v>
      </c>
      <c r="E95">
        <v>2706587</v>
      </c>
      <c r="F95" s="12" cm="1">
        <f t="array" ref="F95">SUM(C95:D95-E95)</f>
        <v>39917872</v>
      </c>
    </row>
    <row r="96" spans="1:6" x14ac:dyDescent="0.35">
      <c r="A96" t="s">
        <v>138</v>
      </c>
      <c r="B96" t="s">
        <v>176</v>
      </c>
      <c r="C96">
        <v>119393321</v>
      </c>
      <c r="D96">
        <v>26180313</v>
      </c>
      <c r="E96">
        <v>6334076</v>
      </c>
      <c r="F96" s="12" cm="1">
        <f t="array" ref="F96">SUM(C96:D96-E96)</f>
        <v>132905482</v>
      </c>
    </row>
    <row r="97" spans="1:6" x14ac:dyDescent="0.35">
      <c r="A97" t="s">
        <v>139</v>
      </c>
      <c r="B97" t="s">
        <v>176</v>
      </c>
      <c r="C97">
        <v>3436220</v>
      </c>
      <c r="D97">
        <v>365750</v>
      </c>
      <c r="E97">
        <v>170334</v>
      </c>
      <c r="F97" s="12" cm="1">
        <f t="array" ref="F97">SUM(C97:D97-E97)</f>
        <v>3461302</v>
      </c>
    </row>
    <row r="98" spans="1:6" x14ac:dyDescent="0.35">
      <c r="A98" t="s">
        <v>140</v>
      </c>
      <c r="B98" t="s">
        <v>176</v>
      </c>
      <c r="C98">
        <v>8554593</v>
      </c>
      <c r="D98">
        <v>1942403</v>
      </c>
      <c r="E98">
        <v>568487</v>
      </c>
      <c r="F98" s="12" cm="1">
        <f t="array" ref="F98">SUM(C98:D98-E98)</f>
        <v>9360022</v>
      </c>
    </row>
    <row r="99" spans="1:6" x14ac:dyDescent="0.35">
      <c r="A99" t="s">
        <v>141</v>
      </c>
      <c r="B99" t="s">
        <v>176</v>
      </c>
      <c r="C99">
        <v>8114577</v>
      </c>
      <c r="D99">
        <v>1339832</v>
      </c>
      <c r="E99">
        <v>1086369</v>
      </c>
      <c r="F99" s="12" cm="1">
        <f t="array" ref="F99">SUM(C99:D99-E99)</f>
        <v>7281671</v>
      </c>
    </row>
    <row r="100" spans="1:6" x14ac:dyDescent="0.35">
      <c r="A100" t="s">
        <v>142</v>
      </c>
      <c r="B100" t="s">
        <v>176</v>
      </c>
      <c r="C100">
        <v>2406424</v>
      </c>
      <c r="D100">
        <v>348511</v>
      </c>
      <c r="E100">
        <v>169911</v>
      </c>
      <c r="F100" s="12" cm="1">
        <f t="array" ref="F100">SUM(C100:D100-E100)</f>
        <v>2415113</v>
      </c>
    </row>
    <row r="101" spans="1:6" x14ac:dyDescent="0.35">
      <c r="A101" t="s">
        <v>143</v>
      </c>
      <c r="B101" t="s">
        <v>176</v>
      </c>
      <c r="C101">
        <v>27462994</v>
      </c>
      <c r="D101">
        <v>5213060</v>
      </c>
      <c r="E101">
        <v>2988266</v>
      </c>
      <c r="F101" s="12" cm="1">
        <f t="array" ref="F101">SUM(C101:D101-E101)</f>
        <v>26699522</v>
      </c>
    </row>
    <row r="102" spans="1:6" x14ac:dyDescent="0.35">
      <c r="A102" t="s">
        <v>144</v>
      </c>
      <c r="B102" t="s">
        <v>176</v>
      </c>
      <c r="C102">
        <v>144962815</v>
      </c>
      <c r="D102">
        <v>24338868</v>
      </c>
      <c r="E102">
        <v>9464719</v>
      </c>
      <c r="F102" s="12" cm="1">
        <f t="array" ref="F102">SUM(C102:D102-E102)</f>
        <v>150372245</v>
      </c>
    </row>
    <row r="103" spans="1:6" x14ac:dyDescent="0.35">
      <c r="A103" t="s">
        <v>145</v>
      </c>
      <c r="B103" t="s">
        <v>176</v>
      </c>
      <c r="C103">
        <v>11756052</v>
      </c>
      <c r="D103">
        <v>1345746</v>
      </c>
      <c r="E103">
        <v>1032999</v>
      </c>
      <c r="F103" s="12" cm="1">
        <f t="array" ref="F103">SUM(C103:D103-E103)</f>
        <v>11035800</v>
      </c>
    </row>
    <row r="104" spans="1:6" x14ac:dyDescent="0.35">
      <c r="A104" t="s">
        <v>146</v>
      </c>
      <c r="B104" t="s">
        <v>176</v>
      </c>
      <c r="C104">
        <v>20389098</v>
      </c>
      <c r="D104">
        <v>1892576</v>
      </c>
      <c r="E104">
        <v>1934533</v>
      </c>
      <c r="F104" s="12" cm="1">
        <f t="array" ref="F104">SUM(C104:D104-E104)</f>
        <v>18412608</v>
      </c>
    </row>
    <row r="105" spans="1:6" x14ac:dyDescent="0.35">
      <c r="A105" t="s">
        <v>147</v>
      </c>
      <c r="B105" t="s">
        <v>176</v>
      </c>
      <c r="C105">
        <v>0</v>
      </c>
      <c r="D105">
        <v>0</v>
      </c>
      <c r="E105">
        <v>0</v>
      </c>
      <c r="F105" s="12" cm="1">
        <f t="array" ref="F105">SUM(C105:D105-E105)</f>
        <v>0</v>
      </c>
    </row>
    <row r="106" spans="1:6" x14ac:dyDescent="0.35">
      <c r="A106" t="s">
        <v>148</v>
      </c>
      <c r="B106" t="s">
        <v>176</v>
      </c>
      <c r="C106">
        <v>3465276</v>
      </c>
      <c r="D106">
        <v>342555</v>
      </c>
      <c r="E106">
        <v>126578</v>
      </c>
      <c r="F106" s="12" cm="1">
        <f t="array" ref="F106">SUM(C106:D106-E106)</f>
        <v>3554675</v>
      </c>
    </row>
    <row r="107" spans="1:6" x14ac:dyDescent="0.35">
      <c r="A107" t="s">
        <v>149</v>
      </c>
      <c r="B107" t="s">
        <v>176</v>
      </c>
      <c r="C107">
        <v>118456407</v>
      </c>
      <c r="D107">
        <v>21608979</v>
      </c>
      <c r="E107">
        <v>5971572</v>
      </c>
      <c r="F107" s="12" cm="1">
        <f t="array" ref="F107">SUM(C107:D107-E107)</f>
        <v>128122242</v>
      </c>
    </row>
    <row r="108" spans="1:6" x14ac:dyDescent="0.35">
      <c r="A108" t="s">
        <v>150</v>
      </c>
      <c r="B108" t="s">
        <v>176</v>
      </c>
      <c r="C108">
        <v>16039132</v>
      </c>
      <c r="D108">
        <v>2129870</v>
      </c>
      <c r="E108">
        <v>596282</v>
      </c>
      <c r="F108" s="12" cm="1">
        <f t="array" ref="F108">SUM(C108:D108-E108)</f>
        <v>16976438</v>
      </c>
    </row>
    <row r="109" spans="1:6" x14ac:dyDescent="0.35">
      <c r="A109" t="s">
        <v>151</v>
      </c>
      <c r="B109" t="s">
        <v>176</v>
      </c>
      <c r="C109">
        <v>1552005</v>
      </c>
      <c r="D109">
        <v>333346</v>
      </c>
      <c r="E109">
        <v>166092</v>
      </c>
      <c r="F109" s="12" cm="1">
        <f t="array" ref="F109">SUM(C109:D109-E109)</f>
        <v>1553167</v>
      </c>
    </row>
    <row r="110" spans="1:6" x14ac:dyDescent="0.35">
      <c r="A110" t="s">
        <v>152</v>
      </c>
      <c r="B110" t="s">
        <v>176</v>
      </c>
      <c r="C110">
        <v>0</v>
      </c>
      <c r="D110">
        <v>0</v>
      </c>
      <c r="E110">
        <v>0</v>
      </c>
      <c r="F110" s="12" cm="1">
        <f t="array" ref="F110">SUM(C110:D110-E110)</f>
        <v>0</v>
      </c>
    </row>
    <row r="111" spans="1:6" x14ac:dyDescent="0.35">
      <c r="A111" t="s">
        <v>101</v>
      </c>
      <c r="B111" t="s">
        <v>177</v>
      </c>
      <c r="C111" s="5">
        <v>0</v>
      </c>
      <c r="D111" s="5">
        <v>0</v>
      </c>
      <c r="E111">
        <v>0</v>
      </c>
      <c r="F111" s="12" cm="1">
        <f t="array" ref="F111">SUM(C111:D111-E111)</f>
        <v>0</v>
      </c>
    </row>
    <row r="112" spans="1:6" x14ac:dyDescent="0.35">
      <c r="A112" t="s">
        <v>102</v>
      </c>
      <c r="B112" t="s">
        <v>177</v>
      </c>
      <c r="C112" s="5">
        <v>60149961</v>
      </c>
      <c r="D112" s="5">
        <v>17414687</v>
      </c>
      <c r="E112">
        <v>7427199</v>
      </c>
      <c r="F112" s="12" cm="1">
        <f t="array" ref="F112">SUM(C112:D112-E112)</f>
        <v>62710250</v>
      </c>
    </row>
    <row r="113" spans="1:6" x14ac:dyDescent="0.35">
      <c r="A113" t="s">
        <v>103</v>
      </c>
      <c r="B113" t="s">
        <v>177</v>
      </c>
      <c r="C113" s="5">
        <v>0</v>
      </c>
      <c r="D113" s="5">
        <v>0</v>
      </c>
      <c r="E113">
        <v>0</v>
      </c>
      <c r="F113" s="12" cm="1">
        <f t="array" ref="F113">SUM(C113:D113-E113)</f>
        <v>0</v>
      </c>
    </row>
    <row r="114" spans="1:6" x14ac:dyDescent="0.35">
      <c r="A114" t="s">
        <v>104</v>
      </c>
      <c r="B114" t="s">
        <v>177</v>
      </c>
      <c r="C114" s="5">
        <v>4435358</v>
      </c>
      <c r="D114" s="5">
        <v>2505144</v>
      </c>
      <c r="E114">
        <v>471176</v>
      </c>
      <c r="F114" s="12" cm="1">
        <f t="array" ref="F114">SUM(C114:D114-E114)</f>
        <v>5998150</v>
      </c>
    </row>
    <row r="115" spans="1:6" x14ac:dyDescent="0.35">
      <c r="A115" t="s">
        <v>107</v>
      </c>
      <c r="B115" t="s">
        <v>177</v>
      </c>
      <c r="C115" s="5">
        <v>1789426</v>
      </c>
      <c r="D115" s="5">
        <v>725404</v>
      </c>
      <c r="E115">
        <v>0</v>
      </c>
      <c r="F115" s="12" cm="1">
        <f t="array" ref="F115">SUM(C115:D115-E115)</f>
        <v>2514830</v>
      </c>
    </row>
    <row r="116" spans="1:6" x14ac:dyDescent="0.35">
      <c r="A116" t="s">
        <v>108</v>
      </c>
      <c r="B116" t="s">
        <v>177</v>
      </c>
      <c r="C116" s="5">
        <v>13546046</v>
      </c>
      <c r="D116" s="5">
        <v>5639561</v>
      </c>
      <c r="E116">
        <v>2034808</v>
      </c>
      <c r="F116" s="12" cm="1">
        <f t="array" ref="F116">SUM(C116:D116-E116)</f>
        <v>15115991</v>
      </c>
    </row>
    <row r="117" spans="1:6" x14ac:dyDescent="0.35">
      <c r="A117" t="s">
        <v>111</v>
      </c>
      <c r="B117" t="s">
        <v>177</v>
      </c>
      <c r="C117" s="5">
        <v>1076325</v>
      </c>
      <c r="D117" s="5">
        <v>245231</v>
      </c>
      <c r="E117">
        <v>0</v>
      </c>
      <c r="F117" s="12" cm="1">
        <f t="array" ref="F117">SUM(C117:D117-E117)</f>
        <v>1321556</v>
      </c>
    </row>
    <row r="118" spans="1:6" x14ac:dyDescent="0.35">
      <c r="A118" t="s">
        <v>114</v>
      </c>
      <c r="B118" t="s">
        <v>177</v>
      </c>
      <c r="C118" s="5">
        <v>410731</v>
      </c>
      <c r="D118" s="5">
        <v>125070</v>
      </c>
      <c r="E118">
        <v>99424</v>
      </c>
      <c r="F118" s="12" cm="1">
        <f t="array" ref="F118">SUM(C118:D118-E118)</f>
        <v>336953</v>
      </c>
    </row>
    <row r="119" spans="1:6" x14ac:dyDescent="0.35">
      <c r="A119" t="s">
        <v>115</v>
      </c>
      <c r="B119" t="s">
        <v>177</v>
      </c>
      <c r="C119" s="5">
        <v>264810</v>
      </c>
      <c r="D119" s="5">
        <v>100517</v>
      </c>
      <c r="E119">
        <v>0</v>
      </c>
      <c r="F119" s="12" cm="1">
        <f t="array" ref="F119">SUM(C119:D119-E119)</f>
        <v>365327</v>
      </c>
    </row>
    <row r="120" spans="1:6" x14ac:dyDescent="0.35">
      <c r="A120" t="s">
        <v>116</v>
      </c>
      <c r="B120" t="s">
        <v>177</v>
      </c>
      <c r="C120" s="5">
        <v>1284352</v>
      </c>
      <c r="D120" s="5">
        <v>164716</v>
      </c>
      <c r="E120">
        <v>196822</v>
      </c>
      <c r="F120" s="12" cm="1">
        <f t="array" ref="F120">SUM(C120:D120-E120)</f>
        <v>1055424</v>
      </c>
    </row>
    <row r="121" spans="1:6" x14ac:dyDescent="0.35">
      <c r="A121" t="s">
        <v>119</v>
      </c>
      <c r="B121" t="s">
        <v>177</v>
      </c>
      <c r="C121" s="5">
        <v>368174</v>
      </c>
      <c r="D121" s="5">
        <v>42056</v>
      </c>
      <c r="E121">
        <v>0</v>
      </c>
      <c r="F121" s="12" cm="1">
        <f t="array" ref="F121">SUM(C121:D121-E121)</f>
        <v>410230</v>
      </c>
    </row>
    <row r="122" spans="1:6" x14ac:dyDescent="0.35">
      <c r="A122" t="s">
        <v>120</v>
      </c>
      <c r="B122" t="s">
        <v>177</v>
      </c>
      <c r="C122" s="5">
        <v>31048995</v>
      </c>
      <c r="D122" s="5">
        <v>14063831</v>
      </c>
      <c r="E122">
        <v>7386881</v>
      </c>
      <c r="F122" s="12" cm="1">
        <f t="array" ref="F122">SUM(C122:D122-E122)</f>
        <v>30339064</v>
      </c>
    </row>
    <row r="123" spans="1:6" x14ac:dyDescent="0.35">
      <c r="A123" t="s">
        <v>121</v>
      </c>
      <c r="B123" t="s">
        <v>177</v>
      </c>
      <c r="C123" s="5">
        <v>225262</v>
      </c>
      <c r="D123" s="5">
        <v>23502</v>
      </c>
      <c r="E123">
        <v>24734</v>
      </c>
      <c r="F123" s="12" cm="1">
        <f t="array" ref="F123">SUM(C123:D123-E123)</f>
        <v>199296</v>
      </c>
    </row>
    <row r="124" spans="1:6" x14ac:dyDescent="0.35">
      <c r="A124" t="s">
        <v>122</v>
      </c>
      <c r="B124" t="s">
        <v>177</v>
      </c>
      <c r="C124" s="5">
        <v>1026197</v>
      </c>
      <c r="D124" s="5">
        <v>273902</v>
      </c>
      <c r="E124">
        <v>72514</v>
      </c>
      <c r="F124" s="12" cm="1">
        <f t="array" ref="F124">SUM(C124:D124-E124)</f>
        <v>1155071</v>
      </c>
    </row>
    <row r="125" spans="1:6" x14ac:dyDescent="0.35">
      <c r="A125" t="s">
        <v>123</v>
      </c>
      <c r="B125" t="s">
        <v>177</v>
      </c>
      <c r="C125" s="5">
        <v>628802</v>
      </c>
      <c r="D125" s="5">
        <v>113527</v>
      </c>
      <c r="E125">
        <v>61372</v>
      </c>
      <c r="F125" s="12" cm="1">
        <f t="array" ref="F125">SUM(C125:D125-E125)</f>
        <v>619585</v>
      </c>
    </row>
    <row r="126" spans="1:6" x14ac:dyDescent="0.35">
      <c r="A126" t="s">
        <v>126</v>
      </c>
      <c r="B126" t="s">
        <v>177</v>
      </c>
      <c r="C126" s="5">
        <v>0</v>
      </c>
      <c r="D126" s="5">
        <v>0</v>
      </c>
      <c r="E126">
        <v>0</v>
      </c>
      <c r="F126" s="12" cm="1">
        <f t="array" ref="F126">SUM(C126:D126-E126)</f>
        <v>0</v>
      </c>
    </row>
    <row r="127" spans="1:6" x14ac:dyDescent="0.35">
      <c r="A127" t="s">
        <v>127</v>
      </c>
      <c r="B127" t="s">
        <v>177</v>
      </c>
      <c r="C127" s="5">
        <v>9966260</v>
      </c>
      <c r="D127" s="5">
        <v>3317087</v>
      </c>
      <c r="E127">
        <v>1340705</v>
      </c>
      <c r="F127" s="12" cm="1">
        <f t="array" ref="F127">SUM(C127:D127-E127)</f>
        <v>10601937</v>
      </c>
    </row>
    <row r="128" spans="1:6" x14ac:dyDescent="0.35">
      <c r="A128" t="s">
        <v>130</v>
      </c>
      <c r="B128" t="s">
        <v>177</v>
      </c>
      <c r="C128" s="5">
        <v>0</v>
      </c>
      <c r="D128" s="5">
        <v>0</v>
      </c>
      <c r="E128">
        <v>0</v>
      </c>
      <c r="F128" s="12" cm="1">
        <f t="array" ref="F128">SUM(C128:D128-E128)</f>
        <v>0</v>
      </c>
    </row>
    <row r="129" spans="1:6" x14ac:dyDescent="0.35">
      <c r="A129" t="s">
        <v>131</v>
      </c>
      <c r="B129" t="s">
        <v>177</v>
      </c>
      <c r="C129" s="5">
        <v>108440163</v>
      </c>
      <c r="D129" s="5">
        <v>24144943</v>
      </c>
      <c r="E129">
        <v>16939917</v>
      </c>
      <c r="F129" s="12" cm="1">
        <f t="array" ref="F129">SUM(C129:D129-E129)</f>
        <v>98705272</v>
      </c>
    </row>
    <row r="130" spans="1:6" x14ac:dyDescent="0.35">
      <c r="A130" t="s">
        <v>132</v>
      </c>
      <c r="B130" t="s">
        <v>177</v>
      </c>
      <c r="C130" s="5">
        <v>844707</v>
      </c>
      <c r="D130" s="5">
        <v>179549</v>
      </c>
      <c r="E130">
        <v>18721</v>
      </c>
      <c r="F130" s="12" cm="1">
        <f t="array" ref="F130">SUM(C130:D130-E130)</f>
        <v>986814</v>
      </c>
    </row>
    <row r="131" spans="1:6" x14ac:dyDescent="0.35">
      <c r="A131" t="s">
        <v>133</v>
      </c>
      <c r="B131" t="s">
        <v>177</v>
      </c>
      <c r="C131" s="5">
        <v>1201881</v>
      </c>
      <c r="D131" s="5">
        <v>440020</v>
      </c>
      <c r="E131">
        <v>137259</v>
      </c>
      <c r="F131" s="12" cm="1">
        <f t="array" ref="F131">SUM(C131:D131-E131)</f>
        <v>1367383</v>
      </c>
    </row>
    <row r="132" spans="1:6" x14ac:dyDescent="0.35">
      <c r="A132" t="s">
        <v>134</v>
      </c>
      <c r="B132" t="s">
        <v>177</v>
      </c>
      <c r="C132" s="5">
        <v>179164154</v>
      </c>
      <c r="D132" s="5">
        <v>53807954</v>
      </c>
      <c r="E132">
        <v>10006873</v>
      </c>
      <c r="F132" s="12" cm="1">
        <f t="array" ref="F132">SUM(C132:D132-E132)</f>
        <v>212958362</v>
      </c>
    </row>
    <row r="133" spans="1:6" x14ac:dyDescent="0.35">
      <c r="A133" t="s">
        <v>135</v>
      </c>
      <c r="B133" t="s">
        <v>177</v>
      </c>
      <c r="C133" s="5">
        <v>1332120</v>
      </c>
      <c r="D133" s="5">
        <v>281742</v>
      </c>
      <c r="E133">
        <v>232971</v>
      </c>
      <c r="F133" s="12" cm="1">
        <f t="array" ref="F133">SUM(C133:D133-E133)</f>
        <v>1147920</v>
      </c>
    </row>
    <row r="134" spans="1:6" x14ac:dyDescent="0.35">
      <c r="A134" t="s">
        <v>136</v>
      </c>
      <c r="B134" t="s">
        <v>177</v>
      </c>
      <c r="C134" s="5">
        <v>0</v>
      </c>
      <c r="D134" s="5">
        <v>0</v>
      </c>
      <c r="E134">
        <v>0</v>
      </c>
      <c r="F134" s="12" cm="1">
        <f t="array" ref="F134">SUM(C134:D134-E134)</f>
        <v>0</v>
      </c>
    </row>
    <row r="135" spans="1:6" x14ac:dyDescent="0.35">
      <c r="A135" t="s">
        <v>137</v>
      </c>
      <c r="B135" t="s">
        <v>177</v>
      </c>
      <c r="C135" s="5">
        <v>1053538</v>
      </c>
      <c r="D135" s="5">
        <v>113907</v>
      </c>
      <c r="E135">
        <v>126547</v>
      </c>
      <c r="F135" s="12" cm="1">
        <f t="array" ref="F135">SUM(C135:D135-E135)</f>
        <v>914351</v>
      </c>
    </row>
    <row r="136" spans="1:6" x14ac:dyDescent="0.35">
      <c r="A136" t="s">
        <v>138</v>
      </c>
      <c r="B136" t="s">
        <v>177</v>
      </c>
      <c r="C136" s="5">
        <v>13565218</v>
      </c>
      <c r="D136" s="5">
        <v>3338342</v>
      </c>
      <c r="E136">
        <v>1721228</v>
      </c>
      <c r="F136" s="12" cm="1">
        <f t="array" ref="F136">SUM(C136:D136-E136)</f>
        <v>13461104</v>
      </c>
    </row>
    <row r="137" spans="1:6" x14ac:dyDescent="0.35">
      <c r="A137" t="s">
        <v>141</v>
      </c>
      <c r="B137" t="s">
        <v>177</v>
      </c>
      <c r="C137" s="5">
        <v>674193</v>
      </c>
      <c r="D137" s="5">
        <v>247454</v>
      </c>
      <c r="E137">
        <v>150618</v>
      </c>
      <c r="F137" s="12" cm="1">
        <f t="array" ref="F137">SUM(C137:D137-E137)</f>
        <v>620411</v>
      </c>
    </row>
    <row r="138" spans="1:6" x14ac:dyDescent="0.35">
      <c r="A138" t="s">
        <v>143</v>
      </c>
      <c r="B138" t="s">
        <v>177</v>
      </c>
      <c r="C138" s="5">
        <v>1391511</v>
      </c>
      <c r="D138" s="5">
        <v>355541</v>
      </c>
      <c r="E138">
        <v>0</v>
      </c>
      <c r="F138" s="12" cm="1">
        <f t="array" ref="F138">SUM(C138:D138-E138)</f>
        <v>1747052</v>
      </c>
    </row>
    <row r="139" spans="1:6" x14ac:dyDescent="0.35">
      <c r="A139" t="s">
        <v>144</v>
      </c>
      <c r="B139" t="s">
        <v>177</v>
      </c>
      <c r="C139" s="5">
        <v>41016080</v>
      </c>
      <c r="D139" s="5">
        <v>20059329</v>
      </c>
      <c r="E139">
        <v>6599492</v>
      </c>
      <c r="F139" s="12" cm="1">
        <f t="array" ref="F139">SUM(C139:D139-E139)</f>
        <v>47876425</v>
      </c>
    </row>
    <row r="140" spans="1:6" x14ac:dyDescent="0.35">
      <c r="A140" t="s">
        <v>145</v>
      </c>
      <c r="B140" t="s">
        <v>177</v>
      </c>
      <c r="C140" s="5">
        <v>4715456</v>
      </c>
      <c r="D140" s="5">
        <v>1700331</v>
      </c>
      <c r="E140">
        <v>521490</v>
      </c>
      <c r="F140" s="12" cm="1">
        <f t="array" ref="F140">SUM(C140:D140-E140)</f>
        <v>5372807</v>
      </c>
    </row>
    <row r="141" spans="1:6" x14ac:dyDescent="0.35">
      <c r="A141" t="s">
        <v>146</v>
      </c>
      <c r="B141" t="s">
        <v>177</v>
      </c>
      <c r="C141" s="5">
        <v>20823230</v>
      </c>
      <c r="D141" s="5">
        <v>3684132</v>
      </c>
      <c r="E141">
        <v>3632863</v>
      </c>
      <c r="F141" s="12" cm="1">
        <f t="array" ref="F141">SUM(C141:D141-E141)</f>
        <v>17241636</v>
      </c>
    </row>
    <row r="142" spans="1:6" x14ac:dyDescent="0.35">
      <c r="A142" t="s">
        <v>148</v>
      </c>
      <c r="B142" t="s">
        <v>177</v>
      </c>
      <c r="C142" s="5">
        <v>2037616</v>
      </c>
      <c r="D142" s="5">
        <v>779020</v>
      </c>
      <c r="E142">
        <v>411422</v>
      </c>
      <c r="F142" s="12" cm="1">
        <f t="array" ref="F142">SUM(C142:D142-E142)</f>
        <v>1993792</v>
      </c>
    </row>
    <row r="143" spans="1:6" x14ac:dyDescent="0.35">
      <c r="A143" t="s">
        <v>149</v>
      </c>
      <c r="B143" t="s">
        <v>177</v>
      </c>
      <c r="C143" s="5">
        <v>96836718</v>
      </c>
      <c r="D143" s="5">
        <v>34044189</v>
      </c>
      <c r="E143">
        <v>8136698</v>
      </c>
      <c r="F143" s="12" cm="1">
        <f t="array" ref="F143">SUM(C143:D143-E143)</f>
        <v>114607511</v>
      </c>
    </row>
    <row r="144" spans="1:6" x14ac:dyDescent="0.35">
      <c r="A144" t="s">
        <v>150</v>
      </c>
      <c r="B144" t="s">
        <v>177</v>
      </c>
      <c r="C144" s="5">
        <v>3527212</v>
      </c>
      <c r="D144" s="5">
        <v>1055919</v>
      </c>
      <c r="E144">
        <v>0</v>
      </c>
      <c r="F144" s="12" cm="1">
        <f t="array" ref="F144">SUM(C144:D144-E144)</f>
        <v>4583131</v>
      </c>
    </row>
    <row r="145" spans="1:6" x14ac:dyDescent="0.35">
      <c r="A145" t="s">
        <v>101</v>
      </c>
      <c r="B145" t="s">
        <v>178</v>
      </c>
      <c r="C145">
        <v>20653826</v>
      </c>
      <c r="D145">
        <v>8235874</v>
      </c>
      <c r="E145">
        <v>268099</v>
      </c>
      <c r="F145" cm="1">
        <f t="array" ref="F145">SUM(C145:D145-E145)</f>
        <v>28353502</v>
      </c>
    </row>
    <row r="146" spans="1:6" x14ac:dyDescent="0.35">
      <c r="A146" t="s">
        <v>102</v>
      </c>
      <c r="B146" t="s">
        <v>178</v>
      </c>
      <c r="C146">
        <v>438018224</v>
      </c>
      <c r="D146">
        <v>214622772</v>
      </c>
      <c r="E146">
        <v>1023469</v>
      </c>
      <c r="F146" cm="1">
        <f t="array" ref="F146">SUM(C146:D146-E146)</f>
        <v>650594058</v>
      </c>
    </row>
    <row r="147" spans="1:6" x14ac:dyDescent="0.35">
      <c r="A147" t="s">
        <v>103</v>
      </c>
      <c r="B147" t="s">
        <v>178</v>
      </c>
      <c r="C147">
        <v>42846566</v>
      </c>
      <c r="D147">
        <v>25238969</v>
      </c>
      <c r="E147">
        <v>210811</v>
      </c>
      <c r="F147" cm="1">
        <f t="array" ref="F147">SUM(C147:D147-E147)</f>
        <v>67663913</v>
      </c>
    </row>
    <row r="148" spans="1:6" x14ac:dyDescent="0.35">
      <c r="A148" t="s">
        <v>119</v>
      </c>
      <c r="B148" t="s">
        <v>178</v>
      </c>
      <c r="C148">
        <v>81405278</v>
      </c>
      <c r="D148">
        <v>35460191</v>
      </c>
      <c r="E148">
        <v>22980</v>
      </c>
      <c r="F148" cm="1">
        <f t="array" ref="F148">SUM(C148:D148-E148)</f>
        <v>116819509</v>
      </c>
    </row>
    <row r="149" spans="1:6" x14ac:dyDescent="0.35">
      <c r="A149" t="s">
        <v>120</v>
      </c>
      <c r="B149" t="s">
        <v>178</v>
      </c>
      <c r="C149">
        <v>17594503</v>
      </c>
      <c r="D149">
        <v>9832400</v>
      </c>
      <c r="E149">
        <v>53696</v>
      </c>
      <c r="F149" cm="1">
        <f t="array" ref="F149">SUM(C149:D149-E149)</f>
        <v>27319511</v>
      </c>
    </row>
    <row r="150" spans="1:6" x14ac:dyDescent="0.35">
      <c r="A150" t="s">
        <v>123</v>
      </c>
      <c r="B150" t="s">
        <v>178</v>
      </c>
      <c r="C150">
        <v>21988451</v>
      </c>
      <c r="D150">
        <v>13153122</v>
      </c>
      <c r="E150">
        <v>181327</v>
      </c>
      <c r="F150" cm="1">
        <f t="array" ref="F150">SUM(C150:D150-E150)</f>
        <v>34778919</v>
      </c>
    </row>
    <row r="151" spans="1:6" x14ac:dyDescent="0.35">
      <c r="A151" t="s">
        <v>124</v>
      </c>
      <c r="B151" t="s">
        <v>178</v>
      </c>
      <c r="C151">
        <v>30623578</v>
      </c>
      <c r="D151">
        <v>13210644</v>
      </c>
      <c r="E151">
        <v>250643</v>
      </c>
      <c r="F151" cm="1">
        <f t="array" ref="F151">SUM(C151:D151-E151)</f>
        <v>43332936</v>
      </c>
    </row>
    <row r="152" spans="1:6" x14ac:dyDescent="0.35">
      <c r="A152" t="s">
        <v>127</v>
      </c>
      <c r="B152" t="s">
        <v>178</v>
      </c>
      <c r="C152">
        <v>7666031</v>
      </c>
      <c r="D152">
        <v>6282734</v>
      </c>
      <c r="E152">
        <v>121170</v>
      </c>
      <c r="F152" cm="1">
        <f t="array" ref="F152">SUM(C152:D152-E152)</f>
        <v>13706425</v>
      </c>
    </row>
    <row r="153" spans="1:6" x14ac:dyDescent="0.35">
      <c r="A153" t="s">
        <v>131</v>
      </c>
      <c r="B153" t="s">
        <v>178</v>
      </c>
      <c r="C153">
        <v>61582273</v>
      </c>
      <c r="D153">
        <v>16544130</v>
      </c>
      <c r="E153">
        <v>0</v>
      </c>
      <c r="F153" cm="1">
        <f t="array" ref="F153">SUM(C153:D153-E153)</f>
        <v>78126403</v>
      </c>
    </row>
    <row r="154" spans="1:6" x14ac:dyDescent="0.35">
      <c r="A154" t="s">
        <v>134</v>
      </c>
      <c r="B154" t="s">
        <v>178</v>
      </c>
      <c r="C154">
        <v>9182679</v>
      </c>
      <c r="D154">
        <v>2712962</v>
      </c>
      <c r="E154">
        <v>58108</v>
      </c>
      <c r="F154" cm="1">
        <f t="array" ref="F154">SUM(C154:D154-E154)</f>
        <v>11779425</v>
      </c>
    </row>
    <row r="155" spans="1:6" x14ac:dyDescent="0.35">
      <c r="A155" t="s">
        <v>135</v>
      </c>
      <c r="B155" t="s">
        <v>178</v>
      </c>
      <c r="C155">
        <v>4823617</v>
      </c>
      <c r="D155">
        <v>3517117</v>
      </c>
      <c r="E155">
        <v>29448</v>
      </c>
      <c r="F155" cm="1">
        <f t="array" ref="F155">SUM(C155:D155-E155)</f>
        <v>8281838</v>
      </c>
    </row>
    <row r="156" spans="1:6" x14ac:dyDescent="0.35">
      <c r="A156" t="s">
        <v>137</v>
      </c>
      <c r="B156" t="s">
        <v>178</v>
      </c>
      <c r="C156">
        <v>58460672</v>
      </c>
      <c r="D156">
        <v>46900553</v>
      </c>
      <c r="E156">
        <v>163617</v>
      </c>
      <c r="F156" cm="1">
        <f t="array" ref="F156">SUM(C156:D156-E156)</f>
        <v>105033991</v>
      </c>
    </row>
    <row r="157" spans="1:6" x14ac:dyDescent="0.35">
      <c r="A157" t="s">
        <v>138</v>
      </c>
      <c r="B157" t="s">
        <v>178</v>
      </c>
      <c r="C157">
        <v>20426271</v>
      </c>
      <c r="D157">
        <v>21327514</v>
      </c>
      <c r="E157">
        <v>173516</v>
      </c>
      <c r="F157" cm="1">
        <f t="array" ref="F157">SUM(C157:D157-E157)</f>
        <v>41406753</v>
      </c>
    </row>
    <row r="158" spans="1:6" x14ac:dyDescent="0.35">
      <c r="A158" t="s">
        <v>144</v>
      </c>
      <c r="B158" t="s">
        <v>178</v>
      </c>
      <c r="C158">
        <v>109410336</v>
      </c>
      <c r="D158">
        <v>59113975</v>
      </c>
      <c r="E158">
        <v>808699</v>
      </c>
      <c r="F158" cm="1">
        <f t="array" ref="F158">SUM(C158:D158-E158)</f>
        <v>166906913</v>
      </c>
    </row>
    <row r="159" spans="1:6" x14ac:dyDescent="0.35">
      <c r="A159" t="s">
        <v>145</v>
      </c>
      <c r="B159" t="s">
        <v>178</v>
      </c>
      <c r="C159">
        <v>24815204</v>
      </c>
      <c r="D159">
        <v>23580341</v>
      </c>
      <c r="E159">
        <v>230614</v>
      </c>
      <c r="F159" cm="1">
        <f t="array" ref="F159">SUM(C159:D159-E159)</f>
        <v>47934317</v>
      </c>
    </row>
    <row r="160" spans="1:6" x14ac:dyDescent="0.35">
      <c r="A160" t="s">
        <v>146</v>
      </c>
      <c r="B160" t="s">
        <v>178</v>
      </c>
      <c r="C160">
        <v>4503857</v>
      </c>
      <c r="D160">
        <v>2046741</v>
      </c>
      <c r="E160">
        <v>43950</v>
      </c>
      <c r="F160" cm="1">
        <f t="array" ref="F160">SUM(C160:D160-E160)</f>
        <v>6462698</v>
      </c>
    </row>
    <row r="161" spans="1:6" x14ac:dyDescent="0.35">
      <c r="A161" t="s">
        <v>149</v>
      </c>
      <c r="B161" t="s">
        <v>178</v>
      </c>
      <c r="C161">
        <v>48710442</v>
      </c>
      <c r="D161">
        <v>15509862</v>
      </c>
      <c r="E161">
        <v>46302</v>
      </c>
      <c r="F161" cm="1">
        <f t="array" ref="F161">SUM(C161:D161-E161)</f>
        <v>64127700</v>
      </c>
    </row>
    <row r="162" spans="1:6" x14ac:dyDescent="0.35">
      <c r="A162" t="s">
        <v>102</v>
      </c>
      <c r="B162" t="s">
        <v>179</v>
      </c>
      <c r="C162">
        <v>338318643</v>
      </c>
      <c r="D162">
        <v>151808541</v>
      </c>
      <c r="E162">
        <v>2172900</v>
      </c>
      <c r="F162" cm="1">
        <f t="array" ref="F162">SUM(C162:D162-E162)</f>
        <v>485781384</v>
      </c>
    </row>
    <row r="163" spans="1:6" x14ac:dyDescent="0.35">
      <c r="A163" t="s">
        <v>105</v>
      </c>
      <c r="B163" t="s">
        <v>179</v>
      </c>
      <c r="C163">
        <v>368476115</v>
      </c>
      <c r="D163">
        <v>121564662</v>
      </c>
      <c r="E163">
        <v>2101990</v>
      </c>
      <c r="F163" cm="1">
        <f t="array" ref="F163">SUM(C163:D163-E163)</f>
        <v>485836797</v>
      </c>
    </row>
    <row r="164" spans="1:6" x14ac:dyDescent="0.35">
      <c r="A164" t="s">
        <v>107</v>
      </c>
      <c r="B164" t="s">
        <v>179</v>
      </c>
      <c r="C164">
        <v>25312473</v>
      </c>
      <c r="D164">
        <v>29098490</v>
      </c>
      <c r="E164">
        <v>1517588</v>
      </c>
      <c r="F164" cm="1">
        <f t="array" ref="F164">SUM(C164:D164-E164)</f>
        <v>51375787</v>
      </c>
    </row>
    <row r="165" spans="1:6" x14ac:dyDescent="0.35">
      <c r="A165" t="s">
        <v>108</v>
      </c>
      <c r="B165" t="s">
        <v>179</v>
      </c>
      <c r="C165">
        <v>74287404</v>
      </c>
      <c r="D165">
        <v>37353460</v>
      </c>
      <c r="E165">
        <v>171367</v>
      </c>
      <c r="F165" cm="1">
        <f t="array" ref="F165">SUM(C165:D165-E165)</f>
        <v>111298130</v>
      </c>
    </row>
    <row r="166" spans="1:6" x14ac:dyDescent="0.35">
      <c r="A166" t="s">
        <v>111</v>
      </c>
      <c r="B166" t="s">
        <v>179</v>
      </c>
      <c r="C166">
        <v>0</v>
      </c>
      <c r="D166">
        <v>0</v>
      </c>
      <c r="E166">
        <v>0</v>
      </c>
      <c r="F166" cm="1">
        <f t="array" ref="F166">SUM(C166:D166-E166)</f>
        <v>0</v>
      </c>
    </row>
    <row r="167" spans="1:6" x14ac:dyDescent="0.35">
      <c r="A167" t="s">
        <v>114</v>
      </c>
      <c r="B167" t="s">
        <v>179</v>
      </c>
      <c r="C167">
        <v>301888058</v>
      </c>
      <c r="D167">
        <v>95377768</v>
      </c>
      <c r="E167">
        <v>1335355</v>
      </c>
      <c r="F167" cm="1">
        <f t="array" ref="F167">SUM(C167:D167-E167)</f>
        <v>394595116</v>
      </c>
    </row>
    <row r="168" spans="1:6" x14ac:dyDescent="0.35">
      <c r="A168" t="s">
        <v>119</v>
      </c>
      <c r="B168" t="s">
        <v>179</v>
      </c>
      <c r="C168">
        <v>100084532</v>
      </c>
      <c r="D168">
        <v>61823126</v>
      </c>
      <c r="E168">
        <v>51262</v>
      </c>
      <c r="F168" cm="1">
        <f t="array" ref="F168">SUM(C168:D168-E168)</f>
        <v>161805134</v>
      </c>
    </row>
    <row r="169" spans="1:6" x14ac:dyDescent="0.35">
      <c r="A169" t="s">
        <v>120</v>
      </c>
      <c r="B169" t="s">
        <v>179</v>
      </c>
      <c r="C169">
        <v>25216283</v>
      </c>
      <c r="D169">
        <v>11559887</v>
      </c>
      <c r="E169">
        <v>142670</v>
      </c>
      <c r="F169" cm="1">
        <f t="array" ref="F169">SUM(C169:D169-E169)</f>
        <v>36490830</v>
      </c>
    </row>
    <row r="170" spans="1:6" x14ac:dyDescent="0.35">
      <c r="A170" t="s">
        <v>131</v>
      </c>
      <c r="B170" t="s">
        <v>179</v>
      </c>
      <c r="C170">
        <v>171235557</v>
      </c>
      <c r="D170">
        <v>61019853</v>
      </c>
      <c r="E170">
        <v>104950</v>
      </c>
      <c r="F170" cm="1">
        <f t="array" ref="F170">SUM(C170:D170-E170)</f>
        <v>232045510</v>
      </c>
    </row>
    <row r="171" spans="1:6" x14ac:dyDescent="0.35">
      <c r="A171" t="s">
        <v>134</v>
      </c>
      <c r="B171" t="s">
        <v>179</v>
      </c>
      <c r="C171">
        <v>1594968581</v>
      </c>
      <c r="D171">
        <v>939325656</v>
      </c>
      <c r="E171">
        <v>6190641</v>
      </c>
      <c r="F171" cm="1">
        <f t="array" ref="F171">SUM(C171:D171-E171)</f>
        <v>2521912955</v>
      </c>
    </row>
    <row r="172" spans="1:6" x14ac:dyDescent="0.35">
      <c r="A172" t="s">
        <v>135</v>
      </c>
      <c r="B172" t="s">
        <v>179</v>
      </c>
      <c r="C172">
        <v>11019019</v>
      </c>
      <c r="D172">
        <v>12381855</v>
      </c>
      <c r="E172">
        <v>103660</v>
      </c>
      <c r="F172" cm="1">
        <f t="array" ref="F172">SUM(C172:D172-E172)</f>
        <v>23193554</v>
      </c>
    </row>
    <row r="173" spans="1:6" x14ac:dyDescent="0.35">
      <c r="A173" t="s">
        <v>138</v>
      </c>
      <c r="B173" t="s">
        <v>179</v>
      </c>
      <c r="C173">
        <v>90072407</v>
      </c>
      <c r="D173">
        <v>44917116</v>
      </c>
      <c r="E173">
        <v>379616</v>
      </c>
      <c r="F173" cm="1">
        <f t="array" ref="F173">SUM(C173:D173-E173)</f>
        <v>134230291</v>
      </c>
    </row>
    <row r="174" spans="1:6" x14ac:dyDescent="0.35">
      <c r="A174" t="s">
        <v>139</v>
      </c>
      <c r="B174" t="s">
        <v>179</v>
      </c>
      <c r="C174">
        <v>29076727</v>
      </c>
      <c r="D174">
        <v>25201678</v>
      </c>
      <c r="E174">
        <v>0</v>
      </c>
      <c r="F174" cm="1">
        <f t="array" ref="F174">SUM(C174:D174-E174)</f>
        <v>54278405</v>
      </c>
    </row>
    <row r="175" spans="1:6" x14ac:dyDescent="0.35">
      <c r="A175" t="s">
        <v>102</v>
      </c>
      <c r="B175" t="s">
        <v>180</v>
      </c>
      <c r="C175">
        <v>162471212</v>
      </c>
      <c r="D175">
        <v>78005584</v>
      </c>
      <c r="E175">
        <v>37363916</v>
      </c>
      <c r="F175" cm="1">
        <f t="array" ref="F175">SUM(C175:D175-E175)</f>
        <v>165748964</v>
      </c>
    </row>
    <row r="176" spans="1:6" x14ac:dyDescent="0.35">
      <c r="A176" t="s">
        <v>103</v>
      </c>
      <c r="B176" t="s">
        <v>180</v>
      </c>
      <c r="C176">
        <v>51073942</v>
      </c>
      <c r="D176">
        <v>10952917</v>
      </c>
      <c r="E176">
        <v>0</v>
      </c>
      <c r="F176" cm="1">
        <f t="array" ref="F176">SUM(C176:D176-E176)</f>
        <v>62026859</v>
      </c>
    </row>
    <row r="177" spans="1:6" x14ac:dyDescent="0.35">
      <c r="A177" t="s">
        <v>104</v>
      </c>
      <c r="B177" t="s">
        <v>180</v>
      </c>
      <c r="C177">
        <v>15804043</v>
      </c>
      <c r="D177">
        <v>11627649</v>
      </c>
      <c r="E177">
        <v>0</v>
      </c>
      <c r="F177" cm="1">
        <f t="array" ref="F177">SUM(C177:D177-E177)</f>
        <v>27431692</v>
      </c>
    </row>
    <row r="178" spans="1:6" x14ac:dyDescent="0.35">
      <c r="A178" t="s">
        <v>106</v>
      </c>
      <c r="B178" t="s">
        <v>180</v>
      </c>
      <c r="C178">
        <v>0</v>
      </c>
      <c r="D178">
        <v>0</v>
      </c>
      <c r="E178">
        <v>0</v>
      </c>
      <c r="F178" cm="1">
        <f t="array" ref="F178">SUM(C178:D178-E178)</f>
        <v>0</v>
      </c>
    </row>
    <row r="179" spans="1:6" x14ac:dyDescent="0.35">
      <c r="A179" t="s">
        <v>107</v>
      </c>
      <c r="B179" t="s">
        <v>180</v>
      </c>
      <c r="C179">
        <v>47665427</v>
      </c>
      <c r="D179">
        <v>26696213</v>
      </c>
      <c r="E179">
        <v>10059374</v>
      </c>
      <c r="F179" cm="1">
        <f t="array" ref="F179">SUM(C179:D179-E179)</f>
        <v>54242892</v>
      </c>
    </row>
    <row r="180" spans="1:6" x14ac:dyDescent="0.35">
      <c r="A180" t="s">
        <v>114</v>
      </c>
      <c r="B180" t="s">
        <v>180</v>
      </c>
      <c r="C180">
        <v>347413556</v>
      </c>
      <c r="D180">
        <v>176918482</v>
      </c>
      <c r="E180">
        <v>61777392</v>
      </c>
      <c r="F180" cm="1">
        <f t="array" ref="F180">SUM(C180:D180-E180)</f>
        <v>400777254</v>
      </c>
    </row>
    <row r="181" spans="1:6" x14ac:dyDescent="0.35">
      <c r="A181" t="s">
        <v>115</v>
      </c>
      <c r="B181" t="s">
        <v>180</v>
      </c>
      <c r="C181">
        <v>23254128</v>
      </c>
      <c r="D181">
        <v>13170157</v>
      </c>
      <c r="E181">
        <v>282798</v>
      </c>
      <c r="F181" cm="1">
        <f t="array" ref="F181">SUM(C181:D181-E181)</f>
        <v>35858689</v>
      </c>
    </row>
    <row r="182" spans="1:6" x14ac:dyDescent="0.35">
      <c r="A182" t="s">
        <v>119</v>
      </c>
      <c r="B182" t="s">
        <v>180</v>
      </c>
      <c r="C182">
        <v>190479607</v>
      </c>
      <c r="D182">
        <v>94249591</v>
      </c>
      <c r="E182">
        <v>0</v>
      </c>
      <c r="F182" cm="1">
        <f t="array" ref="F182">SUM(C182:D182-E182)</f>
        <v>284729198</v>
      </c>
    </row>
    <row r="183" spans="1:6" x14ac:dyDescent="0.35">
      <c r="A183" t="s">
        <v>120</v>
      </c>
      <c r="B183" t="s">
        <v>180</v>
      </c>
      <c r="C183">
        <v>89460828</v>
      </c>
      <c r="D183">
        <v>32464462</v>
      </c>
      <c r="E183">
        <v>7905943</v>
      </c>
      <c r="F183" cm="1">
        <f t="array" ref="F183">SUM(C183:D183-E183)</f>
        <v>106113404</v>
      </c>
    </row>
    <row r="184" spans="1:6" x14ac:dyDescent="0.35">
      <c r="A184" t="s">
        <v>121</v>
      </c>
      <c r="B184" t="s">
        <v>180</v>
      </c>
      <c r="C184">
        <v>11993422</v>
      </c>
      <c r="D184">
        <v>7652354</v>
      </c>
      <c r="E184">
        <v>0</v>
      </c>
      <c r="F184" cm="1">
        <f t="array" ref="F184">SUM(C184:D184-E184)</f>
        <v>19645776</v>
      </c>
    </row>
    <row r="185" spans="1:6" x14ac:dyDescent="0.35">
      <c r="A185" t="s">
        <v>123</v>
      </c>
      <c r="B185" t="s">
        <v>180</v>
      </c>
      <c r="C185">
        <v>5345792</v>
      </c>
      <c r="D185">
        <v>3672967</v>
      </c>
      <c r="E185">
        <v>1189721</v>
      </c>
      <c r="F185" cm="1">
        <f t="array" ref="F185">SUM(C185:D185-E185)</f>
        <v>6639317</v>
      </c>
    </row>
    <row r="186" spans="1:6" x14ac:dyDescent="0.35">
      <c r="A186" t="s">
        <v>131</v>
      </c>
      <c r="B186" t="s">
        <v>180</v>
      </c>
      <c r="C186">
        <v>478027218</v>
      </c>
      <c r="D186">
        <v>242969345</v>
      </c>
      <c r="E186">
        <v>23414641</v>
      </c>
      <c r="F186" cm="1">
        <f t="array" ref="F186">SUM(C186:D186-E186)</f>
        <v>674167281</v>
      </c>
    </row>
    <row r="187" spans="1:6" x14ac:dyDescent="0.35">
      <c r="A187" t="s">
        <v>132</v>
      </c>
      <c r="B187" t="s">
        <v>180</v>
      </c>
      <c r="C187">
        <v>9917063</v>
      </c>
      <c r="D187">
        <v>4199198</v>
      </c>
      <c r="E187">
        <v>2502368</v>
      </c>
      <c r="F187" cm="1">
        <f t="array" ref="F187">SUM(C187:D187-E187)</f>
        <v>9111525</v>
      </c>
    </row>
    <row r="188" spans="1:6" x14ac:dyDescent="0.35">
      <c r="A188" t="s">
        <v>134</v>
      </c>
      <c r="B188" t="s">
        <v>180</v>
      </c>
      <c r="C188">
        <v>949949740</v>
      </c>
      <c r="D188">
        <v>803266161</v>
      </c>
      <c r="E188">
        <v>36573827</v>
      </c>
      <c r="F188" cm="1">
        <f t="array" ref="F188">SUM(C188:D188-E188)</f>
        <v>1680068247</v>
      </c>
    </row>
    <row r="189" spans="1:6" x14ac:dyDescent="0.35">
      <c r="A189" t="s">
        <v>138</v>
      </c>
      <c r="B189" t="s">
        <v>180</v>
      </c>
      <c r="C189">
        <v>174941419</v>
      </c>
      <c r="D189">
        <v>73380579</v>
      </c>
      <c r="E189">
        <v>482740</v>
      </c>
      <c r="F189" cm="1">
        <f t="array" ref="F189">SUM(C189:D189-E189)</f>
        <v>247356518</v>
      </c>
    </row>
    <row r="190" spans="1:6" x14ac:dyDescent="0.35">
      <c r="A190" t="s">
        <v>143</v>
      </c>
      <c r="B190" t="s">
        <v>180</v>
      </c>
      <c r="C190">
        <v>998357</v>
      </c>
      <c r="D190">
        <v>1363940</v>
      </c>
      <c r="E190">
        <v>462389</v>
      </c>
      <c r="F190" cm="1">
        <f t="array" ref="F190">SUM(C190:D190-E190)</f>
        <v>1437519</v>
      </c>
    </row>
    <row r="191" spans="1:6" x14ac:dyDescent="0.35">
      <c r="A191" t="s">
        <v>144</v>
      </c>
      <c r="B191" t="s">
        <v>180</v>
      </c>
      <c r="C191">
        <v>16192562</v>
      </c>
      <c r="D191">
        <v>6422795</v>
      </c>
      <c r="E191">
        <v>42592</v>
      </c>
      <c r="F191" cm="1">
        <f t="array" ref="F191">SUM(C191:D191-E191)</f>
        <v>22530173</v>
      </c>
    </row>
    <row r="192" spans="1:6" x14ac:dyDescent="0.35">
      <c r="A192" t="s">
        <v>145</v>
      </c>
      <c r="B192" t="s">
        <v>180</v>
      </c>
      <c r="C192">
        <v>16284736</v>
      </c>
      <c r="D192">
        <v>11550441</v>
      </c>
      <c r="E192">
        <v>5698785</v>
      </c>
      <c r="F192" cm="1">
        <f t="array" ref="F192">SUM(C192:D192-E192)</f>
        <v>16437607</v>
      </c>
    </row>
    <row r="193" spans="1:6" x14ac:dyDescent="0.35">
      <c r="A193" t="s">
        <v>146</v>
      </c>
      <c r="B193" t="s">
        <v>180</v>
      </c>
      <c r="C193">
        <v>37562160</v>
      </c>
      <c r="D193">
        <v>12408361</v>
      </c>
      <c r="E193">
        <v>3737506</v>
      </c>
      <c r="F193" cm="1">
        <f t="array" ref="F193">SUM(C193:D193-E193)</f>
        <v>42495509</v>
      </c>
    </row>
    <row r="194" spans="1:6" x14ac:dyDescent="0.35">
      <c r="A194" t="s">
        <v>149</v>
      </c>
      <c r="B194" t="s">
        <v>180</v>
      </c>
      <c r="C194">
        <v>18304739</v>
      </c>
      <c r="D194">
        <v>15174291</v>
      </c>
      <c r="E194">
        <v>3247786</v>
      </c>
      <c r="F194" cm="1">
        <f t="array" ref="F194">SUM(C194:D194-E194)</f>
        <v>26983458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zoomScale="90" zoomScaleNormal="90" workbookViewId="0">
      <selection activeCell="I18" sqref="I18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16.90625" customWidth="1"/>
    <col min="9" max="9" width="20" customWidth="1"/>
    <col min="10" max="10" width="12.453125" customWidth="1"/>
    <col min="11" max="11" width="15.90625" customWidth="1"/>
  </cols>
  <sheetData>
    <row r="1" spans="1:11" x14ac:dyDescent="0.35">
      <c r="A1" t="s">
        <v>174</v>
      </c>
      <c r="B1" t="s">
        <v>78</v>
      </c>
      <c r="C1" t="s">
        <v>95</v>
      </c>
      <c r="D1" t="s">
        <v>0</v>
      </c>
      <c r="E1" t="s">
        <v>167</v>
      </c>
      <c r="F1" t="s">
        <v>168</v>
      </c>
      <c r="G1" t="s">
        <v>169</v>
      </c>
      <c r="H1" t="s">
        <v>171</v>
      </c>
      <c r="I1" t="s">
        <v>170</v>
      </c>
      <c r="J1" t="s">
        <v>172</v>
      </c>
      <c r="K1" t="s">
        <v>173</v>
      </c>
    </row>
    <row r="2" spans="1:11" x14ac:dyDescent="0.35">
      <c r="A2" t="s">
        <v>175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5">
      <c r="A3" t="s">
        <v>175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5">
      <c r="A4" t="s">
        <v>175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5">
      <c r="A5" t="s">
        <v>175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5">
      <c r="A6" t="s">
        <v>175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5">
      <c r="A7" t="s">
        <v>175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5">
      <c r="A8" t="s">
        <v>175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5">
      <c r="A9" t="s">
        <v>175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5">
      <c r="A10" t="s">
        <v>175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5">
      <c r="A11" t="s">
        <v>175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5">
      <c r="A12" t="s">
        <v>175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5">
      <c r="A13" t="s">
        <v>175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5">
      <c r="A14" t="s">
        <v>175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5">
      <c r="A15" t="s">
        <v>175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5">
      <c r="A16" t="s">
        <v>175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5">
      <c r="A17" t="s">
        <v>175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5">
      <c r="A18" t="s">
        <v>175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5">
      <c r="A19" t="s">
        <v>175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5">
      <c r="A20" t="s">
        <v>175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5">
      <c r="A21" t="s">
        <v>175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5">
      <c r="A22" t="s">
        <v>175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5">
      <c r="A23" t="s">
        <v>175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5">
      <c r="A24" t="s">
        <v>175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5">
      <c r="A25" t="s">
        <v>175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5">
      <c r="A26" t="s">
        <v>175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5">
      <c r="A27" t="s">
        <v>175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5">
      <c r="A28" t="s">
        <v>175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5">
      <c r="A29" t="s">
        <v>175</v>
      </c>
      <c r="B29" t="s">
        <v>90</v>
      </c>
      <c r="C29" t="s">
        <v>127</v>
      </c>
      <c r="D29" t="s">
        <v>253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5">
      <c r="A30" t="s">
        <v>175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5">
      <c r="A31" t="s">
        <v>175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5">
      <c r="A32" t="s">
        <v>175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5">
      <c r="A33" t="s">
        <v>175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5">
      <c r="A34" t="s">
        <v>175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5">
      <c r="A35" t="s">
        <v>175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5">
      <c r="A36" t="s">
        <v>175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5">
      <c r="A37" t="s">
        <v>175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5">
      <c r="A38" t="s">
        <v>175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5">
      <c r="A39" t="s">
        <v>175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5">
      <c r="A40" t="s">
        <v>175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5">
      <c r="A41" t="s">
        <v>175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5">
      <c r="A42" t="s">
        <v>175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5">
      <c r="A43" t="s">
        <v>175</v>
      </c>
      <c r="B43" t="s">
        <v>90</v>
      </c>
      <c r="C43" t="s">
        <v>141</v>
      </c>
      <c r="D43" t="s">
        <v>254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5">
      <c r="A44" t="s">
        <v>175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5">
      <c r="A45" t="s">
        <v>175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5">
      <c r="A46" t="s">
        <v>175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5">
      <c r="A47" t="s">
        <v>175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5">
      <c r="A48" t="s">
        <v>175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5">
      <c r="A49" t="s">
        <v>175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5">
      <c r="A50" t="s">
        <v>175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5">
      <c r="A51" t="s">
        <v>175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5">
      <c r="A52" t="s">
        <v>175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5">
      <c r="A53" t="s">
        <v>176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5">
      <c r="A54" t="s">
        <v>176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5">
      <c r="A55" t="s">
        <v>176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5">
      <c r="A56" t="s">
        <v>176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5">
      <c r="A57" t="s">
        <v>176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5">
      <c r="A58" t="s">
        <v>176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5">
      <c r="A59" t="s">
        <v>176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5">
      <c r="A60" t="s">
        <v>176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5">
      <c r="A61" t="s">
        <v>176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5">
      <c r="A62" t="s">
        <v>176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5">
      <c r="A63" t="s">
        <v>176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5">
      <c r="A64" t="s">
        <v>176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5">
      <c r="A65" t="s">
        <v>176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5">
      <c r="A66" t="s">
        <v>176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5">
      <c r="A67" t="s">
        <v>176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5">
      <c r="A68" t="s">
        <v>176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5">
      <c r="A69" t="s">
        <v>176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5">
      <c r="A70" t="s">
        <v>176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5">
      <c r="A71" t="s">
        <v>176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5">
      <c r="A72" t="s">
        <v>176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5">
      <c r="A73" t="s">
        <v>176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5">
      <c r="A74" t="s">
        <v>176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5">
      <c r="A75" t="s">
        <v>176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5">
      <c r="A76" t="s">
        <v>176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5">
      <c r="A77" t="s">
        <v>176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5">
      <c r="A78" t="s">
        <v>176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5">
      <c r="A79" t="s">
        <v>176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5">
      <c r="A80" t="s">
        <v>176</v>
      </c>
      <c r="B80" t="s">
        <v>90</v>
      </c>
      <c r="C80" t="s">
        <v>127</v>
      </c>
      <c r="D80" t="s">
        <v>253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5">
      <c r="A81" t="s">
        <v>176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5">
      <c r="A82" t="s">
        <v>176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5">
      <c r="A83" t="s">
        <v>176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5">
      <c r="A84" t="s">
        <v>176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5">
      <c r="A85" t="s">
        <v>176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5">
      <c r="A86" t="s">
        <v>176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5">
      <c r="A87" t="s">
        <v>176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5">
      <c r="A88" t="s">
        <v>176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5">
      <c r="A89" t="s">
        <v>176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5">
      <c r="A90" t="s">
        <v>176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5">
      <c r="A91" t="s">
        <v>176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5">
      <c r="A92" t="s">
        <v>176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5">
      <c r="A93" t="s">
        <v>176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5">
      <c r="A94" t="s">
        <v>176</v>
      </c>
      <c r="B94" t="s">
        <v>90</v>
      </c>
      <c r="C94" t="s">
        <v>141</v>
      </c>
      <c r="D94" t="s">
        <v>254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5">
      <c r="A95" t="s">
        <v>176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5">
      <c r="A96" t="s">
        <v>176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5">
      <c r="A97" t="s">
        <v>176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5">
      <c r="A98" t="s">
        <v>176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5">
      <c r="A99" t="s">
        <v>176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5">
      <c r="A100" t="s">
        <v>176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5">
      <c r="A101" t="s">
        <v>176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5">
      <c r="A102" t="s">
        <v>176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5">
      <c r="A103" t="s">
        <v>176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5">
      <c r="A104" t="s">
        <v>176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5">
      <c r="A105" t="s">
        <v>176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5">
      <c r="A106" t="s">
        <v>176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5">
      <c r="A107" t="s">
        <v>176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5">
      <c r="A108" t="s">
        <v>176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5">
      <c r="A109" t="s">
        <v>176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5">
      <c r="A110" t="s">
        <v>176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5">
      <c r="A111" t="s">
        <v>176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5">
      <c r="A112" t="s">
        <v>176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5">
      <c r="A113" t="s">
        <v>176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5">
      <c r="A114" t="s">
        <v>176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5">
      <c r="A115" t="s">
        <v>176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5">
      <c r="A116" t="s">
        <v>176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5">
      <c r="A117" t="s">
        <v>176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5">
      <c r="A118" t="s">
        <v>176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5">
      <c r="A119" t="s">
        <v>176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5">
      <c r="A120" t="s">
        <v>176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5">
      <c r="A121" t="s">
        <v>176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5">
      <c r="A122" t="s">
        <v>176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5">
      <c r="A123" t="s">
        <v>176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5">
      <c r="A124" t="s">
        <v>176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5">
      <c r="A125" t="s">
        <v>176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5">
      <c r="A126" t="s">
        <v>176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5">
      <c r="A127" t="s">
        <v>176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5">
      <c r="A128" t="s">
        <v>176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5">
      <c r="A129" t="s">
        <v>176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5">
      <c r="A130" t="s">
        <v>176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5">
      <c r="A131" t="s">
        <v>176</v>
      </c>
      <c r="B131" t="s">
        <v>80</v>
      </c>
      <c r="C131" t="s">
        <v>127</v>
      </c>
      <c r="D131" t="s">
        <v>253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5">
      <c r="A132" t="s">
        <v>176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5">
      <c r="A133" t="s">
        <v>176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5">
      <c r="A134" t="s">
        <v>176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5">
      <c r="A135" t="s">
        <v>176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5">
      <c r="A136" t="s">
        <v>176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5">
      <c r="A137" t="s">
        <v>176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5">
      <c r="A138" t="s">
        <v>176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5">
      <c r="A139" t="s">
        <v>176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5">
      <c r="A140" t="s">
        <v>176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5">
      <c r="A141" t="s">
        <v>176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5">
      <c r="A142" t="s">
        <v>176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5">
      <c r="A143" t="s">
        <v>176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5">
      <c r="A144" t="s">
        <v>176</v>
      </c>
      <c r="B144" t="s">
        <v>80</v>
      </c>
      <c r="C144" t="s">
        <v>141</v>
      </c>
      <c r="D144" t="s">
        <v>254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5">
      <c r="A145" t="s">
        <v>176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5">
      <c r="A146" t="s">
        <v>176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5">
      <c r="A147" t="s">
        <v>176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5">
      <c r="A148" t="s">
        <v>176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5">
      <c r="A149" t="s">
        <v>176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5">
      <c r="A150" t="s">
        <v>176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5">
      <c r="A151" t="s">
        <v>176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5">
      <c r="A152" t="s">
        <v>176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5">
      <c r="A153" t="s">
        <v>176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5">
      <c r="A154" t="s">
        <v>176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5">
      <c r="A155" t="s">
        <v>175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5">
      <c r="A156" t="s">
        <v>175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5">
      <c r="A157" t="s">
        <v>175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5">
      <c r="A158" t="s">
        <v>175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5">
      <c r="A159" t="s">
        <v>175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5">
      <c r="A160" t="s">
        <v>175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5">
      <c r="A161" t="s">
        <v>175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5">
      <c r="A162" t="s">
        <v>175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5">
      <c r="A163" t="s">
        <v>175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5">
      <c r="A164" t="s">
        <v>175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5">
      <c r="A165" t="s">
        <v>175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5">
      <c r="A166" t="s">
        <v>175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5">
      <c r="A167" t="s">
        <v>175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5">
      <c r="A168" t="s">
        <v>175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5">
      <c r="A169" t="s">
        <v>175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5">
      <c r="A170" t="s">
        <v>175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5">
      <c r="A171" t="s">
        <v>175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5">
      <c r="A172" t="s">
        <v>175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5">
      <c r="A173" t="s">
        <v>175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5">
      <c r="A174" t="s">
        <v>175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5">
      <c r="A175" t="s">
        <v>175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5">
      <c r="A176" t="s">
        <v>175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5">
      <c r="A177" t="s">
        <v>175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5">
      <c r="A178" t="s">
        <v>175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5">
      <c r="A179" t="s">
        <v>175</v>
      </c>
      <c r="B179" t="s">
        <v>80</v>
      </c>
      <c r="C179" t="s">
        <v>127</v>
      </c>
      <c r="D179" t="s">
        <v>253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5">
      <c r="A180" t="s">
        <v>175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5">
      <c r="A181" t="s">
        <v>175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5">
      <c r="A182" t="s">
        <v>175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5">
      <c r="A183" t="s">
        <v>175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5">
      <c r="A184" t="s">
        <v>175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5">
      <c r="A185" t="s">
        <v>175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5">
      <c r="A186" t="s">
        <v>175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5">
      <c r="A187" t="s">
        <v>175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5">
      <c r="A188" t="s">
        <v>175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5">
      <c r="A189" t="s">
        <v>175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5">
      <c r="A190" t="s">
        <v>175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5">
      <c r="A191" t="s">
        <v>175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5">
      <c r="A192" t="s">
        <v>175</v>
      </c>
      <c r="B192" t="s">
        <v>80</v>
      </c>
      <c r="C192" t="s">
        <v>141</v>
      </c>
      <c r="D192" t="s">
        <v>254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5">
      <c r="A193" t="s">
        <v>175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5">
      <c r="A194" t="s">
        <v>175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5">
      <c r="A195" t="s">
        <v>175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5">
      <c r="A196" t="s">
        <v>175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5">
      <c r="A197" t="s">
        <v>175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5">
      <c r="A198" t="s">
        <v>175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5">
      <c r="A199" t="s">
        <v>175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5">
      <c r="A200" t="s">
        <v>175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5">
      <c r="A201" t="s">
        <v>175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5">
      <c r="A202" t="s">
        <v>177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5">
      <c r="A203" t="s">
        <v>177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5">
      <c r="A204" t="s">
        <v>177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5">
      <c r="A205" t="s">
        <v>177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5">
      <c r="A206" t="s">
        <v>177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5">
      <c r="A207" t="s">
        <v>177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5">
      <c r="A208" t="s">
        <v>177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5">
      <c r="A209" t="s">
        <v>177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5">
      <c r="A210" t="s">
        <v>177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5">
      <c r="A211" t="s">
        <v>177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5">
      <c r="A212" t="s">
        <v>177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5">
      <c r="A213" t="s">
        <v>177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5">
      <c r="A214" t="s">
        <v>177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5">
      <c r="A215" t="s">
        <v>177</v>
      </c>
      <c r="C215" t="s">
        <v>127</v>
      </c>
      <c r="D215" t="s">
        <v>253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5">
      <c r="A216" t="s">
        <v>177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5">
      <c r="A217" t="s">
        <v>177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5">
      <c r="A218" t="s">
        <v>177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5">
      <c r="A219" t="s">
        <v>177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5">
      <c r="A220" t="s">
        <v>177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5">
      <c r="A221" t="s">
        <v>177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5">
      <c r="A222" t="s">
        <v>177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5">
      <c r="A223" t="s">
        <v>177</v>
      </c>
      <c r="C223" t="s">
        <v>141</v>
      </c>
      <c r="D223" t="s">
        <v>254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5">
      <c r="A224" t="s">
        <v>177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5">
      <c r="A225" t="s">
        <v>177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5">
      <c r="A226" t="s">
        <v>177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5">
      <c r="A227" t="s">
        <v>177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5">
      <c r="A228" t="s">
        <v>177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5">
      <c r="A229" t="s">
        <v>177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5">
      <c r="A230" t="s">
        <v>177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5">
      <c r="A231" t="s">
        <v>178</v>
      </c>
      <c r="C231" t="s">
        <v>101</v>
      </c>
      <c r="D231" t="e">
        <f>VLOOKUP(C231, [3]Lookups!$N$5:$O$57, 2, FALSE)</f>
        <v>#N/A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5">
      <c r="A232" t="s">
        <v>178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5">
      <c r="A233" t="s">
        <v>178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5">
      <c r="A234" t="s">
        <v>178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5">
      <c r="A235" t="s">
        <v>178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5">
      <c r="A236" t="s">
        <v>178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5">
      <c r="A237" t="s">
        <v>178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5">
      <c r="A238" t="s">
        <v>178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5">
      <c r="A239" t="s">
        <v>178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5">
      <c r="A240" t="s">
        <v>178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5">
      <c r="A241" t="s">
        <v>178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5">
      <c r="A242" t="s">
        <v>178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5">
      <c r="A243" t="s">
        <v>178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5">
      <c r="A244" t="s">
        <v>178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5">
      <c r="A245" t="s">
        <v>178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5">
      <c r="A246" t="s">
        <v>178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5">
      <c r="A247" t="s">
        <v>178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5">
      <c r="A248" t="s">
        <v>179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5">
      <c r="A249" t="s">
        <v>179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5">
      <c r="A250" t="s">
        <v>179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5">
      <c r="A251" t="s">
        <v>179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5">
      <c r="A252" t="s">
        <v>179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5">
      <c r="A253" t="s">
        <v>179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5">
      <c r="A254" t="s">
        <v>179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5">
      <c r="A255" t="s">
        <v>179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5">
      <c r="A256" t="s">
        <v>179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5">
      <c r="A257" t="s">
        <v>179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5">
      <c r="A258" t="s">
        <v>179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5">
      <c r="A259" t="s">
        <v>179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5">
      <c r="A260" t="s">
        <v>180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5">
      <c r="A261" t="s">
        <v>180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5">
      <c r="A262" t="s">
        <v>180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5">
      <c r="A263" t="s">
        <v>180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5">
      <c r="A264" t="s">
        <v>180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5">
      <c r="A265" t="s">
        <v>180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5">
      <c r="A266" t="s">
        <v>180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5">
      <c r="A267" t="s">
        <v>180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5">
      <c r="A268" t="s">
        <v>180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5">
      <c r="A269" t="s">
        <v>180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5">
      <c r="A270" t="s">
        <v>180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5">
      <c r="A271" t="s">
        <v>180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5">
      <c r="A272" t="s">
        <v>180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5">
      <c r="A273" t="s">
        <v>180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5">
      <c r="A274" t="s">
        <v>180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5">
      <c r="A275" t="s">
        <v>180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5">
      <c r="A276" t="s">
        <v>180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5">
      <c r="A277" t="s">
        <v>180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5">
      <c r="A278" t="s">
        <v>180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M17"/>
  <sheetViews>
    <sheetView topLeftCell="A2" zoomScale="80" zoomScaleNormal="80" workbookViewId="0">
      <selection activeCell="E48" sqref="E47:E48"/>
    </sheetView>
  </sheetViews>
  <sheetFormatPr defaultRowHeight="14.5" x14ac:dyDescent="0.35"/>
  <cols>
    <col min="1" max="1" width="19.453125" bestFit="1" customWidth="1"/>
    <col min="2" max="2" width="16.1796875" bestFit="1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7" width="18.26953125" bestFit="1" customWidth="1"/>
    <col min="8" max="8" width="18.1796875" bestFit="1" customWidth="1"/>
  </cols>
  <sheetData>
    <row r="1" spans="1:13" x14ac:dyDescent="0.35">
      <c r="A1" t="s">
        <v>52</v>
      </c>
      <c r="B1" t="s">
        <v>53</v>
      </c>
      <c r="C1" t="s">
        <v>194</v>
      </c>
      <c r="D1" t="s">
        <v>195</v>
      </c>
      <c r="E1" t="s">
        <v>196</v>
      </c>
      <c r="F1" t="s">
        <v>197</v>
      </c>
      <c r="G1" t="s">
        <v>200</v>
      </c>
      <c r="H1" t="s">
        <v>201</v>
      </c>
      <c r="I1" t="s">
        <v>203</v>
      </c>
      <c r="J1" t="s">
        <v>202</v>
      </c>
      <c r="K1" t="s">
        <v>205</v>
      </c>
      <c r="L1" t="s">
        <v>207</v>
      </c>
      <c r="M1" t="s">
        <v>206</v>
      </c>
    </row>
    <row r="2" spans="1:13" x14ac:dyDescent="0.35">
      <c r="A2" t="s">
        <v>182</v>
      </c>
      <c r="B2" t="s">
        <v>204</v>
      </c>
      <c r="E2" s="8"/>
      <c r="F2" s="8"/>
      <c r="K2">
        <v>0.157</v>
      </c>
      <c r="L2">
        <v>4.0000000000000001E-3</v>
      </c>
      <c r="M2">
        <v>4.0000000000000001E-3</v>
      </c>
    </row>
    <row r="3" spans="1:13" x14ac:dyDescent="0.35">
      <c r="A3" t="s">
        <v>182</v>
      </c>
      <c r="B3" t="s">
        <v>192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</row>
    <row r="4" spans="1:13" x14ac:dyDescent="0.35">
      <c r="A4" t="s">
        <v>182</v>
      </c>
      <c r="B4" t="s">
        <v>193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</row>
    <row r="5" spans="1:13" x14ac:dyDescent="0.35">
      <c r="A5" t="s">
        <v>156</v>
      </c>
      <c r="B5" t="s">
        <v>204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</row>
    <row r="6" spans="1:13" x14ac:dyDescent="0.35">
      <c r="A6" t="s">
        <v>156</v>
      </c>
      <c r="B6" t="s">
        <v>192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</row>
    <row r="7" spans="1:13" x14ac:dyDescent="0.35">
      <c r="A7" t="s">
        <v>156</v>
      </c>
      <c r="B7" t="s">
        <v>193</v>
      </c>
      <c r="C7">
        <v>9.4999999999999998E-3</v>
      </c>
      <c r="D7">
        <v>4.3099999999999999E-2</v>
      </c>
      <c r="E7" s="8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</row>
    <row r="8" spans="1:13" x14ac:dyDescent="0.35">
      <c r="A8" t="s">
        <v>66</v>
      </c>
      <c r="B8" t="s">
        <v>192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</row>
    <row r="9" spans="1:13" x14ac:dyDescent="0.35">
      <c r="A9" t="s">
        <v>66</v>
      </c>
      <c r="B9" t="s">
        <v>193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</row>
    <row r="10" spans="1:13" x14ac:dyDescent="0.35">
      <c r="A10" t="s">
        <v>183</v>
      </c>
      <c r="B10" t="s">
        <v>192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</row>
    <row r="11" spans="1:13" x14ac:dyDescent="0.35">
      <c r="A11" t="s">
        <v>183</v>
      </c>
      <c r="B11" t="s">
        <v>193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</row>
    <row r="12" spans="1:13" x14ac:dyDescent="0.35">
      <c r="A12" t="s">
        <v>70</v>
      </c>
      <c r="B12" t="s">
        <v>193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</row>
    <row r="13" spans="1:13" x14ac:dyDescent="0.35">
      <c r="A13" t="s">
        <v>184</v>
      </c>
      <c r="B13" t="s">
        <v>193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</row>
    <row r="14" spans="1:13" x14ac:dyDescent="0.35">
      <c r="A14" t="s">
        <v>156</v>
      </c>
      <c r="B14" t="s">
        <v>181</v>
      </c>
      <c r="C14" t="s">
        <v>199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</row>
    <row r="15" spans="1:13" x14ac:dyDescent="0.35">
      <c r="A15" t="s">
        <v>182</v>
      </c>
      <c r="B15" t="s">
        <v>208</v>
      </c>
      <c r="E15" s="8"/>
      <c r="F15" s="8"/>
      <c r="K15">
        <v>1.6306666666666665</v>
      </c>
      <c r="L15">
        <v>4.1333333333333333E-2</v>
      </c>
      <c r="M15">
        <v>9.6666666666666672E-3</v>
      </c>
    </row>
    <row r="16" spans="1:13" x14ac:dyDescent="0.35">
      <c r="A16" t="s">
        <v>156</v>
      </c>
      <c r="B16" t="s">
        <v>175</v>
      </c>
      <c r="E16" s="8"/>
      <c r="F16" s="8"/>
      <c r="K16">
        <v>6.4742190669038084</v>
      </c>
      <c r="L16">
        <v>0.12907268133754085</v>
      </c>
      <c r="M16">
        <v>1.1639794377620125E-2</v>
      </c>
    </row>
    <row r="17" spans="1:13" x14ac:dyDescent="0.35">
      <c r="A17" t="s">
        <v>66</v>
      </c>
      <c r="B17" t="s">
        <v>175</v>
      </c>
      <c r="E17" s="8"/>
      <c r="F17" s="8"/>
      <c r="K17">
        <v>3.4541681773635462</v>
      </c>
      <c r="L17">
        <v>2.6133868004108773E-2</v>
      </c>
      <c r="M17">
        <v>1.1639794377620125E-2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sqref="A1:K39"/>
    </sheetView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52</v>
      </c>
      <c r="C1" t="s">
        <v>289</v>
      </c>
      <c r="D1" t="s">
        <v>290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</row>
    <row r="2" spans="1:11" x14ac:dyDescent="0.35">
      <c r="A2" t="s">
        <v>204</v>
      </c>
      <c r="B2" t="s">
        <v>55</v>
      </c>
      <c r="C2">
        <v>7.94</v>
      </c>
      <c r="D2" t="s">
        <v>298</v>
      </c>
      <c r="E2">
        <v>1</v>
      </c>
      <c r="F2" t="s">
        <v>299</v>
      </c>
      <c r="G2">
        <v>0.1275</v>
      </c>
      <c r="H2">
        <v>0.44700000000000001</v>
      </c>
      <c r="I2">
        <v>0</v>
      </c>
      <c r="J2">
        <v>0</v>
      </c>
      <c r="K2" t="s">
        <v>299</v>
      </c>
    </row>
    <row r="3" spans="1:11" x14ac:dyDescent="0.35">
      <c r="A3" t="s">
        <v>204</v>
      </c>
      <c r="B3" t="s">
        <v>56</v>
      </c>
      <c r="C3">
        <v>0</v>
      </c>
      <c r="D3" t="s">
        <v>299</v>
      </c>
      <c r="E3">
        <v>0</v>
      </c>
      <c r="F3" t="s">
        <v>299</v>
      </c>
      <c r="G3">
        <v>0</v>
      </c>
      <c r="H3">
        <v>0</v>
      </c>
      <c r="I3">
        <v>1</v>
      </c>
      <c r="J3">
        <v>34</v>
      </c>
      <c r="K3" t="s">
        <v>300</v>
      </c>
    </row>
    <row r="4" spans="1:11" x14ac:dyDescent="0.35">
      <c r="A4" t="s">
        <v>204</v>
      </c>
      <c r="B4" t="s">
        <v>57</v>
      </c>
      <c r="C4">
        <v>0</v>
      </c>
      <c r="D4" t="s">
        <v>299</v>
      </c>
      <c r="E4">
        <v>0</v>
      </c>
      <c r="F4" t="s">
        <v>299</v>
      </c>
      <c r="G4">
        <v>0</v>
      </c>
      <c r="H4">
        <v>0</v>
      </c>
      <c r="I4">
        <v>1</v>
      </c>
      <c r="J4">
        <v>34</v>
      </c>
      <c r="K4" t="s">
        <v>300</v>
      </c>
    </row>
    <row r="5" spans="1:11" x14ac:dyDescent="0.35">
      <c r="A5" t="s">
        <v>204</v>
      </c>
      <c r="B5" t="s">
        <v>58</v>
      </c>
      <c r="C5">
        <v>0</v>
      </c>
      <c r="D5" t="s">
        <v>299</v>
      </c>
      <c r="E5">
        <v>0</v>
      </c>
      <c r="F5" t="s">
        <v>299</v>
      </c>
      <c r="G5">
        <v>0</v>
      </c>
      <c r="H5">
        <v>0</v>
      </c>
      <c r="I5">
        <v>1</v>
      </c>
      <c r="J5">
        <v>34</v>
      </c>
      <c r="K5" t="s">
        <v>300</v>
      </c>
    </row>
    <row r="6" spans="1:11" x14ac:dyDescent="0.35">
      <c r="A6" t="s">
        <v>204</v>
      </c>
      <c r="B6" t="s">
        <v>59</v>
      </c>
      <c r="C6">
        <v>7.94</v>
      </c>
      <c r="D6" t="s">
        <v>298</v>
      </c>
      <c r="E6">
        <v>1</v>
      </c>
      <c r="F6" t="s">
        <v>299</v>
      </c>
      <c r="G6">
        <v>0.1275</v>
      </c>
      <c r="H6">
        <v>0.44700000000000001</v>
      </c>
      <c r="I6">
        <v>0</v>
      </c>
      <c r="J6">
        <v>0</v>
      </c>
      <c r="K6" t="s">
        <v>299</v>
      </c>
    </row>
    <row r="7" spans="1:11" x14ac:dyDescent="0.35">
      <c r="A7" t="s">
        <v>204</v>
      </c>
      <c r="B7" t="s">
        <v>60</v>
      </c>
      <c r="C7">
        <v>9.4</v>
      </c>
      <c r="D7" t="s">
        <v>298</v>
      </c>
      <c r="E7">
        <v>0.89300000000000002</v>
      </c>
      <c r="F7" t="s">
        <v>301</v>
      </c>
      <c r="G7">
        <v>0.755</v>
      </c>
      <c r="H7">
        <v>5.7215999999999996</v>
      </c>
      <c r="I7">
        <v>0</v>
      </c>
      <c r="J7">
        <v>0</v>
      </c>
      <c r="K7" t="s">
        <v>299</v>
      </c>
    </row>
    <row r="8" spans="1:11" x14ac:dyDescent="0.35">
      <c r="A8" t="s">
        <v>204</v>
      </c>
      <c r="B8" t="s">
        <v>61</v>
      </c>
      <c r="C8">
        <v>5.4399999999999997E-2</v>
      </c>
      <c r="D8" t="s">
        <v>302</v>
      </c>
      <c r="E8">
        <v>123.57</v>
      </c>
      <c r="F8" t="s">
        <v>303</v>
      </c>
      <c r="G8">
        <v>2.0249999999999999</v>
      </c>
      <c r="H8">
        <v>1.49</v>
      </c>
      <c r="I8">
        <v>0</v>
      </c>
      <c r="J8">
        <v>0</v>
      </c>
      <c r="K8" t="s">
        <v>299</v>
      </c>
    </row>
    <row r="9" spans="1:11" x14ac:dyDescent="0.35">
      <c r="A9" t="s">
        <v>204</v>
      </c>
      <c r="B9" t="s">
        <v>62</v>
      </c>
      <c r="C9">
        <v>7.94</v>
      </c>
      <c r="D9" t="s">
        <v>298</v>
      </c>
      <c r="E9">
        <v>1</v>
      </c>
      <c r="F9" t="s">
        <v>299</v>
      </c>
      <c r="G9">
        <v>0.1275</v>
      </c>
      <c r="H9">
        <v>0.44700000000000001</v>
      </c>
      <c r="I9">
        <v>0</v>
      </c>
      <c r="J9">
        <v>0</v>
      </c>
      <c r="K9" t="s">
        <v>299</v>
      </c>
    </row>
    <row r="10" spans="1:11" x14ac:dyDescent="0.35">
      <c r="A10" t="s">
        <v>204</v>
      </c>
      <c r="B10" t="s">
        <v>63</v>
      </c>
      <c r="C10">
        <v>7.94</v>
      </c>
      <c r="D10" t="s">
        <v>298</v>
      </c>
      <c r="E10">
        <v>1</v>
      </c>
      <c r="F10" t="s">
        <v>299</v>
      </c>
      <c r="G10">
        <v>0.1275</v>
      </c>
      <c r="H10">
        <v>0.44700000000000001</v>
      </c>
      <c r="I10">
        <v>1</v>
      </c>
      <c r="J10">
        <v>34</v>
      </c>
      <c r="K10" t="s">
        <v>300</v>
      </c>
    </row>
    <row r="11" spans="1:11" x14ac:dyDescent="0.35">
      <c r="A11" t="s">
        <v>204</v>
      </c>
      <c r="B11" t="s">
        <v>64</v>
      </c>
      <c r="C11">
        <v>7.94</v>
      </c>
      <c r="D11" t="s">
        <v>298</v>
      </c>
      <c r="E11">
        <v>1</v>
      </c>
      <c r="F11" t="s">
        <v>299</v>
      </c>
      <c r="G11">
        <v>0.1275</v>
      </c>
      <c r="H11">
        <v>0.44700000000000001</v>
      </c>
      <c r="I11">
        <v>1</v>
      </c>
      <c r="J11">
        <v>34</v>
      </c>
      <c r="K11" t="s">
        <v>300</v>
      </c>
    </row>
    <row r="12" spans="1:11" x14ac:dyDescent="0.35">
      <c r="A12" t="s">
        <v>204</v>
      </c>
      <c r="B12" t="s">
        <v>65</v>
      </c>
      <c r="C12">
        <v>0</v>
      </c>
      <c r="D12" t="s">
        <v>299</v>
      </c>
      <c r="E12">
        <v>0</v>
      </c>
      <c r="F12" t="s">
        <v>299</v>
      </c>
      <c r="G12">
        <v>0</v>
      </c>
      <c r="H12">
        <v>0</v>
      </c>
      <c r="I12">
        <v>0</v>
      </c>
      <c r="J12">
        <v>0</v>
      </c>
      <c r="K12" t="s">
        <v>299</v>
      </c>
    </row>
    <row r="13" spans="1:11" x14ac:dyDescent="0.35">
      <c r="A13" t="s">
        <v>192</v>
      </c>
      <c r="B13" t="s">
        <v>55</v>
      </c>
      <c r="C13">
        <v>7.94</v>
      </c>
      <c r="D13" t="s">
        <v>298</v>
      </c>
      <c r="E13">
        <v>1</v>
      </c>
      <c r="F13" t="s">
        <v>299</v>
      </c>
      <c r="G13">
        <v>0.2</v>
      </c>
      <c r="H13">
        <v>0.38739999999999997</v>
      </c>
      <c r="I13">
        <v>0</v>
      </c>
      <c r="J13">
        <v>0</v>
      </c>
      <c r="K13" t="s">
        <v>299</v>
      </c>
    </row>
    <row r="14" spans="1:11" x14ac:dyDescent="0.35">
      <c r="A14" t="s">
        <v>192</v>
      </c>
      <c r="B14" t="s">
        <v>56</v>
      </c>
      <c r="C14">
        <v>0</v>
      </c>
      <c r="D14" t="s">
        <v>299</v>
      </c>
      <c r="E14">
        <v>0</v>
      </c>
      <c r="F14" t="s">
        <v>299</v>
      </c>
      <c r="G14">
        <v>0</v>
      </c>
      <c r="H14">
        <v>0</v>
      </c>
      <c r="I14">
        <v>1</v>
      </c>
      <c r="J14">
        <v>34</v>
      </c>
      <c r="K14" t="s">
        <v>300</v>
      </c>
    </row>
    <row r="15" spans="1:11" x14ac:dyDescent="0.35">
      <c r="A15" t="s">
        <v>192</v>
      </c>
      <c r="B15" t="s">
        <v>57</v>
      </c>
      <c r="C15">
        <v>0</v>
      </c>
      <c r="D15" t="s">
        <v>299</v>
      </c>
      <c r="E15">
        <v>0</v>
      </c>
      <c r="F15" t="s">
        <v>299</v>
      </c>
      <c r="G15">
        <v>0</v>
      </c>
      <c r="H15">
        <v>0</v>
      </c>
      <c r="I15">
        <v>1</v>
      </c>
      <c r="J15">
        <v>34</v>
      </c>
      <c r="K15" t="s">
        <v>300</v>
      </c>
    </row>
    <row r="16" spans="1:11" x14ac:dyDescent="0.35">
      <c r="A16" t="s">
        <v>192</v>
      </c>
      <c r="B16" t="s">
        <v>58</v>
      </c>
      <c r="C16">
        <v>0</v>
      </c>
      <c r="D16" t="s">
        <v>299</v>
      </c>
      <c r="E16">
        <v>0</v>
      </c>
      <c r="F16" t="s">
        <v>299</v>
      </c>
      <c r="G16">
        <v>0</v>
      </c>
      <c r="H16">
        <v>0</v>
      </c>
      <c r="I16">
        <v>1</v>
      </c>
      <c r="J16">
        <v>34</v>
      </c>
      <c r="K16" t="s">
        <v>300</v>
      </c>
    </row>
    <row r="17" spans="1:11" x14ac:dyDescent="0.35">
      <c r="A17" t="s">
        <v>192</v>
      </c>
      <c r="B17" t="s">
        <v>59</v>
      </c>
      <c r="C17">
        <v>7.94</v>
      </c>
      <c r="D17" t="s">
        <v>298</v>
      </c>
      <c r="E17">
        <v>1</v>
      </c>
      <c r="F17" t="s">
        <v>299</v>
      </c>
      <c r="G17">
        <v>0.2</v>
      </c>
      <c r="H17">
        <v>1.49</v>
      </c>
      <c r="I17">
        <v>0</v>
      </c>
      <c r="J17">
        <v>0</v>
      </c>
      <c r="K17" t="s">
        <v>299</v>
      </c>
    </row>
    <row r="18" spans="1:11" x14ac:dyDescent="0.35">
      <c r="A18" t="s">
        <v>192</v>
      </c>
      <c r="B18" t="s">
        <v>60</v>
      </c>
      <c r="C18">
        <v>9.4</v>
      </c>
      <c r="D18" t="s">
        <v>298</v>
      </c>
      <c r="E18">
        <v>0.89300000000000002</v>
      </c>
      <c r="F18" t="s">
        <v>301</v>
      </c>
      <c r="G18">
        <v>0.72500000000000009</v>
      </c>
      <c r="H18">
        <v>6.3771999999999993</v>
      </c>
      <c r="I18">
        <v>0</v>
      </c>
      <c r="J18">
        <v>0</v>
      </c>
      <c r="K18" t="s">
        <v>299</v>
      </c>
    </row>
    <row r="19" spans="1:11" x14ac:dyDescent="0.35">
      <c r="A19" t="s">
        <v>192</v>
      </c>
      <c r="B19" t="s">
        <v>61</v>
      </c>
      <c r="C19">
        <v>5.4399999999999997E-2</v>
      </c>
      <c r="D19" t="s">
        <v>302</v>
      </c>
      <c r="E19">
        <v>123.57</v>
      </c>
      <c r="F19" t="s">
        <v>303</v>
      </c>
      <c r="G19">
        <v>2.0249999999999999</v>
      </c>
      <c r="H19">
        <v>1.49</v>
      </c>
      <c r="I19">
        <v>0</v>
      </c>
      <c r="J19">
        <v>0</v>
      </c>
      <c r="K19" t="s">
        <v>299</v>
      </c>
    </row>
    <row r="20" spans="1:11" x14ac:dyDescent="0.35">
      <c r="A20" t="s">
        <v>192</v>
      </c>
      <c r="B20" t="s">
        <v>62</v>
      </c>
      <c r="C20">
        <v>7.94</v>
      </c>
      <c r="D20" t="s">
        <v>298</v>
      </c>
      <c r="E20">
        <v>1</v>
      </c>
      <c r="F20" t="s">
        <v>299</v>
      </c>
      <c r="G20">
        <v>0.2</v>
      </c>
      <c r="H20">
        <v>0.38739999999999997</v>
      </c>
      <c r="I20">
        <v>0</v>
      </c>
      <c r="J20">
        <v>0</v>
      </c>
      <c r="K20" t="s">
        <v>299</v>
      </c>
    </row>
    <row r="21" spans="1:11" x14ac:dyDescent="0.35">
      <c r="A21" t="s">
        <v>192</v>
      </c>
      <c r="B21" t="s">
        <v>63</v>
      </c>
      <c r="C21">
        <v>7.94</v>
      </c>
      <c r="D21" t="s">
        <v>298</v>
      </c>
      <c r="E21">
        <v>1</v>
      </c>
      <c r="F21" t="s">
        <v>299</v>
      </c>
      <c r="G21">
        <v>0.2</v>
      </c>
      <c r="H21">
        <v>0.38739999999999997</v>
      </c>
      <c r="I21">
        <v>1</v>
      </c>
      <c r="J21">
        <v>34</v>
      </c>
      <c r="K21" t="s">
        <v>300</v>
      </c>
    </row>
    <row r="22" spans="1:11" x14ac:dyDescent="0.35">
      <c r="A22" t="s">
        <v>192</v>
      </c>
      <c r="B22" t="s">
        <v>64</v>
      </c>
      <c r="C22">
        <v>7.94</v>
      </c>
      <c r="D22" t="s">
        <v>298</v>
      </c>
      <c r="E22">
        <v>1</v>
      </c>
      <c r="F22" t="s">
        <v>299</v>
      </c>
      <c r="G22">
        <v>0.2</v>
      </c>
      <c r="H22">
        <v>0.38739999999999997</v>
      </c>
      <c r="I22">
        <v>1</v>
      </c>
      <c r="J22">
        <v>34</v>
      </c>
      <c r="K22" t="s">
        <v>300</v>
      </c>
    </row>
    <row r="23" spans="1:11" x14ac:dyDescent="0.35">
      <c r="A23" t="s">
        <v>192</v>
      </c>
      <c r="B23" t="s">
        <v>65</v>
      </c>
      <c r="C23">
        <v>0</v>
      </c>
      <c r="D23" t="s">
        <v>299</v>
      </c>
      <c r="E23">
        <v>0</v>
      </c>
      <c r="F23" t="s">
        <v>299</v>
      </c>
      <c r="G23">
        <v>0</v>
      </c>
      <c r="H23">
        <v>0</v>
      </c>
      <c r="I23">
        <v>0</v>
      </c>
      <c r="J23">
        <v>0</v>
      </c>
      <c r="K23" t="s">
        <v>299</v>
      </c>
    </row>
    <row r="24" spans="1:11" x14ac:dyDescent="0.35">
      <c r="A24" t="s">
        <v>222</v>
      </c>
      <c r="B24" t="s">
        <v>55</v>
      </c>
      <c r="C24">
        <v>7.94</v>
      </c>
      <c r="D24" t="s">
        <v>298</v>
      </c>
      <c r="E24">
        <v>1</v>
      </c>
      <c r="F24" t="s">
        <v>299</v>
      </c>
      <c r="G24">
        <v>0.82500000000000007</v>
      </c>
      <c r="H24">
        <v>2.7118000000000002</v>
      </c>
      <c r="I24">
        <v>0</v>
      </c>
      <c r="J24">
        <v>0</v>
      </c>
      <c r="K24" t="s">
        <v>299</v>
      </c>
    </row>
    <row r="25" spans="1:11" x14ac:dyDescent="0.35">
      <c r="A25" t="s">
        <v>222</v>
      </c>
      <c r="B25" t="s">
        <v>60</v>
      </c>
      <c r="C25">
        <v>9.4</v>
      </c>
      <c r="D25" t="s">
        <v>298</v>
      </c>
      <c r="E25">
        <v>0.89300000000000002</v>
      </c>
      <c r="F25" t="s">
        <v>301</v>
      </c>
      <c r="G25">
        <v>0.23749999999999999</v>
      </c>
      <c r="H25">
        <v>12.8438</v>
      </c>
      <c r="I25">
        <v>0</v>
      </c>
      <c r="J25">
        <v>0</v>
      </c>
      <c r="K25" t="s">
        <v>299</v>
      </c>
    </row>
    <row r="26" spans="1:11" x14ac:dyDescent="0.35">
      <c r="A26" t="s">
        <v>222</v>
      </c>
      <c r="B26" t="s">
        <v>66</v>
      </c>
      <c r="C26">
        <v>5.4399999999999997E-2</v>
      </c>
      <c r="D26" t="s">
        <v>302</v>
      </c>
      <c r="E26">
        <v>123.57</v>
      </c>
      <c r="F26" t="s">
        <v>303</v>
      </c>
      <c r="G26">
        <v>105</v>
      </c>
      <c r="H26">
        <v>0.29799999999999999</v>
      </c>
      <c r="I26">
        <v>0</v>
      </c>
      <c r="J26">
        <v>0</v>
      </c>
      <c r="K26" t="s">
        <v>299</v>
      </c>
    </row>
    <row r="27" spans="1:11" x14ac:dyDescent="0.35">
      <c r="A27" t="s">
        <v>222</v>
      </c>
      <c r="B27" t="s">
        <v>59</v>
      </c>
      <c r="C27">
        <v>7.94</v>
      </c>
      <c r="D27" t="s">
        <v>298</v>
      </c>
      <c r="E27">
        <v>1</v>
      </c>
      <c r="F27" t="s">
        <v>299</v>
      </c>
      <c r="G27">
        <v>1.875</v>
      </c>
      <c r="H27">
        <v>8.3439999999999994</v>
      </c>
      <c r="I27">
        <v>0</v>
      </c>
      <c r="J27">
        <v>0</v>
      </c>
      <c r="K27" t="s">
        <v>299</v>
      </c>
    </row>
    <row r="28" spans="1:11" x14ac:dyDescent="0.35">
      <c r="A28" t="s">
        <v>222</v>
      </c>
      <c r="B28" t="s">
        <v>67</v>
      </c>
      <c r="C28">
        <v>0</v>
      </c>
      <c r="D28" t="s">
        <v>299</v>
      </c>
      <c r="E28">
        <v>0</v>
      </c>
      <c r="F28" t="s">
        <v>299</v>
      </c>
      <c r="G28">
        <v>0</v>
      </c>
      <c r="H28">
        <v>0</v>
      </c>
      <c r="I28">
        <v>1</v>
      </c>
      <c r="J28">
        <v>34</v>
      </c>
      <c r="K28" t="s">
        <v>300</v>
      </c>
    </row>
    <row r="29" spans="1:11" x14ac:dyDescent="0.35">
      <c r="A29" t="s">
        <v>222</v>
      </c>
      <c r="B29" t="s">
        <v>69</v>
      </c>
      <c r="C29">
        <v>7.94</v>
      </c>
      <c r="D29" t="s">
        <v>298</v>
      </c>
      <c r="E29">
        <v>1</v>
      </c>
      <c r="F29" t="s">
        <v>299</v>
      </c>
      <c r="G29">
        <v>0.82500000000000007</v>
      </c>
      <c r="H29">
        <v>2.7118000000000002</v>
      </c>
      <c r="I29">
        <v>1</v>
      </c>
      <c r="J29">
        <v>34</v>
      </c>
      <c r="K29" t="s">
        <v>300</v>
      </c>
    </row>
    <row r="30" spans="1:11" x14ac:dyDescent="0.35">
      <c r="A30" t="s">
        <v>222</v>
      </c>
      <c r="B30" t="s">
        <v>68</v>
      </c>
      <c r="C30">
        <v>9.4</v>
      </c>
      <c r="D30" t="s">
        <v>298</v>
      </c>
      <c r="E30">
        <v>0.89300000000000002</v>
      </c>
      <c r="F30" t="s">
        <v>301</v>
      </c>
      <c r="G30">
        <v>0.23749999999999999</v>
      </c>
      <c r="H30">
        <v>12.8438</v>
      </c>
      <c r="I30">
        <v>1</v>
      </c>
      <c r="J30">
        <v>34</v>
      </c>
      <c r="K30" t="s">
        <v>300</v>
      </c>
    </row>
    <row r="31" spans="1:11" x14ac:dyDescent="0.35">
      <c r="A31" t="s">
        <v>222</v>
      </c>
      <c r="B31" t="s">
        <v>65</v>
      </c>
      <c r="C31">
        <v>0</v>
      </c>
      <c r="D31" t="s">
        <v>299</v>
      </c>
      <c r="E31">
        <v>0</v>
      </c>
      <c r="F31" t="s">
        <v>299</v>
      </c>
      <c r="G31">
        <v>0</v>
      </c>
      <c r="H31">
        <v>0</v>
      </c>
      <c r="I31">
        <v>0</v>
      </c>
      <c r="J31">
        <v>0</v>
      </c>
      <c r="K31" t="s">
        <v>299</v>
      </c>
    </row>
    <row r="32" spans="1:11" x14ac:dyDescent="0.35">
      <c r="A32" t="s">
        <v>193</v>
      </c>
      <c r="B32" t="s">
        <v>55</v>
      </c>
      <c r="C32">
        <v>7.94</v>
      </c>
      <c r="D32" t="s">
        <v>298</v>
      </c>
      <c r="E32">
        <v>1</v>
      </c>
      <c r="F32" t="s">
        <v>299</v>
      </c>
      <c r="G32">
        <v>0.82500000000000007</v>
      </c>
      <c r="H32">
        <v>2.7118000000000002</v>
      </c>
      <c r="I32">
        <v>0</v>
      </c>
      <c r="J32">
        <v>0</v>
      </c>
      <c r="K32" t="s">
        <v>299</v>
      </c>
    </row>
    <row r="33" spans="1:11" x14ac:dyDescent="0.35">
      <c r="A33" t="s">
        <v>193</v>
      </c>
      <c r="B33" t="s">
        <v>60</v>
      </c>
      <c r="C33">
        <v>9.4</v>
      </c>
      <c r="D33" t="s">
        <v>298</v>
      </c>
      <c r="E33">
        <v>0.89300000000000002</v>
      </c>
      <c r="F33" t="s">
        <v>301</v>
      </c>
      <c r="G33">
        <v>0.23749999999999999</v>
      </c>
      <c r="H33">
        <v>12.8438</v>
      </c>
      <c r="I33">
        <v>0</v>
      </c>
      <c r="J33">
        <v>0</v>
      </c>
      <c r="K33" t="s">
        <v>299</v>
      </c>
    </row>
    <row r="34" spans="1:11" x14ac:dyDescent="0.35">
      <c r="A34" t="s">
        <v>193</v>
      </c>
      <c r="B34" t="s">
        <v>66</v>
      </c>
      <c r="C34">
        <v>5.4399999999999997E-2</v>
      </c>
      <c r="D34" t="s">
        <v>302</v>
      </c>
      <c r="E34">
        <v>123.57</v>
      </c>
      <c r="F34" t="s">
        <v>303</v>
      </c>
      <c r="G34">
        <v>105</v>
      </c>
      <c r="H34">
        <v>0.29799999999999999</v>
      </c>
      <c r="I34">
        <v>0</v>
      </c>
      <c r="J34">
        <v>0</v>
      </c>
      <c r="K34" t="s">
        <v>299</v>
      </c>
    </row>
    <row r="35" spans="1:11" x14ac:dyDescent="0.35">
      <c r="A35" t="s">
        <v>193</v>
      </c>
      <c r="B35" t="s">
        <v>70</v>
      </c>
      <c r="C35">
        <v>5.72</v>
      </c>
      <c r="D35" t="s">
        <v>298</v>
      </c>
      <c r="E35">
        <v>1.3513513513513513</v>
      </c>
      <c r="F35" t="s">
        <v>304</v>
      </c>
      <c r="G35">
        <v>0.35000000000000003</v>
      </c>
      <c r="H35">
        <v>10.132000000000001</v>
      </c>
      <c r="I35">
        <v>0</v>
      </c>
      <c r="J35">
        <v>0</v>
      </c>
      <c r="K35" t="s">
        <v>299</v>
      </c>
    </row>
    <row r="36" spans="1:11" x14ac:dyDescent="0.35">
      <c r="A36" t="s">
        <v>193</v>
      </c>
      <c r="B36" t="s">
        <v>67</v>
      </c>
      <c r="C36">
        <v>0</v>
      </c>
      <c r="D36" t="s">
        <v>299</v>
      </c>
      <c r="E36">
        <v>0</v>
      </c>
      <c r="F36" t="s">
        <v>299</v>
      </c>
      <c r="G36">
        <v>0</v>
      </c>
      <c r="H36">
        <v>0</v>
      </c>
      <c r="I36">
        <v>1</v>
      </c>
      <c r="J36">
        <v>34</v>
      </c>
      <c r="K36" t="s">
        <v>300</v>
      </c>
    </row>
    <row r="37" spans="1:11" x14ac:dyDescent="0.35">
      <c r="A37" t="s">
        <v>193</v>
      </c>
      <c r="B37" t="s">
        <v>69</v>
      </c>
      <c r="C37">
        <v>7.94</v>
      </c>
      <c r="D37" t="s">
        <v>298</v>
      </c>
      <c r="E37">
        <v>1</v>
      </c>
      <c r="F37" t="s">
        <v>299</v>
      </c>
      <c r="G37">
        <v>0.82500000000000007</v>
      </c>
      <c r="H37">
        <v>2.7118000000000002</v>
      </c>
      <c r="I37">
        <v>1</v>
      </c>
      <c r="J37">
        <v>34</v>
      </c>
      <c r="K37" t="s">
        <v>300</v>
      </c>
    </row>
    <row r="38" spans="1:11" x14ac:dyDescent="0.35">
      <c r="A38" t="s">
        <v>193</v>
      </c>
      <c r="B38" t="s">
        <v>68</v>
      </c>
      <c r="C38">
        <v>9.4</v>
      </c>
      <c r="D38" t="s">
        <v>298</v>
      </c>
      <c r="E38">
        <v>0.89300000000000002</v>
      </c>
      <c r="F38" t="s">
        <v>301</v>
      </c>
      <c r="G38">
        <v>0.23749999999999999</v>
      </c>
      <c r="H38">
        <v>12.8438</v>
      </c>
      <c r="I38">
        <v>1</v>
      </c>
      <c r="J38">
        <v>34</v>
      </c>
      <c r="K38" t="s">
        <v>300</v>
      </c>
    </row>
    <row r="39" spans="1:11" x14ac:dyDescent="0.35">
      <c r="A39" t="s">
        <v>193</v>
      </c>
      <c r="B39" t="s">
        <v>65</v>
      </c>
      <c r="C39">
        <v>0</v>
      </c>
      <c r="D39" t="s">
        <v>299</v>
      </c>
      <c r="E39">
        <v>0</v>
      </c>
      <c r="F39" t="s">
        <v>299</v>
      </c>
      <c r="G39">
        <v>0</v>
      </c>
      <c r="H39">
        <v>0</v>
      </c>
      <c r="I39">
        <v>0</v>
      </c>
      <c r="J39">
        <v>0</v>
      </c>
      <c r="K39" t="s">
        <v>299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185</v>
      </c>
      <c r="B1" t="s">
        <v>186</v>
      </c>
    </row>
    <row r="2" spans="1:2" x14ac:dyDescent="0.35">
      <c r="A2" t="s">
        <v>187</v>
      </c>
      <c r="B2">
        <v>25</v>
      </c>
    </row>
    <row r="3" spans="1:2" x14ac:dyDescent="0.35">
      <c r="A3" t="s">
        <v>198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AD81DBB-41E8-4D5D-9C32-6323A696B3D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VMT_State_Allocation</vt:lpstr>
      <vt:lpstr>State_Prices</vt:lpstr>
      <vt:lpstr>Bike_Ped</vt:lpstr>
      <vt:lpstr>Transit_Costs</vt:lpstr>
      <vt:lpstr>NTD_Service</vt:lpstr>
      <vt:lpstr>Fuel_Factors</vt:lpstr>
      <vt:lpstr>Fuel_Factors_Revision</vt:lpstr>
      <vt:lpstr>Warming_Potential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2023-12-21T14:32:28Z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