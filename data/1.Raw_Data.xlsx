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86" documentId="13_ncr:1_{4409B169-60DF-4627-92F1-3418E514A04E}" xr6:coauthVersionLast="47" xr6:coauthVersionMax="47" xr10:uidLastSave="{8CC7FF38-5E59-438E-859C-B02C2D7B3EF2}"/>
  <bookViews>
    <workbookView xWindow="270" yWindow="-16320" windowWidth="29040" windowHeight="16440" tabRatio="955" firstSheet="14" activeTab="20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Freight_Rail_Data" sheetId="27" r:id="rId17"/>
    <sheet name="Warming_Potential" sheetId="17" r:id="rId18"/>
    <sheet name="EV_Forecast" sheetId="24" r:id="rId19"/>
    <sheet name="Public_Transit_Mileage" sheetId="29" r:id="rId20"/>
    <sheet name="Passenger_Rail_State_Mileage" sheetId="25" r:id="rId21"/>
    <sheet name="Passenger_Rail_FuelFactors" sheetId="26" r:id="rId22"/>
  </sheets>
  <externalReferences>
    <externalReference r:id="rId23"/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<sst xmlns="http://schemas.openxmlformats.org/spreadsheetml/2006/main" count="8744" uniqueCount="338">
  <si>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</si>
  <si>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</si>
  <si>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</si>
  <si>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</si>
  <si>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</si>
  <si>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</si>
  <si>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</si>
  <si>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</si>
  <si>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</si>
  <si>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</si>
  <si>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</si>
  <si>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</si>
  <si>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</si>
  <si>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</si>
  <si>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</si>
  <si>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</si>
  <si>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</si>
  <si>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</si>
  <si>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</si>
  <si>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</si>
  <si>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</si>
  <si>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</si>
  <si>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</si>
  <si>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</si>
  <si>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</si>
  <si>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</si>
  <si>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</si>
  <si>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</si>
  <si>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</si>
  <si>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</si>
  <si>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</si>
  <si>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</si>
  <si>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</si>
  <si>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</si>
  <si>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</si>
  <si>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</si>
  <si>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</si>
  <si>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</si>
  <si>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</si>
  <si>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</si>
  <si>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</si>
  <si>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</si>
  <si>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</si>
  <si>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</si>
  <si>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</si>
  <si>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</si>
  <si>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</si>
  <si>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</si>
  <si>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</si>
  <si>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</si>
  <si>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</si>
  <si>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</si>
  <si>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</si>
  <si>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</si>
  <si>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</si>
  <si>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</si>
  <si>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</si>
  <si>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</si>
  <si>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</si>
  <si>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</si>
  <si>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</si>
  <si>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</si>
  <si>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</si>
  <si>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</si>
  <si>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</si>
  <si>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</si>
  <si>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</si>
  <si>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</si>
  <si>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</si>
  <si>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</si>
  <si>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</si>
  <si>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</si>
  <si>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</si>
  <si>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</si>
  <si>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</si>
  <si>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</si>
  <si>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</si>
  <si>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</si>
  <si>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</si>
  <si>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</si>
  <si>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</si>
  <si>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</si>
  <si>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</si>
  <si>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</si>
  <si>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</si>
  <si>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</si>
  <si>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</si>
  <si>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</si>
  <si>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</si>
  <si>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</si>
  <si>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</si>
  <si>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</si>
  <si>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</si>
  <si>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</si>
  <si>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</si>
  <si>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</si>
  <si>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</si>
  <si>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</si>
  <si>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</si>
  <si>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</si>
  <si>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</si>
  <si>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</si>
  <si>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</si>
  <si>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</si>
  <si>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</si>
  <si>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</si>
  <si>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</si>
  <si>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</si>
  <si>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</si>
  <si>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</si>
  <si>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</si>
  <si>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</si>
  <si>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</si>
  <si>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</si>
  <si>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</si>
  <si>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</si>
  <si>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</si>
  <si>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</si>
  <si>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</si>
  <si>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</si>
  <si>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</si>
  <si>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</si>
  <si>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</si>
  <si>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</si>
  <si>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</si>
  <si>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</si>
  <si>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</si>
  <si>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</si>
  <si>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</si>
  <si>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</si>
  <si>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</si>
  <si>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</si>
  <si>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</si>
  <si>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</si>
  <si>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</si>
  <si>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</si>
  <si>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</si>
  <si>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</si>
  <si>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</si>
  <si>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</si>
  <si>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</si>
  <si>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</si>
  <si>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</si>
  <si>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</si>
  <si>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</si>
  <si>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</si>
  <si>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</si>
  <si>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</si>
  <si>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</si>
  <si>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</si>
  <si>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</si>
  <si>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</si>
  <si>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</si>
  <si>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</si>
  <si>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</si>
  <si>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</si>
  <si>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</si>
  <si>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</si>
  <si>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</si>
  <si>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</si>
  <si>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</si>
  <si>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</si>
  <si>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</si>
  <si>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</si>
  <si>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</si>
  <si>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</si>
  <si>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</si>
  <si>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</si>
  <si>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</si>
  <si>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</si>
  <si>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</si>
  <si>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</si>
  <si>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</si>
  <si>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</si>
  <si>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</si>
  <si>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</si>
  <si>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</si>
  <si>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</si>
  <si>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</si>
  <si>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</si>
  <si>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</si>
  <si>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</si>
  <si>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</si>
  <si>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</si>
  <si>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</si>
  <si>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</si>
  <si>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</si>
  <si>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</si>
  <si>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</si>
  <si>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</si>
  <si>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</si>
  <si>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</si>
  <si>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</si>
  <si>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</si>
  <si>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</si>
  <si>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</si>
  <si>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</si>
  <si>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</si>
  <si>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</si>
  <si>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</si>
  <si>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</si>
  <si>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</si>
  <si>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</si>
  <si>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</si>
  <si>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</si>
  <si>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</si>
  <si>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</si>
  <si>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</si>
  <si>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</si>
  <si>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</si>
  <si>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</si>
  <si>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</si>
  <si>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</si>
  <si>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</si>
  <si>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</si>
  <si>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</si>
  <si>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</si>
  <si>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</si>
  <si>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</si>
  <si>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</si>
  <si>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</si>
  <si>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</si>
  <si>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</si>
  <si>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</si>
  <si>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</si>
  <si>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</si>
  <si>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</si>
  <si>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</si>
  <si>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</si>
  <si>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</si>
  <si>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</si>
  <si>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</si>
  <si>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</si>
  <si>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</si>
  <si>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</si>
  <si>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</si>
  <si>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</si>
  <si>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</si>
  <si>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</si>
  <si>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</si>
  <si>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</si>
  <si>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</si>
  <si>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</si>
  <si>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</si>
  <si>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</si>
  <si>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</si>
  <si>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</si>
  <si>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</si>
  <si>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</si>
  <si>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</si>
  <si>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</si>
  <si>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</si>
  <si>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</si>
  <si>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</si>
  <si>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</si>
  <si>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</si>
  <si>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</si>
  <si>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</si>
  <si>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</si>
  <si>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</si>
  <si>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</si>
  <si>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</si>
  <si>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</si>
  <si>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</si>
  <si>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</si>
  <si>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</si>
  <si>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</si>
  <si>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</si>
  <si>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</si>
  <si>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</si>
  <si>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</si>
  <si>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</si>
  <si>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</si>
  <si>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</si>
  <si>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</si>
  <si>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</si>
  <si>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</si>
  <si>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</si>
  <si>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</si>
  <si>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</si>
  <si>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</si>
  <si>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</si>
  <si>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</si>
  <si>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</si>
  <si>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</si>
  <si>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</si>
  <si>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</si>
  <si>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</si>
  <si>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</si>
  <si>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</si>
  <si>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</si>
  <si>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</si>
  <si>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</si>
  <si>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</si>
  <si>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</si>
  <si>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</si>
  <si>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</si>
  <si>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</si>
  <si>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</si>
  <si>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</si>
  <si>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</si>
  <si>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</si>
  <si>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</si>
  <si>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</si>
  <si>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</si>
  <si>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</si>
  <si>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</si>
  <si>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</si>
  <si>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</si>
  <si>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</si>
  <si>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</si>
  <si>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</si>
  <si>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</si>
  <si>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</si>
  <si>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</si>
  <si>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</si>
  <si>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</si>
  <si>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</si>
  <si>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</si>
  <si>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</si>
  <si>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</si>
  <si>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</si>
  <si>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</si>
  <si>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</si>
  <si>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</si>
  <si>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</si>
  <si>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</si>
  <si>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</si>
  <si>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</si>
  <si>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</si>
  <si>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</si>
  <si>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</si>
  <si>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</si>
  <si>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</si>
  <si>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</si>
  <si>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mb_revmiles</t>
  </si>
  <si>
    <t>dr_revmiles</t>
  </si>
  <si>
    <t>cb_revmiles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</si>
</sst>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3" fontId="0" fillId="4" borderId="0" xfId="0" applyNumberFormat="1" applyFill="1"/>
    <xf numFmtId="0" fontId="0" fillId="3" borderId="0" xfId="0" applyFill="1" applyAlignment="1">
      <alignment horizontal="center"/>
    </xf>
    <xf numFmtId="0" fontId="0" fillId="0" borderId="0" xfId="0" applyFill="1"/>
    <xf numFmtId="3" fontId="0" fillId="0" borderId="0" xfId="0" applyNumberFormat="1" applyFill="1"/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5"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4" dataDxfId="83">
  <autoFilter ref="A1:C154" xr:uid="{ADE72E7A-0DB0-4383-8DA6-330004A96BD0}"/>
  <tableColumns count="3">
    <tableColumn id="1" xr3:uid="{F73397ED-6858-4813-B93E-2A498EEFD6E3}" name="state" dataDxfId="82"/>
    <tableColumn id="2" xr3:uid="{EAD47E40-4750-4C1A-A537-F6E5EF6A8690}" name="year" dataDxfId="81"/>
    <tableColumn id="3" xr3:uid="{4E1E205E-B487-4A34-A35C-C243A187E68E}" name="population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9" dataDxfId="78">
  <autoFilter ref="A1:D1141" xr:uid="{582D4DAA-0A5B-4D25-ABF1-823CB17290ED}"/>
  <tableColumns count="4">
    <tableColumn id="2" xr3:uid="{A9C8722C-57C5-40ED-81D2-F9D452B57E3E}" name="veh_type" dataDxfId="77"/>
    <tableColumn id="1" xr3:uid="{3C2D67BB-3546-42C7-9841-AE339E1104FD}" name="veh_subtype" dataDxfId="76"/>
    <tableColumn id="3" xr3:uid="{0DD6F3F8-56C6-4110-A8A5-7C8CD018E715}" name="year" dataDxfId="75"/>
    <tableColumn id="4" xr3:uid="{753CDE3B-EF5E-47F8-951F-924B91E92EDB}" name="mpg_gasoline_eq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3"/>
    <tableColumn id="3" xr3:uid="{5494E6D8-5555-4D07-A136-D2F095F89A0D}" name="2021" dataDxfId="72"/>
    <tableColumn id="4" xr3:uid="{CB4CDFAB-90E2-419E-8EE6-8088731A718B}" name="2022" dataDxfId="71"/>
    <tableColumn id="5" xr3:uid="{BC7EE75F-AFCD-4529-B49D-65B37D50E18B}" name="2023" dataDxfId="70"/>
    <tableColumn id="6" xr3:uid="{2623A818-04D3-4CB7-9536-20CF33F0B445}" name="2024" dataDxfId="69"/>
    <tableColumn id="7" xr3:uid="{C39B458D-DADB-4DC8-8072-5961431A9CC2}" name="2025" dataDxfId="68"/>
    <tableColumn id="8" xr3:uid="{948F76BF-D2B4-4121-B3D8-5EDC8BE89BBD}" name="2026" dataDxfId="67"/>
    <tableColumn id="9" xr3:uid="{86DCCC54-C9B2-482B-A28E-FB136851756A}" name="2027" dataDxfId="66"/>
    <tableColumn id="10" xr3:uid="{1F24E1A2-102B-4F50-B2EF-531364FD506A}" name="2028" dataDxfId="65"/>
    <tableColumn id="11" xr3:uid="{B5BD79DC-374C-41E2-BBE0-C4FA5CA7266B}" name="2029" dataDxfId="64"/>
    <tableColumn id="12" xr3:uid="{6040F6C0-728F-4F56-82FA-8F335B346240}" name="2030" dataDxfId="63"/>
    <tableColumn id="13" xr3:uid="{777D8B44-0C5D-412C-83B4-00F03632ECF9}" name="2031" dataDxfId="62"/>
    <tableColumn id="14" xr3:uid="{9EC73B4B-E136-4AB8-B77D-C1FE60128A72}" name="2032" dataDxfId="61"/>
    <tableColumn id="15" xr3:uid="{87DBED95-4E40-4F35-AC1E-B196183A1426}" name="2033" dataDxfId="60"/>
    <tableColumn id="16" xr3:uid="{F1439027-BBF2-49AA-A591-3632F24804A1}" name="2034" dataDxfId="59"/>
    <tableColumn id="17" xr3:uid="{F7968730-192F-404F-9B45-308DDE081907}" name="2035" dataDxfId="58"/>
    <tableColumn id="18" xr3:uid="{7A7C733C-F5A6-49A9-BFF2-A495AEEB66C2}" name="2036" dataDxfId="57"/>
    <tableColumn id="19" xr3:uid="{58026119-8B8F-4A3D-83CA-4C8B006005FF}" name="2037" dataDxfId="56"/>
    <tableColumn id="20" xr3:uid="{0DC2964A-45E1-4675-9A45-6F69DA155672}" name="2038" dataDxfId="55"/>
    <tableColumn id="21" xr3:uid="{84BBC27E-E152-41D2-9036-587EF7DB9FF2}" name="2039" dataDxfId="54"/>
    <tableColumn id="22" xr3:uid="{3807A9C4-C050-4A3A-952A-5859AD2AE874}" name="2040" dataDxfId="53"/>
    <tableColumn id="23" xr3:uid="{FF9A5B48-C7D9-4B91-84E5-63297F2C4FEC}" name="2041" dataDxfId="52"/>
    <tableColumn id="24" xr3:uid="{8B5085CD-A302-4A03-B5EA-F22DABEA8C34}" name="2042" dataDxfId="51"/>
    <tableColumn id="25" xr3:uid="{136F35CC-46CA-4CB2-AA82-25188F53F90B}" name="2043" dataDxfId="50"/>
    <tableColumn id="26" xr3:uid="{D9C87554-6CC8-4B3B-873C-8198436EB206}" name="2044" dataDxfId="49"/>
    <tableColumn id="27" xr3:uid="{A5A1C6D2-F476-404B-8688-89130BE3DF0D}" name="2045" dataDxfId="48"/>
    <tableColumn id="28" xr3:uid="{88296D41-DBE1-4E61-96BF-AEF8FC13BE35}" name="2046" dataDxfId="47"/>
    <tableColumn id="29" xr3:uid="{CE07A51A-2B10-4EA2-ACE8-6F4BE2476DCE}" name="2047" dataDxfId="46"/>
    <tableColumn id="30" xr3:uid="{1DAC48BA-1924-498D-8FC3-861C248885FC}" name="2048" dataDxfId="45"/>
    <tableColumn id="31" xr3:uid="{B688E9DA-A549-42F4-AB8B-FDE0EFCB9009}" name="2049" dataDxfId="44"/>
    <tableColumn id="32" xr3:uid="{24389340-B3AB-4C24-8D9C-A0BD7675F042}" name="2050" dataDxfId="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42" dataDxfId="41">
  <autoFilter ref="A1:C125" xr:uid="{3CAC199F-1E44-400D-AE49-2DF031458F28}"/>
  <tableColumns count="3">
    <tableColumn id="1" xr3:uid="{51DE3611-329C-41B0-A4DB-52AE83C97AC8}" name="veh_type" dataDxfId="40"/>
    <tableColumn id="2" xr3:uid="{591F901E-48BF-4AA2-83C5-3ABFD077C4E7}" name="year" dataDxfId="39"/>
    <tableColumn id="3" xr3:uid="{68ED531E-CBD1-4FD0-B6FE-39DCA60A2D35}" name="VMT_AEO" dataDxfId="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7" dataDxfId="36">
  <autoFilter ref="A1:H743" xr:uid="{1316E024-4D78-4E5E-A3BE-D1D66BF710F0}"/>
  <tableColumns count="8">
    <tableColumn id="1" xr3:uid="{8197FE9A-A39C-4187-B5AC-62137B98FA8C}" name="state" dataDxfId="35"/>
    <tableColumn id="2" xr3:uid="{33E598CD-870F-42AB-891F-120C293216E4}" name="road_class" dataDxfId="34"/>
    <tableColumn id="8" xr3:uid="{497DF0FF-D0A2-4A0F-AFE6-132C97C1B5AD}" name="area_type" dataDxfId="33"/>
    <tableColumn id="3" xr3:uid="{776B704E-54DA-4B36-942C-A38CD577374B}" name="VMT" dataDxfId="32"/>
    <tableColumn id="4" xr3:uid="{BDC6225D-BEFD-46A2-B173-8338BF6CD1D9}" name="ln_mile" dataDxfId="31"/>
    <tableColumn id="5" xr3:uid="{24DAA4FA-2524-49F1-8BF5-F7D985D4CF64}" name="cntrln_mile" dataDxfId="30"/>
    <tableColumn id="6" xr3:uid="{08E78B07-AE22-4A69-BADE-9D39986335D3}" name="AADT" dataDxfId="29"/>
    <tableColumn id="7" xr3:uid="{863F524C-50D9-4550-847E-504CEE40EC23}" name="VMT_perln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7"/>
    <tableColumn id="3" xr3:uid="{FEC27B6E-BBC0-45E0-8D54-901A00210403}" name="CO2eq_lbs_MWh" dataDxfId="26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5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4" dataDxfId="23">
  <autoFilter ref="A1:J52" xr:uid="{8F71A607-355D-4561-B371-DF64A33BAB60}"/>
  <tableColumns count="10">
    <tableColumn id="1" xr3:uid="{FCA1C28F-7FB1-4E75-ABE4-772AFC6C788B}" name="source" dataDxfId="22"/>
    <tableColumn id="2" xr3:uid="{8F610959-9FEF-4037-AD50-D15004FDEC97}" name="state " dataDxfId="21"/>
    <tableColumn id="3" xr3:uid="{DC14385D-FE79-4EBC-B031-AAF6DF063175}" name="gas_regular" dataDxfId="20"/>
    <tableColumn id="4" xr3:uid="{30495008-5280-426E-A40F-3CBF7D9B9A92}" name="gas_mid" dataDxfId="19"/>
    <tableColumn id="5" xr3:uid="{66FA34E8-985C-461A-9962-D27A2E7BC3B6}" name="gas_premium" dataDxfId="18"/>
    <tableColumn id="6" xr3:uid="{9B04AF70-034B-4C94-AFF3-98D10D1FD236}" name="gas_diesel" dataDxfId="17"/>
    <tableColumn id="7" xr3:uid="{2118497B-7145-40BC-9331-03F557AA7959}" name="electricity_retail_avg" dataDxfId="16"/>
    <tableColumn id="8" xr3:uid="{ACAB8D01-5214-4549-830E-B7BF39440F10}" name="electricity_summer_capacity" dataDxfId="15"/>
    <tableColumn id="9" xr3:uid="{E2BC6161-14F8-44FD-9F20-BBB936BC725E}" name="electricity_net_generation" dataDxfId="14"/>
    <tableColumn id="10" xr3:uid="{EBA42203-1B14-46B5-AF40-8E9C9B3EBA3C}" name="electricity_retail_sales" dataDxfId="1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12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11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0">
      <calculatedColumnFormula>F2/E2</calculatedColumnFormula>
    </tableColumn>
    <tableColumn id="8" xr3:uid="{D8D93C7A-8CA9-4D72-844F-B335D2C20C19}" name="total_pass_miles" dataDxfId="9"/>
    <tableColumn id="10" xr3:uid="{F5AEBFD2-08D8-4868-BAFE-9688429964B0}" name="load_factor" dataDxfId="8"/>
    <tableColumn id="11" xr3:uid="{05EF0C75-B302-4BAB-8F15-9D21DC18BA9D}" name="avg_trip_length" dataDxfId="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6"/>
    <tableColumn id="6" xr3:uid="{E24522AC-FEF6-4CF1-A652-CD1CACE1519C}" name="GWP_N20_g_per_mi" dataDxfId="5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4"/>
    <tableColumn id="10" xr3:uid="{236B1E85-CD34-4728-A85A-22981CBD37AD}" name="GWP_N20_g_per_gallon" dataDxfId="3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2"/>
    <tableColumn id="3" xr3:uid="{E65C9314-C120-4F4A-B346-84C59D802685}" name="CR_Energy_Intensity_BTUPerPaxMil" dataDxfId="1"/>
    <tableColumn id="4" xr3:uid="{425B37B1-3EA8-495D-91F4-852DA9CC3D68}" name="HR_Energy_Intensity_BTUPerPaxMil" dataDxfId="0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4" t="s">
        <v>247</v>
      </c>
      <c r="C2" s="24"/>
      <c r="D2" s="24"/>
      <c r="E2" s="24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241</v>
      </c>
      <c r="B992">
        <v>2021</v>
      </c>
      <c r="C992">
        <v>117734</v>
      </c>
    </row>
    <row r="993" spans="1:3" x14ac:dyDescent="0.35">
      <c r="A993" t="s">
        <v>241</v>
      </c>
      <c r="B993">
        <v>2022</v>
      </c>
      <c r="C993">
        <v>118965.94291047599</v>
      </c>
    </row>
    <row r="994" spans="1:3" x14ac:dyDescent="0.35">
      <c r="A994" t="s">
        <v>241</v>
      </c>
      <c r="B994">
        <v>2023</v>
      </c>
      <c r="C994">
        <v>120197.88582095198</v>
      </c>
    </row>
    <row r="995" spans="1:3" x14ac:dyDescent="0.35">
      <c r="A995" t="s">
        <v>241</v>
      </c>
      <c r="B995">
        <v>2024</v>
      </c>
      <c r="C995">
        <v>121429.82873142799</v>
      </c>
    </row>
    <row r="996" spans="1:3" x14ac:dyDescent="0.35">
      <c r="A996" t="s">
        <v>241</v>
      </c>
      <c r="B996">
        <v>2025</v>
      </c>
      <c r="C996">
        <v>122661.77164190395</v>
      </c>
    </row>
    <row r="997" spans="1:3" x14ac:dyDescent="0.35">
      <c r="A997" t="s">
        <v>241</v>
      </c>
      <c r="B997">
        <v>2026</v>
      </c>
      <c r="C997">
        <v>123893.71455237994</v>
      </c>
    </row>
    <row r="998" spans="1:3" x14ac:dyDescent="0.35">
      <c r="A998" t="s">
        <v>241</v>
      </c>
      <c r="B998">
        <v>2027</v>
      </c>
      <c r="C998">
        <v>125125.65746285593</v>
      </c>
    </row>
    <row r="999" spans="1:3" x14ac:dyDescent="0.35">
      <c r="A999" t="s">
        <v>241</v>
      </c>
      <c r="B999">
        <v>2028</v>
      </c>
      <c r="C999">
        <v>126357.60037333192</v>
      </c>
    </row>
    <row r="1000" spans="1:3" x14ac:dyDescent="0.35">
      <c r="A1000" t="s">
        <v>241</v>
      </c>
      <c r="B1000">
        <v>2029</v>
      </c>
      <c r="C1000">
        <v>127589.54328380793</v>
      </c>
    </row>
    <row r="1001" spans="1:3" x14ac:dyDescent="0.35">
      <c r="A1001" t="s">
        <v>241</v>
      </c>
      <c r="B1001">
        <v>2030</v>
      </c>
      <c r="C1001">
        <v>128821.48619428392</v>
      </c>
    </row>
    <row r="1002" spans="1:3" x14ac:dyDescent="0.35">
      <c r="A1002" t="s">
        <v>241</v>
      </c>
      <c r="B1002">
        <v>2031</v>
      </c>
      <c r="C1002">
        <v>130053.42910475978</v>
      </c>
    </row>
    <row r="1003" spans="1:3" x14ac:dyDescent="0.35">
      <c r="A1003" t="s">
        <v>241</v>
      </c>
      <c r="B1003">
        <v>2032</v>
      </c>
      <c r="C1003">
        <v>131150.86294994285</v>
      </c>
    </row>
    <row r="1004" spans="1:3" x14ac:dyDescent="0.35">
      <c r="A1004" t="s">
        <v>241</v>
      </c>
      <c r="B1004">
        <v>2033</v>
      </c>
      <c r="C1004">
        <v>132248.29679512593</v>
      </c>
    </row>
    <row r="1005" spans="1:3" x14ac:dyDescent="0.35">
      <c r="A1005" t="s">
        <v>241</v>
      </c>
      <c r="B1005">
        <v>2034</v>
      </c>
      <c r="C1005">
        <v>133345.73064030899</v>
      </c>
    </row>
    <row r="1006" spans="1:3" x14ac:dyDescent="0.35">
      <c r="A1006" t="s">
        <v>241</v>
      </c>
      <c r="B1006">
        <v>2035</v>
      </c>
      <c r="C1006">
        <v>134443.16448549205</v>
      </c>
    </row>
    <row r="1007" spans="1:3" x14ac:dyDescent="0.35">
      <c r="A1007" t="s">
        <v>241</v>
      </c>
      <c r="B1007">
        <v>2036</v>
      </c>
      <c r="C1007">
        <v>135540.5983306751</v>
      </c>
    </row>
    <row r="1008" spans="1:3" x14ac:dyDescent="0.35">
      <c r="A1008" t="s">
        <v>241</v>
      </c>
      <c r="B1008">
        <v>2037</v>
      </c>
      <c r="C1008">
        <v>136638.03217585818</v>
      </c>
    </row>
    <row r="1009" spans="1:3" x14ac:dyDescent="0.35">
      <c r="A1009" t="s">
        <v>241</v>
      </c>
      <c r="B1009">
        <v>2038</v>
      </c>
      <c r="C1009">
        <v>137735.46602104124</v>
      </c>
    </row>
    <row r="1010" spans="1:3" x14ac:dyDescent="0.35">
      <c r="A1010" t="s">
        <v>241</v>
      </c>
      <c r="B1010">
        <v>2039</v>
      </c>
      <c r="C1010">
        <v>138832.89986622432</v>
      </c>
    </row>
    <row r="1011" spans="1:3" x14ac:dyDescent="0.35">
      <c r="A1011" t="s">
        <v>241</v>
      </c>
      <c r="B1011">
        <v>2040</v>
      </c>
      <c r="C1011">
        <v>139930.33371140735</v>
      </c>
    </row>
    <row r="1012" spans="1:3" x14ac:dyDescent="0.35">
      <c r="A1012" t="s">
        <v>241</v>
      </c>
      <c r="B1012">
        <v>2041</v>
      </c>
      <c r="C1012">
        <v>141027.76755659049</v>
      </c>
    </row>
    <row r="1013" spans="1:3" x14ac:dyDescent="0.35">
      <c r="A1013" t="s">
        <v>241</v>
      </c>
      <c r="B1013">
        <v>2042</v>
      </c>
      <c r="C1013">
        <v>142217.80649898967</v>
      </c>
    </row>
    <row r="1014" spans="1:3" x14ac:dyDescent="0.35">
      <c r="A1014" t="s">
        <v>241</v>
      </c>
      <c r="B1014">
        <v>2043</v>
      </c>
      <c r="C1014">
        <v>143407.84544138884</v>
      </c>
    </row>
    <row r="1015" spans="1:3" x14ac:dyDescent="0.35">
      <c r="A1015" t="s">
        <v>241</v>
      </c>
      <c r="B1015">
        <v>2044</v>
      </c>
      <c r="C1015">
        <v>144597.88438378801</v>
      </c>
    </row>
    <row r="1016" spans="1:3" x14ac:dyDescent="0.35">
      <c r="A1016" t="s">
        <v>241</v>
      </c>
      <c r="B1016">
        <v>2045</v>
      </c>
      <c r="C1016">
        <v>145787.92332618716</v>
      </c>
    </row>
    <row r="1017" spans="1:3" x14ac:dyDescent="0.35">
      <c r="A1017" t="s">
        <v>241</v>
      </c>
      <c r="B1017">
        <v>2046</v>
      </c>
      <c r="C1017">
        <v>146977.9622685863</v>
      </c>
    </row>
    <row r="1018" spans="1:3" x14ac:dyDescent="0.35">
      <c r="A1018" t="s">
        <v>241</v>
      </c>
      <c r="B1018">
        <v>2047</v>
      </c>
      <c r="C1018">
        <v>148168.00121098547</v>
      </c>
    </row>
    <row r="1019" spans="1:3" x14ac:dyDescent="0.35">
      <c r="A1019" t="s">
        <v>241</v>
      </c>
      <c r="B1019">
        <v>2048</v>
      </c>
      <c r="C1019">
        <v>149358.04015338465</v>
      </c>
    </row>
    <row r="1020" spans="1:3" x14ac:dyDescent="0.35">
      <c r="A1020" t="s">
        <v>241</v>
      </c>
      <c r="B1020">
        <v>2049</v>
      </c>
      <c r="C1020">
        <v>150548.07909578382</v>
      </c>
    </row>
    <row r="1021" spans="1:3" x14ac:dyDescent="0.35">
      <c r="A1021" t="s">
        <v>241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242</v>
      </c>
      <c r="B1202">
        <v>2021</v>
      </c>
      <c r="C1202">
        <v>57492</v>
      </c>
    </row>
    <row r="1203" spans="1:3" x14ac:dyDescent="0.35">
      <c r="A1203" t="s">
        <v>242</v>
      </c>
      <c r="B1203">
        <v>2022</v>
      </c>
      <c r="C1203">
        <v>58165.863726137752</v>
      </c>
    </row>
    <row r="1204" spans="1:3" x14ac:dyDescent="0.35">
      <c r="A1204" t="s">
        <v>242</v>
      </c>
      <c r="B1204">
        <v>2023</v>
      </c>
      <c r="C1204">
        <v>58839.727452275503</v>
      </c>
    </row>
    <row r="1205" spans="1:3" x14ac:dyDescent="0.35">
      <c r="A1205" t="s">
        <v>242</v>
      </c>
      <c r="B1205">
        <v>2024</v>
      </c>
      <c r="C1205">
        <v>59513.591178413255</v>
      </c>
    </row>
    <row r="1206" spans="1:3" x14ac:dyDescent="0.35">
      <c r="A1206" t="s">
        <v>242</v>
      </c>
      <c r="B1206">
        <v>2025</v>
      </c>
      <c r="C1206">
        <v>60187.454904551014</v>
      </c>
    </row>
    <row r="1207" spans="1:3" x14ac:dyDescent="0.35">
      <c r="A1207" t="s">
        <v>242</v>
      </c>
      <c r="B1207">
        <v>2026</v>
      </c>
      <c r="C1207">
        <v>60861.318630688766</v>
      </c>
    </row>
    <row r="1208" spans="1:3" x14ac:dyDescent="0.35">
      <c r="A1208" t="s">
        <v>242</v>
      </c>
      <c r="B1208">
        <v>2027</v>
      </c>
      <c r="C1208">
        <v>61535.182356826517</v>
      </c>
    </row>
    <row r="1209" spans="1:3" x14ac:dyDescent="0.35">
      <c r="A1209" t="s">
        <v>242</v>
      </c>
      <c r="B1209">
        <v>2028</v>
      </c>
      <c r="C1209">
        <v>62209.046082964269</v>
      </c>
    </row>
    <row r="1210" spans="1:3" x14ac:dyDescent="0.35">
      <c r="A1210" t="s">
        <v>242</v>
      </c>
      <c r="B1210">
        <v>2029</v>
      </c>
      <c r="C1210">
        <v>62882.909809102021</v>
      </c>
    </row>
    <row r="1211" spans="1:3" x14ac:dyDescent="0.35">
      <c r="A1211" t="s">
        <v>242</v>
      </c>
      <c r="B1211">
        <v>2030</v>
      </c>
      <c r="C1211">
        <v>63556.773535239772</v>
      </c>
    </row>
    <row r="1212" spans="1:3" x14ac:dyDescent="0.35">
      <c r="A1212" t="s">
        <v>242</v>
      </c>
      <c r="B1212">
        <v>2031</v>
      </c>
      <c r="C1212">
        <v>64230.637261377538</v>
      </c>
    </row>
    <row r="1213" spans="1:3" x14ac:dyDescent="0.35">
      <c r="A1213" t="s">
        <v>242</v>
      </c>
      <c r="B1213">
        <v>2032</v>
      </c>
      <c r="C1213">
        <v>64851.907869280156</v>
      </c>
    </row>
    <row r="1214" spans="1:3" x14ac:dyDescent="0.35">
      <c r="A1214" t="s">
        <v>242</v>
      </c>
      <c r="B1214">
        <v>2033</v>
      </c>
      <c r="C1214">
        <v>65473.178477182781</v>
      </c>
    </row>
    <row r="1215" spans="1:3" x14ac:dyDescent="0.35">
      <c r="A1215" t="s">
        <v>242</v>
      </c>
      <c r="B1215">
        <v>2034</v>
      </c>
      <c r="C1215">
        <v>66094.449085085391</v>
      </c>
    </row>
    <row r="1216" spans="1:3" x14ac:dyDescent="0.35">
      <c r="A1216" t="s">
        <v>242</v>
      </c>
      <c r="B1216">
        <v>2035</v>
      </c>
      <c r="C1216">
        <v>66715.719692988016</v>
      </c>
    </row>
    <row r="1217" spans="1:3" x14ac:dyDescent="0.35">
      <c r="A1217" t="s">
        <v>242</v>
      </c>
      <c r="B1217">
        <v>2036</v>
      </c>
      <c r="C1217">
        <v>67336.990300890626</v>
      </c>
    </row>
    <row r="1218" spans="1:3" x14ac:dyDescent="0.35">
      <c r="A1218" t="s">
        <v>242</v>
      </c>
      <c r="B1218">
        <v>2037</v>
      </c>
      <c r="C1218">
        <v>67958.260908793236</v>
      </c>
    </row>
    <row r="1219" spans="1:3" x14ac:dyDescent="0.35">
      <c r="A1219" t="s">
        <v>242</v>
      </c>
      <c r="B1219">
        <v>2038</v>
      </c>
      <c r="C1219">
        <v>68579.531516695846</v>
      </c>
    </row>
    <row r="1220" spans="1:3" x14ac:dyDescent="0.35">
      <c r="A1220" t="s">
        <v>242</v>
      </c>
      <c r="B1220">
        <v>2039</v>
      </c>
      <c r="C1220">
        <v>69200.802124598471</v>
      </c>
    </row>
    <row r="1221" spans="1:3" x14ac:dyDescent="0.35">
      <c r="A1221" t="s">
        <v>242</v>
      </c>
      <c r="B1221">
        <v>2040</v>
      </c>
      <c r="C1221">
        <v>69822.072732501096</v>
      </c>
    </row>
    <row r="1222" spans="1:3" x14ac:dyDescent="0.35">
      <c r="A1222" t="s">
        <v>242</v>
      </c>
      <c r="B1222">
        <v>2041</v>
      </c>
      <c r="C1222">
        <v>70443.343340403691</v>
      </c>
    </row>
    <row r="1223" spans="1:3" x14ac:dyDescent="0.35">
      <c r="A1223" t="s">
        <v>242</v>
      </c>
      <c r="B1223">
        <v>2042</v>
      </c>
      <c r="C1223">
        <v>71124.706325511448</v>
      </c>
    </row>
    <row r="1224" spans="1:3" x14ac:dyDescent="0.35">
      <c r="A1224" t="s">
        <v>242</v>
      </c>
      <c r="B1224">
        <v>2043</v>
      </c>
      <c r="C1224">
        <v>71806.069310619205</v>
      </c>
    </row>
    <row r="1225" spans="1:3" x14ac:dyDescent="0.35">
      <c r="A1225" t="s">
        <v>242</v>
      </c>
      <c r="B1225">
        <v>2044</v>
      </c>
      <c r="C1225">
        <v>72487.432295726961</v>
      </c>
    </row>
    <row r="1226" spans="1:3" x14ac:dyDescent="0.35">
      <c r="A1226" t="s">
        <v>242</v>
      </c>
      <c r="B1226">
        <v>2045</v>
      </c>
      <c r="C1226">
        <v>73168.795280834689</v>
      </c>
    </row>
    <row r="1227" spans="1:3" x14ac:dyDescent="0.35">
      <c r="A1227" t="s">
        <v>242</v>
      </c>
      <c r="B1227">
        <v>2046</v>
      </c>
      <c r="C1227">
        <v>73850.158265942446</v>
      </c>
    </row>
    <row r="1228" spans="1:3" x14ac:dyDescent="0.35">
      <c r="A1228" t="s">
        <v>242</v>
      </c>
      <c r="B1228">
        <v>2047</v>
      </c>
      <c r="C1228">
        <v>74531.521251050202</v>
      </c>
    </row>
    <row r="1229" spans="1:3" x14ac:dyDescent="0.35">
      <c r="A1229" t="s">
        <v>242</v>
      </c>
      <c r="B1229">
        <v>2048</v>
      </c>
      <c r="C1229">
        <v>75212.884236157945</v>
      </c>
    </row>
    <row r="1230" spans="1:3" x14ac:dyDescent="0.35">
      <c r="A1230" t="s">
        <v>242</v>
      </c>
      <c r="B1230">
        <v>2049</v>
      </c>
      <c r="C1230">
        <v>75894.247221265701</v>
      </c>
    </row>
    <row r="1231" spans="1:3" x14ac:dyDescent="0.35">
      <c r="A1231" t="s">
        <v>242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322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323</v>
      </c>
      <c r="B2" t="s">
        <v>329</v>
      </c>
      <c r="C2">
        <v>327</v>
      </c>
      <c r="D2">
        <v>798</v>
      </c>
      <c r="E2">
        <v>0</v>
      </c>
    </row>
    <row r="3" spans="1:5" x14ac:dyDescent="0.35">
      <c r="A3" t="s">
        <v>323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323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323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324</v>
      </c>
      <c r="B6" t="s">
        <v>329</v>
      </c>
      <c r="C6">
        <v>150</v>
      </c>
      <c r="D6">
        <v>0</v>
      </c>
      <c r="E6">
        <v>0</v>
      </c>
    </row>
    <row r="7" spans="1:5" x14ac:dyDescent="0.35">
      <c r="A7" t="s">
        <v>324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324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324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325</v>
      </c>
      <c r="B10" t="s">
        <v>329</v>
      </c>
      <c r="C10">
        <v>203.25</v>
      </c>
      <c r="D10">
        <v>0</v>
      </c>
      <c r="E10">
        <v>0</v>
      </c>
    </row>
    <row r="11" spans="1:5" x14ac:dyDescent="0.35">
      <c r="A11" t="s">
        <v>325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325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325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326</v>
      </c>
      <c r="B14" t="s">
        <v>329</v>
      </c>
      <c r="C14">
        <v>0</v>
      </c>
      <c r="D14">
        <v>798</v>
      </c>
      <c r="E14">
        <v>0</v>
      </c>
    </row>
    <row r="15" spans="1:5" x14ac:dyDescent="0.35">
      <c r="A15" t="s">
        <v>326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326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326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327</v>
      </c>
      <c r="B18" t="s">
        <v>329</v>
      </c>
      <c r="C18">
        <v>150</v>
      </c>
      <c r="D18">
        <v>798</v>
      </c>
      <c r="E18">
        <v>0</v>
      </c>
    </row>
    <row r="19" spans="1:5" x14ac:dyDescent="0.35">
      <c r="A19" t="s">
        <v>327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327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328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328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321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330</v>
      </c>
      <c r="E1" t="s">
        <v>331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332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333</v>
      </c>
      <c r="C6">
        <v>0.24</v>
      </c>
    </row>
    <row r="7" spans="1:3" x14ac:dyDescent="0.35">
      <c r="A7" t="s">
        <v>156</v>
      </c>
      <c r="B7" t="s">
        <v>333</v>
      </c>
      <c r="C7">
        <v>0.21</v>
      </c>
    </row>
    <row r="8" spans="1:3" x14ac:dyDescent="0.35">
      <c r="A8" t="s">
        <v>66</v>
      </c>
      <c r="B8" t="s">
        <v>333</v>
      </c>
      <c r="C8">
        <v>0.28999999999999998</v>
      </c>
    </row>
    <row r="9" spans="1:3" x14ac:dyDescent="0.35">
      <c r="A9" t="s">
        <v>59</v>
      </c>
      <c r="B9" t="s">
        <v>333</v>
      </c>
      <c r="C9">
        <v>0</v>
      </c>
    </row>
    <row r="10" spans="1:3" x14ac:dyDescent="0.35">
      <c r="A10" t="s">
        <v>70</v>
      </c>
      <c r="B10" t="s">
        <v>333</v>
      </c>
      <c r="C10">
        <v>0</v>
      </c>
    </row>
    <row r="11" spans="1:3" x14ac:dyDescent="0.35">
      <c r="A11" t="s">
        <v>298</v>
      </c>
      <c r="B11" t="s">
        <v>333</v>
      </c>
      <c r="C11">
        <v>0</v>
      </c>
    </row>
    <row r="12" spans="1:3" x14ac:dyDescent="0.35">
      <c r="A12" t="s">
        <v>298</v>
      </c>
      <c r="B12" t="s">
        <v>299</v>
      </c>
      <c r="C12">
        <v>33.977738722905684</v>
      </c>
    </row>
    <row r="13" spans="1:3" x14ac:dyDescent="0.35">
      <c r="A13" t="s">
        <v>156</v>
      </c>
      <c r="B13" t="s">
        <v>299</v>
      </c>
      <c r="C13">
        <v>0.89285714285714279</v>
      </c>
    </row>
    <row r="14" spans="1:3" x14ac:dyDescent="0.35">
      <c r="A14" t="s">
        <v>297</v>
      </c>
      <c r="B14" t="s">
        <v>299</v>
      </c>
      <c r="C14">
        <v>1.3513513513513513</v>
      </c>
    </row>
    <row r="15" spans="1:3" x14ac:dyDescent="0.35">
      <c r="A15" t="s">
        <v>66</v>
      </c>
      <c r="B15" t="s">
        <v>299</v>
      </c>
      <c r="C15">
        <v>123.57</v>
      </c>
    </row>
    <row r="16" spans="1:3" x14ac:dyDescent="0.35">
      <c r="A16" t="s">
        <v>298</v>
      </c>
      <c r="B16" t="s">
        <v>300</v>
      </c>
      <c r="C16">
        <v>3414</v>
      </c>
    </row>
    <row r="17" spans="1:3" x14ac:dyDescent="0.35">
      <c r="A17" t="s">
        <v>174</v>
      </c>
      <c r="B17" t="s">
        <v>300</v>
      </c>
      <c r="C17">
        <v>116000</v>
      </c>
    </row>
    <row r="18" spans="1:3" x14ac:dyDescent="0.35">
      <c r="A18" t="s">
        <v>156</v>
      </c>
      <c r="B18" t="s">
        <v>300</v>
      </c>
      <c r="C18">
        <v>128500</v>
      </c>
    </row>
    <row r="19" spans="1:3" x14ac:dyDescent="0.35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M10" sqref="M10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320</v>
      </c>
    </row>
    <row r="2" spans="1:3" x14ac:dyDescent="0.35">
      <c r="A2" t="s">
        <v>3</v>
      </c>
      <c r="B2">
        <v>2019</v>
      </c>
      <c r="C2">
        <v>2544.9260079999999</v>
      </c>
    </row>
    <row r="3" spans="1:3" x14ac:dyDescent="0.35">
      <c r="A3" t="s">
        <v>4</v>
      </c>
      <c r="B3">
        <v>2019</v>
      </c>
      <c r="C3">
        <v>528.20411999999999</v>
      </c>
    </row>
    <row r="4" spans="1:3" x14ac:dyDescent="0.35">
      <c r="A4" t="s">
        <v>5</v>
      </c>
      <c r="B4">
        <v>2019</v>
      </c>
      <c r="C4">
        <v>2742.7392730000001</v>
      </c>
    </row>
    <row r="5" spans="1:3" x14ac:dyDescent="0.35">
      <c r="A5" t="s">
        <v>6</v>
      </c>
      <c r="B5">
        <v>2019</v>
      </c>
      <c r="C5">
        <v>919.16938500000003</v>
      </c>
    </row>
    <row r="6" spans="1:3" x14ac:dyDescent="0.35">
      <c r="A6" t="s">
        <v>7</v>
      </c>
      <c r="B6">
        <v>2019</v>
      </c>
      <c r="C6">
        <v>3058.7594589999999</v>
      </c>
    </row>
    <row r="7" spans="1:3" x14ac:dyDescent="0.35">
      <c r="A7" t="s">
        <v>8</v>
      </c>
      <c r="B7">
        <v>2019</v>
      </c>
      <c r="C7">
        <v>1576.650177</v>
      </c>
    </row>
    <row r="8" spans="1:3" x14ac:dyDescent="0.35">
      <c r="A8" t="s">
        <v>9</v>
      </c>
      <c r="B8">
        <v>2019</v>
      </c>
      <c r="C8">
        <v>124.285844</v>
      </c>
    </row>
    <row r="9" spans="1:3" x14ac:dyDescent="0.35">
      <c r="A9" t="s">
        <v>10</v>
      </c>
      <c r="B9">
        <v>2019</v>
      </c>
      <c r="C9">
        <v>68.408856999999998</v>
      </c>
    </row>
    <row r="10" spans="1:3" x14ac:dyDescent="0.35">
      <c r="A10" t="s">
        <v>12</v>
      </c>
      <c r="B10">
        <v>2019</v>
      </c>
      <c r="C10">
        <v>2099.6773600000001</v>
      </c>
    </row>
    <row r="11" spans="1:3" x14ac:dyDescent="0.35">
      <c r="A11" t="s">
        <v>13</v>
      </c>
      <c r="B11">
        <v>2019</v>
      </c>
      <c r="C11">
        <v>2559.3411980000001</v>
      </c>
    </row>
    <row r="12" spans="1:3" x14ac:dyDescent="0.35">
      <c r="A12" t="s">
        <v>14</v>
      </c>
      <c r="B12">
        <v>2019</v>
      </c>
      <c r="C12">
        <v>0</v>
      </c>
    </row>
    <row r="13" spans="1:3" x14ac:dyDescent="0.35">
      <c r="A13" t="s">
        <v>15</v>
      </c>
      <c r="B13">
        <v>2019</v>
      </c>
      <c r="C13">
        <v>776.02855</v>
      </c>
    </row>
    <row r="14" spans="1:3" x14ac:dyDescent="0.35">
      <c r="A14" t="s">
        <v>16</v>
      </c>
      <c r="B14">
        <v>2019</v>
      </c>
      <c r="C14">
        <v>1728.2273210000001</v>
      </c>
    </row>
    <row r="15" spans="1:3" x14ac:dyDescent="0.35">
      <c r="A15" t="s">
        <v>17</v>
      </c>
      <c r="B15">
        <v>2019</v>
      </c>
      <c r="C15">
        <v>3220.6832810000001</v>
      </c>
    </row>
    <row r="16" spans="1:3" x14ac:dyDescent="0.35">
      <c r="A16" t="s">
        <v>18</v>
      </c>
      <c r="B16">
        <v>2019</v>
      </c>
      <c r="C16">
        <v>1406.031669</v>
      </c>
    </row>
    <row r="17" spans="1:3" x14ac:dyDescent="0.35">
      <c r="A17" t="s">
        <v>19</v>
      </c>
      <c r="B17">
        <v>2019</v>
      </c>
      <c r="C17">
        <v>1355.7049649999999</v>
      </c>
    </row>
    <row r="18" spans="1:3" x14ac:dyDescent="0.35">
      <c r="A18" t="s">
        <v>20</v>
      </c>
      <c r="B18">
        <v>2019</v>
      </c>
      <c r="C18">
        <v>838.26026100000001</v>
      </c>
    </row>
    <row r="19" spans="1:3" x14ac:dyDescent="0.35">
      <c r="A19" t="s">
        <v>21</v>
      </c>
      <c r="B19">
        <v>2019</v>
      </c>
      <c r="C19">
        <v>3629.22712</v>
      </c>
    </row>
    <row r="20" spans="1:3" x14ac:dyDescent="0.35">
      <c r="A20" t="s">
        <v>22</v>
      </c>
      <c r="B20">
        <v>2019</v>
      </c>
      <c r="C20">
        <v>289.01132999999999</v>
      </c>
    </row>
    <row r="21" spans="1:3" x14ac:dyDescent="0.35">
      <c r="A21" t="s">
        <v>23</v>
      </c>
      <c r="B21">
        <v>2019</v>
      </c>
      <c r="C21">
        <v>202.66588999999999</v>
      </c>
    </row>
    <row r="22" spans="1:3" x14ac:dyDescent="0.35">
      <c r="A22" t="s">
        <v>24</v>
      </c>
      <c r="B22">
        <v>2019</v>
      </c>
      <c r="C22">
        <v>32.735925999999999</v>
      </c>
    </row>
    <row r="23" spans="1:3" x14ac:dyDescent="0.35">
      <c r="A23" t="s">
        <v>25</v>
      </c>
      <c r="B23">
        <v>2019</v>
      </c>
      <c r="C23">
        <v>5238.3535920000004</v>
      </c>
    </row>
    <row r="24" spans="1:3" x14ac:dyDescent="0.35">
      <c r="A24" t="s">
        <v>26</v>
      </c>
      <c r="B24">
        <v>2019</v>
      </c>
      <c r="C24">
        <v>3736.2349819999999</v>
      </c>
    </row>
    <row r="25" spans="1:3" x14ac:dyDescent="0.35">
      <c r="A25" t="s">
        <v>27</v>
      </c>
      <c r="B25">
        <v>2019</v>
      </c>
      <c r="C25">
        <v>436.77159799999998</v>
      </c>
    </row>
    <row r="26" spans="1:3" x14ac:dyDescent="0.35">
      <c r="A26" t="s">
        <v>28</v>
      </c>
      <c r="B26">
        <v>2019</v>
      </c>
      <c r="C26">
        <v>1331.77171</v>
      </c>
    </row>
    <row r="27" spans="1:3" x14ac:dyDescent="0.35">
      <c r="A27" t="s">
        <v>29</v>
      </c>
      <c r="B27">
        <v>2019</v>
      </c>
      <c r="C27">
        <v>392.95020499999998</v>
      </c>
    </row>
    <row r="28" spans="1:3" x14ac:dyDescent="0.35">
      <c r="A28" t="s">
        <v>30</v>
      </c>
      <c r="B28">
        <v>2019</v>
      </c>
      <c r="C28">
        <v>2520.9028709999998</v>
      </c>
    </row>
    <row r="29" spans="1:3" x14ac:dyDescent="0.35">
      <c r="A29" t="s">
        <v>31</v>
      </c>
      <c r="B29">
        <v>2019</v>
      </c>
      <c r="C29">
        <v>0.39949800000000002</v>
      </c>
    </row>
    <row r="30" spans="1:3" x14ac:dyDescent="0.35">
      <c r="A30" t="s">
        <v>32</v>
      </c>
      <c r="B30">
        <v>2019</v>
      </c>
      <c r="C30">
        <v>6.7464389999999996</v>
      </c>
    </row>
    <row r="31" spans="1:3" x14ac:dyDescent="0.35">
      <c r="A31" t="s">
        <v>33</v>
      </c>
      <c r="B31">
        <v>2019</v>
      </c>
      <c r="C31">
        <v>146.33309</v>
      </c>
    </row>
    <row r="32" spans="1:3" x14ac:dyDescent="0.35">
      <c r="A32" t="s">
        <v>34</v>
      </c>
      <c r="B32">
        <v>2019</v>
      </c>
      <c r="C32">
        <v>1268.545292</v>
      </c>
    </row>
    <row r="33" spans="1:3" x14ac:dyDescent="0.35">
      <c r="A33" t="s">
        <v>35</v>
      </c>
      <c r="B33">
        <v>2019</v>
      </c>
      <c r="C33">
        <v>1466.120492</v>
      </c>
    </row>
    <row r="34" spans="1:3" x14ac:dyDescent="0.35">
      <c r="A34" t="s">
        <v>244</v>
      </c>
      <c r="B34">
        <v>2019</v>
      </c>
      <c r="C34">
        <v>846.11125000000004</v>
      </c>
    </row>
    <row r="35" spans="1:3" x14ac:dyDescent="0.35">
      <c r="A35" t="s">
        <v>36</v>
      </c>
      <c r="B35">
        <v>2019</v>
      </c>
      <c r="C35">
        <v>1731.6266539999999</v>
      </c>
    </row>
    <row r="36" spans="1:3" x14ac:dyDescent="0.35">
      <c r="A36" t="s">
        <v>37</v>
      </c>
      <c r="B36">
        <v>2019</v>
      </c>
      <c r="C36">
        <v>2446.222252</v>
      </c>
    </row>
    <row r="37" spans="1:3" x14ac:dyDescent="0.35">
      <c r="A37" t="s">
        <v>38</v>
      </c>
      <c r="B37">
        <v>2019</v>
      </c>
      <c r="C37">
        <v>1348.2959499999999</v>
      </c>
    </row>
    <row r="38" spans="1:3" x14ac:dyDescent="0.35">
      <c r="A38" t="s">
        <v>39</v>
      </c>
      <c r="B38">
        <v>2019</v>
      </c>
      <c r="C38">
        <v>643.62842799999999</v>
      </c>
    </row>
    <row r="39" spans="1:3" x14ac:dyDescent="0.35">
      <c r="A39" t="s">
        <v>40</v>
      </c>
      <c r="B39">
        <v>2019</v>
      </c>
      <c r="C39">
        <v>2471.5888890000001</v>
      </c>
    </row>
    <row r="40" spans="1:3" x14ac:dyDescent="0.35">
      <c r="A40" t="s">
        <v>41</v>
      </c>
      <c r="B40">
        <v>2019</v>
      </c>
      <c r="C40">
        <v>0</v>
      </c>
    </row>
    <row r="41" spans="1:3" x14ac:dyDescent="0.35">
      <c r="A41" t="s">
        <v>245</v>
      </c>
      <c r="B41">
        <v>2019</v>
      </c>
      <c r="C41">
        <v>262.18538899999999</v>
      </c>
    </row>
    <row r="42" spans="1:3" x14ac:dyDescent="0.35">
      <c r="A42" t="s">
        <v>42</v>
      </c>
      <c r="B42">
        <v>2019</v>
      </c>
      <c r="C42">
        <v>1249.9623240000001</v>
      </c>
    </row>
    <row r="43" spans="1:3" x14ac:dyDescent="0.35">
      <c r="A43" t="s">
        <v>43</v>
      </c>
      <c r="B43">
        <v>2019</v>
      </c>
      <c r="C43">
        <v>313.51528000000002</v>
      </c>
    </row>
    <row r="44" spans="1:3" x14ac:dyDescent="0.35">
      <c r="A44" t="s">
        <v>44</v>
      </c>
      <c r="B44">
        <v>2019</v>
      </c>
      <c r="C44">
        <v>29350.70019</v>
      </c>
    </row>
    <row r="45" spans="1:3" x14ac:dyDescent="0.35">
      <c r="A45" t="s">
        <v>45</v>
      </c>
      <c r="B45">
        <v>2019</v>
      </c>
      <c r="C45">
        <v>104.10359099999999</v>
      </c>
    </row>
    <row r="46" spans="1:3" x14ac:dyDescent="0.35">
      <c r="A46" t="s">
        <v>46</v>
      </c>
      <c r="B46">
        <v>2019</v>
      </c>
      <c r="C46">
        <v>49.774864000000001</v>
      </c>
    </row>
    <row r="47" spans="1:3" x14ac:dyDescent="0.35">
      <c r="A47" t="s">
        <v>47</v>
      </c>
      <c r="B47">
        <v>2019</v>
      </c>
      <c r="C47">
        <v>1483.9390149999999</v>
      </c>
    </row>
    <row r="48" spans="1:3" x14ac:dyDescent="0.35">
      <c r="A48" t="s">
        <v>48</v>
      </c>
      <c r="B48">
        <v>2019</v>
      </c>
      <c r="C48">
        <v>7847.6125190000002</v>
      </c>
    </row>
    <row r="49" spans="1:3" x14ac:dyDescent="0.35">
      <c r="A49" t="s">
        <v>11</v>
      </c>
      <c r="B49">
        <v>2019</v>
      </c>
      <c r="C49">
        <v>3.8760000000000001E-3</v>
      </c>
    </row>
    <row r="50" spans="1:3" x14ac:dyDescent="0.35">
      <c r="A50" t="s">
        <v>49</v>
      </c>
      <c r="B50">
        <v>2019</v>
      </c>
      <c r="C50">
        <v>1592.3095169999999</v>
      </c>
    </row>
    <row r="51" spans="1:3" x14ac:dyDescent="0.35">
      <c r="A51" t="s">
        <v>50</v>
      </c>
      <c r="B51">
        <v>2019</v>
      </c>
      <c r="C51">
        <v>1121.514772</v>
      </c>
    </row>
    <row r="52" spans="1:3" x14ac:dyDescent="0.35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5">
      <c r="A2" t="s">
        <v>308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308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308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308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308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308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308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308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308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308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308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308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308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308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308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308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308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308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308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308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308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308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308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308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308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308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308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308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308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308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309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309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309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309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309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309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309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309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309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309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309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309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309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309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309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309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309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309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309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309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309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309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309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309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309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309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309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309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309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309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311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311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311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311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311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311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311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311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311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311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311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311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311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311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311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311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311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311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311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311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311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311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311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311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311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311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311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311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311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311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FE3DD-8491-42E4-9485-7CBB72E9991E}">
  <dimension ref="A1:E52"/>
  <sheetViews>
    <sheetView workbookViewId="0">
      <selection activeCell="D2" sqref="D2"/>
    </sheetView>
  </sheetViews>
  <sheetFormatPr defaultRowHeight="14.5" x14ac:dyDescent="0.35"/>
  <cols>
    <col min="1" max="1" width="17.81640625" bestFit="1" customWidth="1"/>
    <col min="2" max="2" width="4.81640625" bestFit="1" customWidth="1"/>
    <col min="3" max="3" width="12" bestFit="1" customWidth="1"/>
    <col min="4" max="4" width="11" bestFit="1" customWidth="1"/>
  </cols>
  <sheetData>
    <row r="1" spans="1:5" x14ac:dyDescent="0.35">
      <c r="A1" s="4" t="s">
        <v>334</v>
      </c>
      <c r="B1" t="s">
        <v>1</v>
      </c>
      <c r="C1" s="4" t="s">
        <v>335</v>
      </c>
      <c r="D1" t="s">
        <v>336</v>
      </c>
      <c r="E1" t="s">
        <v>337</v>
      </c>
    </row>
    <row r="2" spans="1:5" x14ac:dyDescent="0.35">
      <c r="A2" t="s">
        <v>3</v>
      </c>
      <c r="B2">
        <v>2019</v>
      </c>
      <c r="C2" s="23">
        <v>6650385</v>
      </c>
      <c r="D2" s="23">
        <v>10146650</v>
      </c>
      <c r="E2">
        <v>0</v>
      </c>
    </row>
    <row r="3" spans="1:5" x14ac:dyDescent="0.35">
      <c r="A3" t="s">
        <v>4</v>
      </c>
      <c r="B3">
        <v>2019</v>
      </c>
      <c r="C3" s="23">
        <v>4544203</v>
      </c>
      <c r="D3" s="23">
        <v>1820969</v>
      </c>
      <c r="E3">
        <v>0</v>
      </c>
    </row>
    <row r="4" spans="1:5" x14ac:dyDescent="0.35">
      <c r="A4" t="s">
        <v>5</v>
      </c>
      <c r="B4">
        <v>2019</v>
      </c>
      <c r="C4" s="23">
        <v>49557933</v>
      </c>
      <c r="D4" s="23">
        <v>8850838</v>
      </c>
      <c r="E4">
        <v>686829</v>
      </c>
    </row>
    <row r="5" spans="1:5" x14ac:dyDescent="0.35">
      <c r="A5" t="s">
        <v>6</v>
      </c>
      <c r="B5">
        <v>2019</v>
      </c>
      <c r="C5" s="23">
        <v>4668133</v>
      </c>
      <c r="D5" s="23">
        <v>13251409</v>
      </c>
      <c r="E5">
        <v>0</v>
      </c>
    </row>
    <row r="6" spans="1:5" x14ac:dyDescent="0.35">
      <c r="A6" t="s">
        <v>7</v>
      </c>
      <c r="B6">
        <v>2019</v>
      </c>
      <c r="C6" s="23">
        <v>330675119</v>
      </c>
      <c r="D6" s="23">
        <v>88205270</v>
      </c>
      <c r="E6">
        <v>17653453</v>
      </c>
    </row>
    <row r="7" spans="1:5" x14ac:dyDescent="0.35">
      <c r="A7" t="s">
        <v>8</v>
      </c>
      <c r="B7">
        <v>2019</v>
      </c>
      <c r="C7" s="23">
        <v>49855214</v>
      </c>
      <c r="D7" s="23">
        <v>18116638</v>
      </c>
      <c r="E7">
        <v>3275162</v>
      </c>
    </row>
    <row r="8" spans="1:5" x14ac:dyDescent="0.35">
      <c r="A8" t="s">
        <v>9</v>
      </c>
      <c r="B8">
        <v>2019</v>
      </c>
      <c r="C8" s="23">
        <v>23037923</v>
      </c>
      <c r="D8" s="23">
        <v>9462995</v>
      </c>
      <c r="E8">
        <v>1302927</v>
      </c>
    </row>
    <row r="9" spans="1:5" x14ac:dyDescent="0.35">
      <c r="A9" t="s">
        <v>10</v>
      </c>
      <c r="B9">
        <v>2019</v>
      </c>
      <c r="C9" s="23">
        <v>8984139</v>
      </c>
      <c r="D9" s="23">
        <v>8098492</v>
      </c>
      <c r="E9">
        <v>0</v>
      </c>
    </row>
    <row r="10" spans="1:5" x14ac:dyDescent="0.35">
      <c r="A10" t="s">
        <v>12</v>
      </c>
      <c r="B10">
        <v>2019</v>
      </c>
      <c r="C10" s="23">
        <v>124877739</v>
      </c>
      <c r="D10" s="23">
        <v>80295496</v>
      </c>
      <c r="E10">
        <v>1206534</v>
      </c>
    </row>
    <row r="11" spans="1:5" x14ac:dyDescent="0.35">
      <c r="A11" t="s">
        <v>13</v>
      </c>
      <c r="B11">
        <v>2019</v>
      </c>
      <c r="C11" s="23">
        <v>40629519</v>
      </c>
      <c r="D11" s="23">
        <v>28298863</v>
      </c>
      <c r="E11">
        <v>3708274</v>
      </c>
    </row>
    <row r="12" spans="1:5" x14ac:dyDescent="0.35">
      <c r="A12" t="s">
        <v>14</v>
      </c>
      <c r="B12">
        <v>2019</v>
      </c>
      <c r="C12" s="23">
        <v>20454917</v>
      </c>
      <c r="D12" s="23">
        <v>9218028</v>
      </c>
      <c r="E12">
        <v>1888935</v>
      </c>
    </row>
    <row r="13" spans="1:5" x14ac:dyDescent="0.35">
      <c r="A13" t="s">
        <v>15</v>
      </c>
      <c r="B13">
        <v>2019</v>
      </c>
      <c r="C13" s="23">
        <v>4418282</v>
      </c>
      <c r="D13" s="23">
        <v>1792488</v>
      </c>
      <c r="E13">
        <v>0</v>
      </c>
    </row>
    <row r="14" spans="1:5" x14ac:dyDescent="0.35">
      <c r="A14" t="s">
        <v>16</v>
      </c>
      <c r="B14">
        <v>2019</v>
      </c>
      <c r="C14" s="23">
        <v>103734267</v>
      </c>
      <c r="D14" s="23">
        <v>51817490</v>
      </c>
      <c r="E14">
        <v>316684</v>
      </c>
    </row>
    <row r="15" spans="1:5" x14ac:dyDescent="0.35">
      <c r="A15" t="s">
        <v>17</v>
      </c>
      <c r="B15">
        <v>2019</v>
      </c>
      <c r="C15" s="23">
        <v>19286019</v>
      </c>
      <c r="D15" s="23">
        <v>18241770</v>
      </c>
      <c r="E15">
        <v>450990</v>
      </c>
    </row>
    <row r="16" spans="1:5" x14ac:dyDescent="0.35">
      <c r="A16" t="s">
        <v>18</v>
      </c>
      <c r="B16">
        <v>2019</v>
      </c>
      <c r="C16" s="23">
        <v>11203459</v>
      </c>
      <c r="D16" s="23">
        <v>16204926</v>
      </c>
      <c r="E16">
        <v>0</v>
      </c>
    </row>
    <row r="17" spans="1:5" x14ac:dyDescent="0.35">
      <c r="A17" t="s">
        <v>19</v>
      </c>
      <c r="B17">
        <v>2019</v>
      </c>
      <c r="C17" s="23">
        <v>7512599</v>
      </c>
      <c r="D17" s="23">
        <v>7847064</v>
      </c>
      <c r="E17">
        <v>366540</v>
      </c>
    </row>
    <row r="18" spans="1:5" x14ac:dyDescent="0.35">
      <c r="A18" t="s">
        <v>20</v>
      </c>
      <c r="B18">
        <v>2019</v>
      </c>
      <c r="C18" s="23">
        <v>14087087</v>
      </c>
      <c r="D18" s="23">
        <v>35520308</v>
      </c>
      <c r="E18">
        <v>0</v>
      </c>
    </row>
    <row r="19" spans="1:5" x14ac:dyDescent="0.35">
      <c r="A19" t="s">
        <v>21</v>
      </c>
      <c r="B19">
        <v>2019</v>
      </c>
      <c r="C19" s="23">
        <v>15649937</v>
      </c>
      <c r="D19" s="23">
        <v>10323437</v>
      </c>
      <c r="E19">
        <v>0</v>
      </c>
    </row>
    <row r="20" spans="1:5" x14ac:dyDescent="0.35">
      <c r="A20" t="s">
        <v>22</v>
      </c>
      <c r="B20">
        <v>2019</v>
      </c>
      <c r="C20" s="23">
        <v>4137861</v>
      </c>
      <c r="D20" s="23">
        <v>10826516</v>
      </c>
      <c r="E20">
        <v>265210</v>
      </c>
    </row>
    <row r="21" spans="1:5" x14ac:dyDescent="0.35">
      <c r="A21" t="s">
        <v>23</v>
      </c>
      <c r="B21">
        <v>2019</v>
      </c>
      <c r="C21" s="23">
        <v>48391900</v>
      </c>
      <c r="D21" s="23">
        <v>26146936</v>
      </c>
      <c r="E21">
        <v>6636014</v>
      </c>
    </row>
    <row r="22" spans="1:5" x14ac:dyDescent="0.35">
      <c r="A22" t="s">
        <v>24</v>
      </c>
      <c r="B22">
        <v>2019</v>
      </c>
      <c r="C22" s="23">
        <v>43374617</v>
      </c>
      <c r="D22" s="23">
        <v>31031514</v>
      </c>
      <c r="E22">
        <v>3104521</v>
      </c>
    </row>
    <row r="23" spans="1:5" x14ac:dyDescent="0.35">
      <c r="A23" t="s">
        <v>25</v>
      </c>
      <c r="B23">
        <v>2019</v>
      </c>
      <c r="C23" s="23">
        <v>49939298</v>
      </c>
      <c r="D23" s="23">
        <v>50261455</v>
      </c>
      <c r="E23">
        <v>432546</v>
      </c>
    </row>
    <row r="24" spans="1:5" x14ac:dyDescent="0.35">
      <c r="A24" t="s">
        <v>26</v>
      </c>
      <c r="B24">
        <v>2019</v>
      </c>
      <c r="C24" s="23">
        <v>44630214</v>
      </c>
      <c r="D24" s="23">
        <v>37519099</v>
      </c>
      <c r="E24">
        <v>217003</v>
      </c>
    </row>
    <row r="25" spans="1:5" x14ac:dyDescent="0.35">
      <c r="A25" t="s">
        <v>27</v>
      </c>
      <c r="B25">
        <v>2019</v>
      </c>
      <c r="C25" s="23">
        <v>3281232</v>
      </c>
      <c r="D25" s="23">
        <v>10355411</v>
      </c>
      <c r="E25">
        <v>0</v>
      </c>
    </row>
    <row r="26" spans="1:5" x14ac:dyDescent="0.35">
      <c r="A26" t="s">
        <v>28</v>
      </c>
      <c r="B26">
        <v>2019</v>
      </c>
      <c r="C26" s="23">
        <v>29294533</v>
      </c>
      <c r="D26" s="23">
        <v>25977732</v>
      </c>
      <c r="E26">
        <v>0</v>
      </c>
    </row>
    <row r="27" spans="1:5" x14ac:dyDescent="0.35">
      <c r="A27" t="s">
        <v>29</v>
      </c>
      <c r="B27">
        <v>2019</v>
      </c>
      <c r="C27" s="23">
        <v>3791255</v>
      </c>
      <c r="D27" s="23">
        <v>2994570</v>
      </c>
      <c r="E27">
        <v>145031</v>
      </c>
    </row>
    <row r="28" spans="1:5" x14ac:dyDescent="0.35">
      <c r="A28" t="s">
        <v>30</v>
      </c>
      <c r="B28">
        <v>2019</v>
      </c>
      <c r="C28" s="23">
        <v>6276073</v>
      </c>
      <c r="D28" s="23">
        <v>4815160</v>
      </c>
      <c r="E28">
        <v>0</v>
      </c>
    </row>
    <row r="29" spans="1:5" x14ac:dyDescent="0.35">
      <c r="A29" t="s">
        <v>31</v>
      </c>
      <c r="B29">
        <v>2019</v>
      </c>
      <c r="C29" s="23">
        <v>22752296</v>
      </c>
      <c r="D29" s="23">
        <v>13795616</v>
      </c>
      <c r="E29">
        <v>410090</v>
      </c>
    </row>
    <row r="30" spans="1:5" x14ac:dyDescent="0.35">
      <c r="A30" t="s">
        <v>32</v>
      </c>
      <c r="B30">
        <v>2019</v>
      </c>
      <c r="C30" s="23">
        <v>2401459</v>
      </c>
      <c r="D30" s="23">
        <v>875174</v>
      </c>
      <c r="E30">
        <v>3969821</v>
      </c>
    </row>
    <row r="31" spans="1:5" x14ac:dyDescent="0.35">
      <c r="A31" t="s">
        <v>33</v>
      </c>
      <c r="B31">
        <v>2019</v>
      </c>
      <c r="C31" s="23">
        <v>85248950</v>
      </c>
      <c r="D31" s="23">
        <v>22632079</v>
      </c>
      <c r="E31">
        <v>30328896</v>
      </c>
    </row>
    <row r="32" spans="1:5" x14ac:dyDescent="0.35">
      <c r="A32" t="s">
        <v>34</v>
      </c>
      <c r="B32">
        <v>2019</v>
      </c>
      <c r="C32" s="23">
        <v>11058565</v>
      </c>
      <c r="D32" s="23">
        <v>4270615</v>
      </c>
      <c r="E32">
        <v>331362</v>
      </c>
    </row>
    <row r="33" spans="1:5" x14ac:dyDescent="0.35">
      <c r="A33" t="s">
        <v>35</v>
      </c>
      <c r="B33">
        <v>2019</v>
      </c>
      <c r="C33" s="23">
        <v>182735062</v>
      </c>
      <c r="D33" s="23">
        <v>62282351</v>
      </c>
      <c r="E33">
        <v>18162255</v>
      </c>
    </row>
    <row r="34" spans="1:5" x14ac:dyDescent="0.35">
      <c r="A34" t="s">
        <v>244</v>
      </c>
      <c r="B34">
        <v>2019</v>
      </c>
      <c r="C34" s="23">
        <v>37124123</v>
      </c>
      <c r="D34" s="23">
        <v>49037696</v>
      </c>
      <c r="E34">
        <v>2548230</v>
      </c>
    </row>
    <row r="35" spans="1:5" x14ac:dyDescent="0.35">
      <c r="A35" t="s">
        <v>36</v>
      </c>
      <c r="B35">
        <v>2019</v>
      </c>
      <c r="C35" s="23">
        <v>1934311</v>
      </c>
      <c r="D35" s="23">
        <v>4584891</v>
      </c>
      <c r="E35">
        <v>0</v>
      </c>
    </row>
    <row r="36" spans="1:5" x14ac:dyDescent="0.35">
      <c r="A36" t="s">
        <v>37</v>
      </c>
      <c r="B36">
        <v>2019</v>
      </c>
      <c r="C36" s="23">
        <v>56939993</v>
      </c>
      <c r="D36" s="23">
        <v>37821824</v>
      </c>
      <c r="E36">
        <v>515002</v>
      </c>
    </row>
    <row r="37" spans="1:5" x14ac:dyDescent="0.35">
      <c r="A37" t="s">
        <v>38</v>
      </c>
      <c r="B37">
        <v>2019</v>
      </c>
      <c r="C37" s="23">
        <v>7918742</v>
      </c>
      <c r="D37" s="23">
        <v>19161183</v>
      </c>
      <c r="E37">
        <v>92708</v>
      </c>
    </row>
    <row r="38" spans="1:5" x14ac:dyDescent="0.35">
      <c r="A38" t="s">
        <v>39</v>
      </c>
      <c r="B38">
        <v>2019</v>
      </c>
      <c r="C38" s="23">
        <v>33429198</v>
      </c>
      <c r="D38" s="23">
        <v>13160147</v>
      </c>
      <c r="E38">
        <v>3750422</v>
      </c>
    </row>
    <row r="39" spans="1:5" x14ac:dyDescent="0.35">
      <c r="A39" t="s">
        <v>40</v>
      </c>
      <c r="B39">
        <v>2019</v>
      </c>
      <c r="C39" s="23">
        <v>88986984</v>
      </c>
      <c r="D39" s="23">
        <v>44238102</v>
      </c>
      <c r="E39">
        <v>4926331</v>
      </c>
    </row>
    <row r="40" spans="1:5" x14ac:dyDescent="0.35">
      <c r="A40" t="s">
        <v>41</v>
      </c>
      <c r="B40">
        <v>2019</v>
      </c>
      <c r="C40" s="23">
        <v>8922598</v>
      </c>
      <c r="D40" s="23">
        <v>2424533</v>
      </c>
      <c r="E40">
        <v>0</v>
      </c>
    </row>
    <row r="41" spans="1:5" x14ac:dyDescent="0.35">
      <c r="A41" t="s">
        <v>245</v>
      </c>
      <c r="B41">
        <v>2019</v>
      </c>
      <c r="C41" s="23">
        <v>10435969</v>
      </c>
      <c r="D41" s="23">
        <v>9490872</v>
      </c>
      <c r="E41">
        <v>701719</v>
      </c>
    </row>
    <row r="42" spans="1:5" x14ac:dyDescent="0.35">
      <c r="A42" t="s">
        <v>42</v>
      </c>
      <c r="B42">
        <v>2019</v>
      </c>
      <c r="C42" s="23">
        <v>1450451</v>
      </c>
      <c r="D42" s="23">
        <v>5071774</v>
      </c>
      <c r="E42">
        <v>0</v>
      </c>
    </row>
    <row r="43" spans="1:5" x14ac:dyDescent="0.35">
      <c r="A43" t="s">
        <v>43</v>
      </c>
      <c r="B43">
        <v>2019</v>
      </c>
      <c r="C43" s="23">
        <v>21251959</v>
      </c>
      <c r="D43" s="23">
        <v>31402928</v>
      </c>
      <c r="E43">
        <v>326460</v>
      </c>
    </row>
    <row r="44" spans="1:5" x14ac:dyDescent="0.35">
      <c r="A44" t="s">
        <v>44</v>
      </c>
      <c r="B44">
        <v>2019</v>
      </c>
      <c r="C44" s="23">
        <v>140051617</v>
      </c>
      <c r="D44" s="23">
        <v>75039448</v>
      </c>
      <c r="E44">
        <v>14830278</v>
      </c>
    </row>
    <row r="45" spans="1:5" x14ac:dyDescent="0.35">
      <c r="A45" t="s">
        <v>45</v>
      </c>
      <c r="B45">
        <v>2019</v>
      </c>
      <c r="C45" s="23">
        <v>20872218</v>
      </c>
      <c r="D45" s="23">
        <v>3319266</v>
      </c>
      <c r="E45">
        <v>904101</v>
      </c>
    </row>
    <row r="46" spans="1:5" x14ac:dyDescent="0.35">
      <c r="A46" t="s">
        <v>46</v>
      </c>
      <c r="B46">
        <v>2019</v>
      </c>
      <c r="C46" s="23">
        <v>3731759</v>
      </c>
      <c r="D46" s="23">
        <v>13420628</v>
      </c>
      <c r="E46">
        <v>2005605</v>
      </c>
    </row>
    <row r="47" spans="1:5" x14ac:dyDescent="0.35">
      <c r="A47" t="s">
        <v>47</v>
      </c>
      <c r="B47">
        <v>2019</v>
      </c>
      <c r="C47" s="23">
        <v>44091053</v>
      </c>
      <c r="D47" s="23">
        <v>13200660</v>
      </c>
      <c r="E47">
        <v>4031352</v>
      </c>
    </row>
    <row r="48" spans="1:5" x14ac:dyDescent="0.35">
      <c r="A48" t="s">
        <v>48</v>
      </c>
      <c r="B48">
        <v>2019</v>
      </c>
      <c r="C48" s="23">
        <v>83332487</v>
      </c>
      <c r="D48" s="23">
        <v>28877650</v>
      </c>
      <c r="E48">
        <v>15447471</v>
      </c>
    </row>
    <row r="49" spans="1:5" x14ac:dyDescent="0.35">
      <c r="A49" t="s">
        <v>11</v>
      </c>
      <c r="B49">
        <v>2019</v>
      </c>
      <c r="C49" s="23">
        <v>38872603</v>
      </c>
      <c r="D49" s="23">
        <v>19685883</v>
      </c>
      <c r="E49">
        <v>0</v>
      </c>
    </row>
    <row r="50" spans="1:5" x14ac:dyDescent="0.35">
      <c r="A50" t="s">
        <v>49</v>
      </c>
      <c r="B50">
        <v>2019</v>
      </c>
      <c r="C50" s="23">
        <v>9309564</v>
      </c>
      <c r="D50" s="23">
        <v>2671749</v>
      </c>
      <c r="E50">
        <v>0</v>
      </c>
    </row>
    <row r="51" spans="1:5" x14ac:dyDescent="0.35">
      <c r="A51" t="s">
        <v>50</v>
      </c>
      <c r="B51">
        <v>2019</v>
      </c>
      <c r="C51" s="23">
        <v>33284438</v>
      </c>
      <c r="D51" s="23">
        <v>16792018</v>
      </c>
      <c r="E51">
        <v>880327</v>
      </c>
    </row>
    <row r="52" spans="1:5" x14ac:dyDescent="0.35">
      <c r="A52" t="s">
        <v>51</v>
      </c>
      <c r="B52">
        <v>2019</v>
      </c>
      <c r="C52" s="23">
        <v>2044125</v>
      </c>
      <c r="D52" s="23">
        <v>1673521</v>
      </c>
      <c r="E52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K54"/>
  <sheetViews>
    <sheetView tabSelected="1" workbookViewId="0">
      <selection activeCell="I9" sqref="I9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  <col min="9" max="9" width="12.1796875" bestFit="1" customWidth="1"/>
  </cols>
  <sheetData>
    <row r="1" spans="1:11" x14ac:dyDescent="0.35">
      <c r="A1" t="s">
        <v>0</v>
      </c>
      <c r="B1" t="s">
        <v>1</v>
      </c>
      <c r="C1" t="s">
        <v>312</v>
      </c>
      <c r="D1" t="s">
        <v>313</v>
      </c>
      <c r="E1" t="s">
        <v>314</v>
      </c>
      <c r="F1" t="s">
        <v>315</v>
      </c>
      <c r="H1" s="25"/>
      <c r="I1" s="25"/>
      <c r="J1" s="25"/>
      <c r="K1" s="25"/>
    </row>
    <row r="2" spans="1:11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  <c r="H2" s="25"/>
      <c r="I2" s="26"/>
      <c r="J2" s="25"/>
      <c r="K2" s="25"/>
    </row>
    <row r="3" spans="1:11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  <c r="H3" s="25"/>
      <c r="I3" s="26"/>
      <c r="J3" s="25"/>
      <c r="K3" s="25"/>
    </row>
    <row r="4" spans="1:11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  <c r="H4" s="25"/>
      <c r="I4" s="26"/>
      <c r="J4" s="25"/>
      <c r="K4" s="25"/>
    </row>
    <row r="5" spans="1:11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  <c r="H5" s="25"/>
      <c r="I5" s="26"/>
      <c r="J5" s="25"/>
      <c r="K5" s="25"/>
    </row>
    <row r="6" spans="1:11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  <c r="H6" s="25"/>
      <c r="I6" s="26"/>
      <c r="J6" s="25"/>
      <c r="K6" s="25"/>
    </row>
    <row r="7" spans="1:11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  <c r="H7" s="25"/>
      <c r="I7" s="26"/>
      <c r="J7" s="25"/>
      <c r="K7" s="25"/>
    </row>
    <row r="8" spans="1:11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  <c r="H8" s="25"/>
      <c r="I8" s="26"/>
      <c r="J8" s="25"/>
      <c r="K8" s="25"/>
    </row>
    <row r="9" spans="1:11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  <c r="H9" s="25"/>
      <c r="I9" s="26"/>
      <c r="J9" s="25"/>
      <c r="K9" s="25"/>
    </row>
    <row r="10" spans="1:11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  <c r="H10" s="25"/>
      <c r="I10" s="26"/>
      <c r="J10" s="25"/>
      <c r="K10" s="25"/>
    </row>
    <row r="11" spans="1:11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  <c r="H11" s="25"/>
      <c r="I11" s="26"/>
      <c r="J11" s="25"/>
      <c r="K11" s="25"/>
    </row>
    <row r="12" spans="1:11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  <c r="H12" s="25"/>
      <c r="I12" s="26"/>
      <c r="J12" s="25"/>
      <c r="K12" s="25"/>
    </row>
    <row r="13" spans="1:11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  <c r="H13" s="25"/>
      <c r="I13" s="26"/>
      <c r="J13" s="25"/>
      <c r="K13" s="25"/>
    </row>
    <row r="14" spans="1:11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  <c r="H14" s="25"/>
      <c r="I14" s="26"/>
      <c r="J14" s="25"/>
      <c r="K14" s="25"/>
    </row>
    <row r="15" spans="1:11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  <c r="H15" s="25"/>
      <c r="I15" s="26"/>
      <c r="J15" s="25"/>
      <c r="K15" s="25"/>
    </row>
    <row r="16" spans="1:11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  <c r="H16" s="25"/>
      <c r="I16" s="26"/>
      <c r="J16" s="25"/>
      <c r="K16" s="25"/>
    </row>
    <row r="17" spans="1:11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  <c r="H17" s="25"/>
      <c r="I17" s="26"/>
      <c r="J17" s="25"/>
      <c r="K17" s="25"/>
    </row>
    <row r="18" spans="1:11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  <c r="H18" s="25"/>
      <c r="I18" s="26"/>
      <c r="J18" s="25"/>
      <c r="K18" s="25"/>
    </row>
    <row r="19" spans="1:11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  <c r="H19" s="25"/>
      <c r="I19" s="26"/>
      <c r="J19" s="25"/>
      <c r="K19" s="25"/>
    </row>
    <row r="20" spans="1:11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  <c r="H20" s="25"/>
      <c r="I20" s="26"/>
      <c r="J20" s="25"/>
      <c r="K20" s="25"/>
    </row>
    <row r="21" spans="1:11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  <c r="H21" s="25"/>
      <c r="I21" s="26"/>
      <c r="J21" s="25"/>
      <c r="K21" s="25"/>
    </row>
    <row r="22" spans="1:11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  <c r="H22" s="25"/>
      <c r="I22" s="26"/>
      <c r="J22" s="25"/>
      <c r="K22" s="25"/>
    </row>
    <row r="23" spans="1:11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  <c r="H23" s="25"/>
      <c r="I23" s="26"/>
      <c r="J23" s="25"/>
      <c r="K23" s="25"/>
    </row>
    <row r="24" spans="1:11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  <c r="H24" s="25"/>
      <c r="I24" s="26"/>
      <c r="J24" s="25"/>
      <c r="K24" s="25"/>
    </row>
    <row r="25" spans="1:11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  <c r="H25" s="25"/>
      <c r="I25" s="26"/>
      <c r="J25" s="25"/>
      <c r="K25" s="25"/>
    </row>
    <row r="26" spans="1:11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  <c r="H26" s="25"/>
      <c r="I26" s="26"/>
      <c r="J26" s="25"/>
      <c r="K26" s="25"/>
    </row>
    <row r="27" spans="1:11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  <c r="H27" s="25"/>
      <c r="I27" s="26"/>
      <c r="J27" s="25"/>
      <c r="K27" s="25"/>
    </row>
    <row r="28" spans="1:11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  <c r="H28" s="25"/>
      <c r="I28" s="26"/>
      <c r="J28" s="25"/>
      <c r="K28" s="25"/>
    </row>
    <row r="29" spans="1:11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  <c r="H29" s="25"/>
      <c r="I29" s="26"/>
      <c r="J29" s="25"/>
      <c r="K29" s="25"/>
    </row>
    <row r="30" spans="1:11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  <c r="H30" s="25"/>
      <c r="I30" s="26"/>
      <c r="J30" s="25"/>
      <c r="K30" s="25"/>
    </row>
    <row r="31" spans="1:11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  <c r="H31" s="25"/>
      <c r="I31" s="26"/>
      <c r="J31" s="25"/>
      <c r="K31" s="25"/>
    </row>
    <row r="32" spans="1:11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  <c r="H32" s="25"/>
      <c r="I32" s="26"/>
      <c r="J32" s="25"/>
      <c r="K32" s="25"/>
    </row>
    <row r="33" spans="1:11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  <c r="H33" s="25"/>
      <c r="I33" s="26"/>
      <c r="J33" s="25"/>
      <c r="K33" s="25"/>
    </row>
    <row r="34" spans="1:11" x14ac:dyDescent="0.35">
      <c r="A34" t="s">
        <v>244</v>
      </c>
      <c r="B34">
        <v>2019</v>
      </c>
      <c r="C34">
        <v>931858</v>
      </c>
      <c r="D34">
        <v>0</v>
      </c>
      <c r="E34">
        <v>0</v>
      </c>
      <c r="F34">
        <v>45024652</v>
      </c>
      <c r="H34" s="25"/>
      <c r="I34" s="26"/>
      <c r="J34" s="25"/>
      <c r="K34" s="25"/>
    </row>
    <row r="35" spans="1:11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  <c r="H35" s="25"/>
      <c r="I35" s="26"/>
      <c r="J35" s="25"/>
      <c r="K35" s="25"/>
    </row>
    <row r="36" spans="1:11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  <c r="H36" s="25"/>
      <c r="I36" s="26"/>
      <c r="J36" s="25"/>
      <c r="K36" s="25"/>
    </row>
    <row r="37" spans="1:11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  <c r="H37" s="25"/>
      <c r="I37" s="26"/>
      <c r="J37" s="25"/>
      <c r="K37" s="25"/>
    </row>
    <row r="38" spans="1:11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  <c r="H38" s="25"/>
      <c r="I38" s="26"/>
      <c r="J38" s="25"/>
      <c r="K38" s="25"/>
    </row>
    <row r="39" spans="1:11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  <c r="H39" s="25"/>
      <c r="I39" s="26"/>
      <c r="J39" s="25"/>
      <c r="K39" s="25"/>
    </row>
    <row r="40" spans="1:11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  <c r="H40" s="25"/>
      <c r="I40" s="26"/>
      <c r="J40" s="25"/>
      <c r="K40" s="25"/>
    </row>
    <row r="41" spans="1:11" x14ac:dyDescent="0.35">
      <c r="A41" t="s">
        <v>245</v>
      </c>
      <c r="B41">
        <v>2019</v>
      </c>
      <c r="C41">
        <v>179063</v>
      </c>
      <c r="D41">
        <v>0</v>
      </c>
      <c r="E41">
        <v>0</v>
      </c>
      <c r="F41">
        <v>0</v>
      </c>
      <c r="H41" s="25"/>
      <c r="I41" s="26"/>
      <c r="J41" s="25"/>
      <c r="K41" s="25"/>
    </row>
    <row r="42" spans="1:11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  <c r="H42" s="25"/>
      <c r="I42" s="26"/>
      <c r="J42" s="25"/>
      <c r="K42" s="25"/>
    </row>
    <row r="43" spans="1:11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  <c r="H43" s="25"/>
      <c r="I43" s="26"/>
      <c r="J43" s="25"/>
      <c r="K43" s="25"/>
    </row>
    <row r="44" spans="1:11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  <c r="H44" s="25"/>
      <c r="I44" s="26"/>
      <c r="J44" s="25"/>
      <c r="K44" s="25"/>
    </row>
    <row r="45" spans="1:11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  <c r="H45" s="25"/>
      <c r="I45" s="26"/>
      <c r="J45" s="25"/>
      <c r="K45" s="25"/>
    </row>
    <row r="46" spans="1:11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  <c r="H46" s="25"/>
      <c r="I46" s="26"/>
      <c r="J46" s="25"/>
      <c r="K46" s="25"/>
    </row>
    <row r="47" spans="1:11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  <c r="H47" s="25"/>
      <c r="I47" s="26"/>
      <c r="J47" s="25"/>
      <c r="K47" s="25"/>
    </row>
    <row r="48" spans="1:11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  <c r="H48" s="25"/>
      <c r="I48" s="26"/>
      <c r="J48" s="25"/>
      <c r="K48" s="25"/>
    </row>
    <row r="49" spans="1:11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  <c r="H49" s="25"/>
      <c r="I49" s="26"/>
      <c r="J49" s="25"/>
      <c r="K49" s="25"/>
    </row>
    <row r="50" spans="1:11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  <c r="H50" s="25"/>
      <c r="I50" s="26"/>
      <c r="J50" s="25"/>
      <c r="K50" s="25"/>
    </row>
    <row r="51" spans="1:11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  <c r="H51" s="25"/>
      <c r="I51" s="26"/>
      <c r="J51" s="25"/>
      <c r="K51" s="25"/>
    </row>
    <row r="52" spans="1:11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  <c r="H52" s="25"/>
      <c r="I52" s="26"/>
      <c r="J52" s="25"/>
      <c r="K52" s="25"/>
    </row>
    <row r="53" spans="1:11" x14ac:dyDescent="0.35">
      <c r="H53" s="25"/>
      <c r="I53" s="25"/>
      <c r="J53" s="25"/>
      <c r="K53" s="25"/>
    </row>
    <row r="54" spans="1:11" x14ac:dyDescent="0.35">
      <c r="H54" s="25"/>
      <c r="I54" s="25"/>
      <c r="J54" s="25"/>
      <c r="K54" s="25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316</v>
      </c>
      <c r="C1" t="s">
        <v>317</v>
      </c>
      <c r="D1" t="s">
        <v>318</v>
      </c>
      <c r="E1" t="s">
        <v>319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Freight_Rail_Data</vt:lpstr>
      <vt:lpstr>Warming_Potential</vt:lpstr>
      <vt:lpstr>EV_Forecast</vt:lpstr>
      <vt:lpstr>Public_Transit_Mileage</vt:lpstr>
      <vt:lpstr>Passenger_Rail_State_Mileage</vt:lpstr>
      <vt:lpstr>Passenger_Rail_FuelFactors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2024-01-29T19:41:40Z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