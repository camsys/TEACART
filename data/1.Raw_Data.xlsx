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74" documentId="13_ncr:1_{1FBCA57C-6DC9-49DB-92F9-9F72A168ADC6}" xr6:coauthVersionLast="47" xr6:coauthVersionMax="47" xr10:uidLastSave="{EF5A304C-F499-4F31-8C49-1CFB71281F4F}"/>
  <bookViews>
    <workbookView xWindow="29070" yWindow="-14715" windowWidth="16440" windowHeight="29040" tabRatio="955" firstSheet="12" activeTab="17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<sst xmlns="http://schemas.openxmlformats.org/spreadsheetml/2006/main" count="8748" uniqueCount="335">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</sst>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3" dataDxfId="92">
  <autoFilter ref="A1:C154" xr:uid="{ADE72E7A-0DB0-4383-8DA6-330004A96BD0}"/>
  <tableColumns count="3">
    <tableColumn id="1" xr3:uid="{F73397ED-6858-4813-B93E-2A498EEFD6E3}" name="state" dataDxfId="91"/>
    <tableColumn id="2" xr3:uid="{EAD47E40-4750-4C1A-A537-F6E5EF6A8690}" name="year" dataDxfId="90"/>
    <tableColumn id="3" xr3:uid="{4E1E205E-B487-4A34-A35C-C243A187E68E}" name="population" dataDxfId="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88" dataDxfId="87">
  <autoFilter ref="A1:D1141" xr:uid="{582D4DAA-0A5B-4D25-ABF1-823CB17290ED}"/>
  <tableColumns count="4">
    <tableColumn id="2" xr3:uid="{A9C8722C-57C5-40ED-81D2-F9D452B57E3E}" name="veh_type" dataDxfId="86"/>
    <tableColumn id="1" xr3:uid="{3C2D67BB-3546-42C7-9841-AE339E1104FD}" name="veh_subtype" dataDxfId="85"/>
    <tableColumn id="3" xr3:uid="{0DD6F3F8-56C6-4110-A8A5-7C8CD018E715}" name="year" dataDxfId="84"/>
    <tableColumn id="4" xr3:uid="{753CDE3B-EF5E-47F8-951F-924B91E92EDB}" name="mpg_gasoline_eq" dataDxfId="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2"/>
    <tableColumn id="3" xr3:uid="{5494E6D8-5555-4D07-A136-D2F095F89A0D}" name="2021" dataDxfId="81"/>
    <tableColumn id="4" xr3:uid="{CB4CDFAB-90E2-419E-8EE6-8088731A718B}" name="2022" dataDxfId="80"/>
    <tableColumn id="5" xr3:uid="{BC7EE75F-AFCD-4529-B49D-65B37D50E18B}" name="2023" dataDxfId="79"/>
    <tableColumn id="6" xr3:uid="{2623A818-04D3-4CB7-9536-20CF33F0B445}" name="2024" dataDxfId="78"/>
    <tableColumn id="7" xr3:uid="{C39B458D-DADB-4DC8-8072-5961431A9CC2}" name="2025" dataDxfId="77"/>
    <tableColumn id="8" xr3:uid="{948F76BF-D2B4-4121-B3D8-5EDC8BE89BBD}" name="2026" dataDxfId="76"/>
    <tableColumn id="9" xr3:uid="{86DCCC54-C9B2-482B-A28E-FB136851756A}" name="2027" dataDxfId="75"/>
    <tableColumn id="10" xr3:uid="{1F24E1A2-102B-4F50-B2EF-531364FD506A}" name="2028" dataDxfId="74"/>
    <tableColumn id="11" xr3:uid="{B5BD79DC-374C-41E2-BBE0-C4FA5CA7266B}" name="2029" dataDxfId="73"/>
    <tableColumn id="12" xr3:uid="{6040F6C0-728F-4F56-82FA-8F335B346240}" name="2030" dataDxfId="72"/>
    <tableColumn id="13" xr3:uid="{777D8B44-0C5D-412C-83B4-00F03632ECF9}" name="2031" dataDxfId="71"/>
    <tableColumn id="14" xr3:uid="{9EC73B4B-E136-4AB8-B77D-C1FE60128A72}" name="2032" dataDxfId="70"/>
    <tableColumn id="15" xr3:uid="{87DBED95-4E40-4F35-AC1E-B196183A1426}" name="2033" dataDxfId="69"/>
    <tableColumn id="16" xr3:uid="{F1439027-BBF2-49AA-A591-3632F24804A1}" name="2034" dataDxfId="68"/>
    <tableColumn id="17" xr3:uid="{F7968730-192F-404F-9B45-308DDE081907}" name="2035" dataDxfId="67"/>
    <tableColumn id="18" xr3:uid="{7A7C733C-F5A6-49A9-BFF2-A495AEEB66C2}" name="2036" dataDxfId="66"/>
    <tableColumn id="19" xr3:uid="{58026119-8B8F-4A3D-83CA-4C8B006005FF}" name="2037" dataDxfId="65"/>
    <tableColumn id="20" xr3:uid="{0DC2964A-45E1-4675-9A45-6F69DA155672}" name="2038" dataDxfId="64"/>
    <tableColumn id="21" xr3:uid="{84BBC27E-E152-41D2-9036-587EF7DB9FF2}" name="2039" dataDxfId="63"/>
    <tableColumn id="22" xr3:uid="{3807A9C4-C050-4A3A-952A-5859AD2AE874}" name="2040" dataDxfId="62"/>
    <tableColumn id="23" xr3:uid="{FF9A5B48-C7D9-4B91-84E5-63297F2C4FEC}" name="2041" dataDxfId="61"/>
    <tableColumn id="24" xr3:uid="{8B5085CD-A302-4A03-B5EA-F22DABEA8C34}" name="2042" dataDxfId="60"/>
    <tableColumn id="25" xr3:uid="{136F35CC-46CA-4CB2-AA82-25188F53F90B}" name="2043" dataDxfId="59"/>
    <tableColumn id="26" xr3:uid="{D9C87554-6CC8-4B3B-873C-8198436EB206}" name="2044" dataDxfId="58"/>
    <tableColumn id="27" xr3:uid="{A5A1C6D2-F476-404B-8688-89130BE3DF0D}" name="2045" dataDxfId="57"/>
    <tableColumn id="28" xr3:uid="{88296D41-DBE1-4E61-96BF-AEF8FC13BE35}" name="2046" dataDxfId="56"/>
    <tableColumn id="29" xr3:uid="{CE07A51A-2B10-4EA2-ACE8-6F4BE2476DCE}" name="2047" dataDxfId="55"/>
    <tableColumn id="30" xr3:uid="{1DAC48BA-1924-498D-8FC3-861C248885FC}" name="2048" dataDxfId="54"/>
    <tableColumn id="31" xr3:uid="{B688E9DA-A549-42F4-AB8B-FDE0EFCB9009}" name="2049" dataDxfId="53"/>
    <tableColumn id="32" xr3:uid="{24389340-B3AB-4C24-8D9C-A0BD7675F042}" name="2050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1" dataDxfId="50">
  <autoFilter ref="A1:C125" xr:uid="{3CAC199F-1E44-400D-AE49-2DF031458F28}"/>
  <tableColumns count="3">
    <tableColumn id="1" xr3:uid="{51DE3611-329C-41B0-A4DB-52AE83C97AC8}" name="veh_type" dataDxfId="49"/>
    <tableColumn id="2" xr3:uid="{591F901E-48BF-4AA2-83C5-3ABFD077C4E7}" name="year" dataDxfId="48"/>
    <tableColumn id="3" xr3:uid="{68ED531E-CBD1-4FD0-B6FE-39DCA60A2D35}" name="VMT_AE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6" dataDxfId="45">
  <autoFilter ref="A1:H743" xr:uid="{1316E024-4D78-4E5E-A3BE-D1D66BF710F0}"/>
  <tableColumns count="8">
    <tableColumn id="1" xr3:uid="{8197FE9A-A39C-4187-B5AC-62137B98FA8C}" name="state" dataDxfId="44"/>
    <tableColumn id="2" xr3:uid="{33E598CD-870F-42AB-891F-120C293216E4}" name="road_class" dataDxfId="43"/>
    <tableColumn id="8" xr3:uid="{497DF0FF-D0A2-4A0F-AFE6-132C97C1B5AD}" name="area_type" dataDxfId="42"/>
    <tableColumn id="3" xr3:uid="{776B704E-54DA-4B36-942C-A38CD577374B}" name="VMT" dataDxfId="41"/>
    <tableColumn id="4" xr3:uid="{BDC6225D-BEFD-46A2-B173-8338BF6CD1D9}" name="ln_mile" dataDxfId="40"/>
    <tableColumn id="5" xr3:uid="{24DAA4FA-2524-49F1-8BF5-F7D985D4CF64}" name="cntrln_mile" dataDxfId="39"/>
    <tableColumn id="6" xr3:uid="{08E78B07-AE22-4A69-BADE-9D39986335D3}" name="AADT" dataDxfId="38"/>
    <tableColumn id="7" xr3:uid="{863F524C-50D9-4550-847E-504CEE40EC23}" name="VMT_perl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6"/>
    <tableColumn id="3" xr3:uid="{FEC27B6E-BBC0-45E0-8D54-901A00210403}" name="CO2eq_lbs_MWh" dataDxfId="35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4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3" dataDxfId="32">
  <autoFilter ref="A1:J52" xr:uid="{8F71A607-355D-4561-B371-DF64A33BAB60}"/>
  <tableColumns count="10">
    <tableColumn id="1" xr3:uid="{FCA1C28F-7FB1-4E75-ABE4-772AFC6C788B}" name="source" dataDxfId="31"/>
    <tableColumn id="2" xr3:uid="{8F610959-9FEF-4037-AD50-D15004FDEC97}" name="state " dataDxfId="30"/>
    <tableColumn id="3" xr3:uid="{DC14385D-FE79-4EBC-B031-AAF6DF063175}" name="gas_regular" dataDxfId="29"/>
    <tableColumn id="4" xr3:uid="{30495008-5280-426E-A40F-3CBF7D9B9A92}" name="gas_mid" dataDxfId="28"/>
    <tableColumn id="5" xr3:uid="{66FA34E8-985C-461A-9962-D27A2E7BC3B6}" name="gas_premium" dataDxfId="27"/>
    <tableColumn id="6" xr3:uid="{9B04AF70-034B-4C94-AFF3-98D10D1FD236}" name="gas_diesel" dataDxfId="26"/>
    <tableColumn id="7" xr3:uid="{2118497B-7145-40BC-9331-03F557AA7959}" name="electricity_retail_avg" dataDxfId="25"/>
    <tableColumn id="8" xr3:uid="{ACAB8D01-5214-4549-830E-B7BF39440F10}" name="electricity_summer_capacity" dataDxfId="24"/>
    <tableColumn id="9" xr3:uid="{E2BC6161-14F8-44FD-9F20-BBB936BC725E}" name="electricity_net_generation" dataDxfId="23"/>
    <tableColumn id="10" xr3:uid="{EBA42203-1B14-46B5-AF40-8E9C9B3EBA3C}" name="electricity_retail_sales" dataDxfId="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1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20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9">
      <calculatedColumnFormula>F2/E2</calculatedColumnFormula>
    </tableColumn>
    <tableColumn id="8" xr3:uid="{D8D93C7A-8CA9-4D72-844F-B335D2C20C19}" name="total_pass_miles" dataDxfId="18"/>
    <tableColumn id="10" xr3:uid="{F5AEBFD2-08D8-4868-BAFE-9688429964B0}" name="load_factor" dataDxfId="17"/>
    <tableColumn id="11" xr3:uid="{05EF0C75-B302-4BAB-8F15-9D21DC18BA9D}" name="avg_trip_length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5"/>
    <tableColumn id="6" xr3:uid="{E24522AC-FEF6-4CF1-A652-CD1CACE1519C}" name="GWP_N20_g_per_mi" dataDxfId="14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3"/>
    <tableColumn id="10" xr3:uid="{236B1E85-CD34-4728-A85A-22981CBD37AD}" name="GWP_N20_g_per_gallon" dataDxfId="12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6" dataDxfId="5">
  <autoFilter ref="A1:E56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6" t="s">
        <v>247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318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319</v>
      </c>
      <c r="B2" t="s">
        <v>325</v>
      </c>
      <c r="C2">
        <v>327</v>
      </c>
      <c r="D2">
        <v>798</v>
      </c>
      <c r="E2">
        <v>0</v>
      </c>
    </row>
    <row r="3" spans="1:5" x14ac:dyDescent="0.35">
      <c r="A3" t="s">
        <v>319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319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319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320</v>
      </c>
      <c r="B6" t="s">
        <v>325</v>
      </c>
      <c r="C6">
        <v>150</v>
      </c>
      <c r="D6">
        <v>0</v>
      </c>
      <c r="E6">
        <v>0</v>
      </c>
    </row>
    <row r="7" spans="1:5" x14ac:dyDescent="0.35">
      <c r="A7" t="s">
        <v>320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321</v>
      </c>
      <c r="B10" t="s">
        <v>325</v>
      </c>
      <c r="C10">
        <v>203.25</v>
      </c>
      <c r="D10">
        <v>0</v>
      </c>
      <c r="E10">
        <v>0</v>
      </c>
    </row>
    <row r="11" spans="1:5" x14ac:dyDescent="0.35">
      <c r="A11" t="s">
        <v>321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322</v>
      </c>
      <c r="B14" t="s">
        <v>325</v>
      </c>
      <c r="C14">
        <v>0</v>
      </c>
      <c r="D14">
        <v>798</v>
      </c>
      <c r="E14">
        <v>0</v>
      </c>
    </row>
    <row r="15" spans="1:5" x14ac:dyDescent="0.35">
      <c r="A15" t="s">
        <v>322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323</v>
      </c>
      <c r="B18" t="s">
        <v>325</v>
      </c>
      <c r="C18">
        <v>150</v>
      </c>
      <c r="D18">
        <v>798</v>
      </c>
      <c r="E18">
        <v>0</v>
      </c>
    </row>
    <row r="19" spans="1:5" x14ac:dyDescent="0.35">
      <c r="A19" t="s">
        <v>323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J14" sqref="J14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topLeftCell="A151"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317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326</v>
      </c>
      <c r="E1" t="s">
        <v>327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328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329</v>
      </c>
      <c r="C6">
        <v>0.24</v>
      </c>
    </row>
    <row r="7" spans="1:3" x14ac:dyDescent="0.35">
      <c r="A7" t="s">
        <v>156</v>
      </c>
      <c r="B7" t="s">
        <v>329</v>
      </c>
      <c r="C7">
        <v>0.21</v>
      </c>
    </row>
    <row r="8" spans="1:3" x14ac:dyDescent="0.35">
      <c r="A8" t="s">
        <v>66</v>
      </c>
      <c r="B8" t="s">
        <v>329</v>
      </c>
      <c r="C8">
        <v>0.28999999999999998</v>
      </c>
    </row>
    <row r="9" spans="1:3" x14ac:dyDescent="0.35">
      <c r="A9" t="s">
        <v>59</v>
      </c>
      <c r="B9" t="s">
        <v>329</v>
      </c>
      <c r="C9">
        <v>0</v>
      </c>
    </row>
    <row r="10" spans="1:3" x14ac:dyDescent="0.35">
      <c r="A10" t="s">
        <v>70</v>
      </c>
      <c r="B10" t="s">
        <v>329</v>
      </c>
      <c r="C10">
        <v>0</v>
      </c>
    </row>
    <row r="11" spans="1:3" x14ac:dyDescent="0.35">
      <c r="A11" t="s">
        <v>298</v>
      </c>
      <c r="B11" t="s">
        <v>329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abSelected="1" workbookViewId="0">
      <selection activeCell="A92" sqref="A92:A121"/>
    </sheetView>
  </sheetViews>
  <sheetFormatPr defaultRowHeight="14.5" x14ac:dyDescent="0.35"/>
  <cols>
    <col min="1" max="1" width="17.54296875" bestFit="1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185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185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185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185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185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185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185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185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185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185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185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185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185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185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185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185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185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185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185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185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185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185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185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185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185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185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185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185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185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185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184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184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184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184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184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184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184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184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184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184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184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184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184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184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184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184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184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184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184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184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184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184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184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184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184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184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184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184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184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184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210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210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210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210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210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210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210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210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210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210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210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210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210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210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210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210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210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210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210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210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210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210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210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210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210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210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210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210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210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210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196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196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196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196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196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196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196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196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196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196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196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196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196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196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196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196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196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196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196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196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196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196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196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196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196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196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196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196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196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196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308</v>
      </c>
      <c r="D1" t="s">
        <v>309</v>
      </c>
      <c r="E1" t="s">
        <v>310</v>
      </c>
      <c r="F1" t="s">
        <v>311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312</v>
      </c>
      <c r="C1" t="s">
        <v>313</v>
      </c>
      <c r="D1" t="s">
        <v>314</v>
      </c>
      <c r="E1" t="s">
        <v>315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316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244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245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workbookViewId="0">
      <selection activeCell="B2" sqref="B2:B56"/>
    </sheetView>
  </sheetViews>
  <sheetFormatPr defaultRowHeight="14.5" x14ac:dyDescent="0.35"/>
  <sheetData>
    <row r="1" spans="1:5" x14ac:dyDescent="0.35">
      <c r="A1" s="23" t="s">
        <v>330</v>
      </c>
      <c r="B1" s="23" t="s">
        <v>1</v>
      </c>
      <c r="C1" s="23" t="s">
        <v>331</v>
      </c>
      <c r="D1" s="23" t="s">
        <v>332</v>
      </c>
      <c r="E1" s="23" t="s">
        <v>333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244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245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334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2024-02-21T20:49:13Z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