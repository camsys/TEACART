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439" documentId="13_ncr:1_{1FBCA57C-6DC9-49DB-92F9-9F72A168ADC6}" xr6:coauthVersionLast="47" xr6:coauthVersionMax="47" xr10:uidLastSave="{2C141424-040E-4374-82CD-2CCD4D94C239}"/>
  <bookViews>
    <workbookView xWindow="-110" yWindow="-110" windowWidth="19420" windowHeight="10420" tabRatio="955" firstSheet="17" activeTab="22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29" l="1"/>
  <c r="E57" i="29"/>
  <c r="C57" i="29"/>
  <c r="C53" i="27"/>
  <c r="D53" i="25"/>
  <c r="E53" i="25"/>
  <c r="F53" i="25"/>
  <c r="C53" i="25"/>
  <c r="I53" i="10"/>
  <c r="J53" i="10"/>
  <c r="H53" i="10"/>
  <c r="D53" i="10"/>
  <c r="E53" i="10"/>
  <c r="F53" i="10"/>
  <c r="G53" i="10"/>
  <c r="C53" i="10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H196" i="16"/>
  <c r="D197" i="16"/>
  <c r="G197" i="16" s="1" a="1"/>
  <c r="G197" i="16" s="1"/>
  <c r="E197" i="16"/>
  <c r="F197" i="16"/>
  <c r="H197" i="16"/>
  <c r="D198" i="16"/>
  <c r="E198" i="16"/>
  <c r="F198" i="16"/>
  <c r="G198" i="16" a="1"/>
  <c r="G198" i="16"/>
  <c r="H198" i="16"/>
  <c r="D199" i="16"/>
  <c r="E199" i="16"/>
  <c r="F199" i="16"/>
  <c r="G199" i="16" a="1"/>
  <c r="G199" i="16" s="1"/>
  <c r="H199" i="16"/>
  <c r="D200" i="16"/>
  <c r="G200" i="16" s="1" a="1"/>
  <c r="G200" i="16" s="1"/>
  <c r="E200" i="16"/>
  <c r="F200" i="16"/>
  <c r="H200" i="16"/>
  <c r="D195" i="16"/>
  <c r="E195" i="16"/>
  <c r="F195" i="16"/>
  <c r="H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K155" i="12" s="1"/>
  <c r="I155" i="12" s="1"/>
  <c r="J155" i="12" s="1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G195" i="16" l="1" a="1"/>
  <c r="G195" i="16" s="1"/>
  <c r="I113" i="12"/>
  <c r="J113" i="12" s="1"/>
  <c r="I165" i="12"/>
  <c r="J165" i="12" s="1"/>
  <c r="I185" i="12"/>
  <c r="J185" i="12" s="1"/>
  <c r="I193" i="12"/>
  <c r="J193" i="12" s="1"/>
  <c r="I110" i="12"/>
  <c r="J110" i="12" s="1"/>
  <c r="I146" i="12"/>
  <c r="J146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1" i="12"/>
  <c r="J111" i="12" s="1"/>
  <c r="I115" i="12"/>
  <c r="J115" i="12" s="1"/>
  <c r="I147" i="12"/>
  <c r="J147" i="12" s="1"/>
  <c r="I151" i="12"/>
  <c r="J151" i="12" s="1"/>
  <c r="K146" i="12"/>
  <c r="I109" i="12"/>
  <c r="J109" i="12" s="1"/>
  <c r="K111" i="12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89" i="12"/>
  <c r="J189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<sst xmlns="http://schemas.openxmlformats.org/spreadsheetml/2006/main" count="9114" uniqueCount="340">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</sst>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  <xf numFmtId="0" fontId="9" fillId="0" borderId="1" xfId="0" applyFont="1" applyBorder="1"/>
    <xf numFmtId="168" fontId="0" fillId="4" borderId="0" xfId="0" applyNumberFormat="1" applyFill="1"/>
    <xf numFmtId="0" fontId="0" fillId="0" borderId="0" xfId="0" applyNumberFormat="1"/>
    <xf numFmtId="0" fontId="2" fillId="0" borderId="0" xfId="0" applyNumberFormat="1" applyFont="1"/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95" dataDxfId="94">
  <autoFilter ref="A1:C157" xr:uid="{ADE72E7A-0DB0-4383-8DA6-330004A96BD0}"/>
  <tableColumns count="3">
    <tableColumn id="1" xr3:uid="{F73397ED-6858-4813-B93E-2A498EEFD6E3}" name="state" dataDxfId="0"/>
    <tableColumn id="2" xr3:uid="{EAD47E40-4750-4C1A-A537-F6E5EF6A8690}" name="year" dataDxfId="1"/>
    <tableColumn id="3" xr3:uid="{4E1E205E-B487-4A34-A35C-C243A187E68E}" name="population" dataDxfId="9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2" dataDxfId="91">
  <autoFilter ref="A1:D1141" xr:uid="{582D4DAA-0A5B-4D25-ABF1-823CB17290ED}"/>
  <tableColumns count="4">
    <tableColumn id="2" xr3:uid="{A9C8722C-57C5-40ED-81D2-F9D452B57E3E}" name="veh_type" dataDxfId="90"/>
    <tableColumn id="1" xr3:uid="{3C2D67BB-3546-42C7-9841-AE339E1104FD}" name="veh_subtype" dataDxfId="89"/>
    <tableColumn id="3" xr3:uid="{0DD6F3F8-56C6-4110-A8A5-7C8CD018E715}" name="year" dataDxfId="88"/>
    <tableColumn id="4" xr3:uid="{753CDE3B-EF5E-47F8-951F-924B91E92EDB}" name="mpg_gasoline_eq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6"/>
    <tableColumn id="3" xr3:uid="{5494E6D8-5555-4D07-A136-D2F095F89A0D}" name="2021" dataDxfId="85"/>
    <tableColumn id="4" xr3:uid="{CB4CDFAB-90E2-419E-8EE6-8088731A718B}" name="2022" dataDxfId="84"/>
    <tableColumn id="5" xr3:uid="{BC7EE75F-AFCD-4529-B49D-65B37D50E18B}" name="2023" dataDxfId="83"/>
    <tableColumn id="6" xr3:uid="{2623A818-04D3-4CB7-9536-20CF33F0B445}" name="2024" dataDxfId="82"/>
    <tableColumn id="7" xr3:uid="{C39B458D-DADB-4DC8-8072-5961431A9CC2}" name="2025" dataDxfId="81"/>
    <tableColumn id="8" xr3:uid="{948F76BF-D2B4-4121-B3D8-5EDC8BE89BBD}" name="2026" dataDxfId="80"/>
    <tableColumn id="9" xr3:uid="{86DCCC54-C9B2-482B-A28E-FB136851756A}" name="2027" dataDxfId="79"/>
    <tableColumn id="10" xr3:uid="{1F24E1A2-102B-4F50-B2EF-531364FD506A}" name="2028" dataDxfId="78"/>
    <tableColumn id="11" xr3:uid="{B5BD79DC-374C-41E2-BBE0-C4FA5CA7266B}" name="2029" dataDxfId="77"/>
    <tableColumn id="12" xr3:uid="{6040F6C0-728F-4F56-82FA-8F335B346240}" name="2030" dataDxfId="76"/>
    <tableColumn id="13" xr3:uid="{777D8B44-0C5D-412C-83B4-00F03632ECF9}" name="2031" dataDxfId="75"/>
    <tableColumn id="14" xr3:uid="{9EC73B4B-E136-4AB8-B77D-C1FE60128A72}" name="2032" dataDxfId="74"/>
    <tableColumn id="15" xr3:uid="{87DBED95-4E40-4F35-AC1E-B196183A1426}" name="2033" dataDxfId="73"/>
    <tableColumn id="16" xr3:uid="{F1439027-BBF2-49AA-A591-3632F24804A1}" name="2034" dataDxfId="72"/>
    <tableColumn id="17" xr3:uid="{F7968730-192F-404F-9B45-308DDE081907}" name="2035" dataDxfId="71"/>
    <tableColumn id="18" xr3:uid="{7A7C733C-F5A6-49A9-BFF2-A495AEEB66C2}" name="2036" dataDxfId="70"/>
    <tableColumn id="19" xr3:uid="{58026119-8B8F-4A3D-83CA-4C8B006005FF}" name="2037" dataDxfId="69"/>
    <tableColumn id="20" xr3:uid="{0DC2964A-45E1-4675-9A45-6F69DA155672}" name="2038" dataDxfId="68"/>
    <tableColumn id="21" xr3:uid="{84BBC27E-E152-41D2-9036-587EF7DB9FF2}" name="2039" dataDxfId="67"/>
    <tableColumn id="22" xr3:uid="{3807A9C4-C050-4A3A-952A-5859AD2AE874}" name="2040" dataDxfId="66"/>
    <tableColumn id="23" xr3:uid="{FF9A5B48-C7D9-4B91-84E5-63297F2C4FEC}" name="2041" dataDxfId="65"/>
    <tableColumn id="24" xr3:uid="{8B5085CD-A302-4A03-B5EA-F22DABEA8C34}" name="2042" dataDxfId="64"/>
    <tableColumn id="25" xr3:uid="{136F35CC-46CA-4CB2-AA82-25188F53F90B}" name="2043" dataDxfId="63"/>
    <tableColumn id="26" xr3:uid="{D9C87554-6CC8-4B3B-873C-8198436EB206}" name="2044" dataDxfId="62"/>
    <tableColumn id="27" xr3:uid="{A5A1C6D2-F476-404B-8688-89130BE3DF0D}" name="2045" dataDxfId="61"/>
    <tableColumn id="28" xr3:uid="{88296D41-DBE1-4E61-96BF-AEF8FC13BE35}" name="2046" dataDxfId="60"/>
    <tableColumn id="29" xr3:uid="{CE07A51A-2B10-4EA2-ACE8-6F4BE2476DCE}" name="2047" dataDxfId="59"/>
    <tableColumn id="30" xr3:uid="{1DAC48BA-1924-498D-8FC3-861C248885FC}" name="2048" dataDxfId="58"/>
    <tableColumn id="31" xr3:uid="{B688E9DA-A549-42F4-AB8B-FDE0EFCB9009}" name="2049" dataDxfId="57"/>
    <tableColumn id="32" xr3:uid="{24389340-B3AB-4C24-8D9C-A0BD7675F042}" name="2050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5" dataDxfId="54">
  <autoFilter ref="A1:C125" xr:uid="{3CAC199F-1E44-400D-AE49-2DF031458F28}"/>
  <tableColumns count="3">
    <tableColumn id="1" xr3:uid="{51DE3611-329C-41B0-A4DB-52AE83C97AC8}" name="veh_type" dataDxfId="53"/>
    <tableColumn id="2" xr3:uid="{591F901E-48BF-4AA2-83C5-3ABFD077C4E7}" name="year" dataDxfId="52"/>
    <tableColumn id="3" xr3:uid="{68ED531E-CBD1-4FD0-B6FE-39DCA60A2D35}" name="VMT_AEO" dataDxfId="5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0" dataDxfId="49">
  <autoFilter ref="A1:H743" xr:uid="{1316E024-4D78-4E5E-A3BE-D1D66BF710F0}"/>
  <tableColumns count="8">
    <tableColumn id="1" xr3:uid="{8197FE9A-A39C-4187-B5AC-62137B98FA8C}" name="state" dataDxfId="48"/>
    <tableColumn id="2" xr3:uid="{33E598CD-870F-42AB-891F-120C293216E4}" name="road_class" dataDxfId="47"/>
    <tableColumn id="8" xr3:uid="{497DF0FF-D0A2-4A0F-AFE6-132C97C1B5AD}" name="area_type" dataDxfId="46"/>
    <tableColumn id="3" xr3:uid="{776B704E-54DA-4B36-942C-A38CD577374B}" name="VMT" dataDxfId="45"/>
    <tableColumn id="4" xr3:uid="{BDC6225D-BEFD-46A2-B173-8338BF6CD1D9}" name="ln_mile" dataDxfId="44"/>
    <tableColumn id="5" xr3:uid="{24DAA4FA-2524-49F1-8BF5-F7D985D4CF64}" name="cntrln_mile" dataDxfId="43"/>
    <tableColumn id="6" xr3:uid="{08E78B07-AE22-4A69-BADE-9D39986335D3}" name="AADT" dataDxfId="42"/>
    <tableColumn id="7" xr3:uid="{863F524C-50D9-4550-847E-504CEE40EC23}" name="VMT_perln" dataDxfId="4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0"/>
    <tableColumn id="3" xr3:uid="{FEC27B6E-BBC0-45E0-8D54-901A00210403}" name="CO2eq_lbs_MWh" dataDxfId="39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38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37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6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5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4" dataDxfId="33">
  <autoFilter ref="A1:J53" xr:uid="{8F71A607-355D-4561-B371-DF64A33BAB60}"/>
  <tableColumns count="10">
    <tableColumn id="1" xr3:uid="{FCA1C28F-7FB1-4E75-ABE4-772AFC6C788B}" name="source" dataDxfId="32"/>
    <tableColumn id="2" xr3:uid="{8F610959-9FEF-4037-AD50-D15004FDEC97}" name="state" dataDxfId="31"/>
    <tableColumn id="3" xr3:uid="{DC14385D-FE79-4EBC-B031-AAF6DF063175}" name="gas_regular" dataDxfId="30"/>
    <tableColumn id="4" xr3:uid="{30495008-5280-426E-A40F-3CBF7D9B9A92}" name="gas_mid" dataDxfId="29"/>
    <tableColumn id="5" xr3:uid="{66FA34E8-985C-461A-9962-D27A2E7BC3B6}" name="gas_premium" dataDxfId="28"/>
    <tableColumn id="6" xr3:uid="{9B04AF70-034B-4C94-AFF3-98D10D1FD236}" name="gas_diesel" dataDxfId="27"/>
    <tableColumn id="7" xr3:uid="{2118497B-7145-40BC-9331-03F557AA7959}" name="electricity_retail_avg" dataDxfId="26"/>
    <tableColumn id="8" xr3:uid="{ACAB8D01-5214-4549-830E-B7BF39440F10}" name="electricity_summer_capacity" dataDxfId="25"/>
    <tableColumn id="9" xr3:uid="{E2BC6161-14F8-44FD-9F20-BBB936BC725E}" name="electricity_net_generation" dataDxfId="24"/>
    <tableColumn id="10" xr3:uid="{EBA42203-1B14-46B5-AF40-8E9C9B3EBA3C}" name="electricity_retail_sales" dataDxfId="2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2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1">
      <calculatedColumnFormula>F2/E2</calculatedColumnFormula>
    </tableColumn>
    <tableColumn id="8" xr3:uid="{D8D93C7A-8CA9-4D72-844F-B335D2C20C19}" name="total_pass_miles" dataDxfId="20"/>
    <tableColumn id="10" xr3:uid="{F5AEBFD2-08D8-4868-BAFE-9688429964B0}" name="load_factor" dataDxfId="19"/>
    <tableColumn id="11" xr3:uid="{05EF0C75-B302-4BAB-8F15-9D21DC18BA9D}" name="avg_trip_length" dataDxfId="1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7"/>
    <tableColumn id="6" xr3:uid="{E24522AC-FEF6-4CF1-A652-CD1CACE1519C}" name="GWP_N20_g_per_mi" dataDxfId="16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5"/>
    <tableColumn id="10" xr3:uid="{236B1E85-CD34-4728-A85A-22981CBD37AD}" name="GWP_N20_g_per_gallon" dataDxfId="14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3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2"/>
    <tableColumn id="3" xr3:uid="{E65C9314-C120-4F4A-B346-84C59D802685}" name="CR_Energy_Intensity_BTUPerPaxMil" dataDxfId="11"/>
    <tableColumn id="4" xr3:uid="{425B37B1-3EA8-495D-91F4-852DA9CC3D68}" name="HR_Energy_Intensity_BTUPerPaxMil" dataDxfId="10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3" totalsRowShown="0">
  <autoFilter ref="A1:C53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8" dataDxfId="7">
  <autoFilter ref="A1:E57" xr:uid="{C901F22A-A043-4FE0-8C77-891B5FA3758C}"/>
  <tableColumns count="5">
    <tableColumn id="2" xr3:uid="{F5A4F286-87E2-4E79-8A9B-680A1C2FAED3}" name="State" dataDxfId="6"/>
    <tableColumn id="1" xr3:uid="{933F9A1A-A0A7-4F3E-8987-E1DBBEA5652B}" name="year" dataDxfId="5"/>
    <tableColumn id="3" xr3:uid="{180BA1B0-69F9-4548-A8B9-F87BA72BD396}" name="CB" dataDxfId="4"/>
    <tableColumn id="4" xr3:uid="{8161DDC3-4000-4841-89A1-08C8420F7E4E}" name="DR" dataDxfId="3"/>
    <tableColumn id="5" xr3:uid="{9E575DE0-C23F-4F23-AC43-20D0423FD10F}" name="MB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workbookViewId="0">
      <selection activeCell="A158" sqref="A158"/>
    </sheetView>
  </sheetViews>
  <sheetFormatPr defaultRowHeight="14.5" x14ac:dyDescent="0.35"/>
  <cols>
    <col min="1" max="1" width="17.36328125" bestFit="1" customWidth="1"/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242</v>
      </c>
      <c r="B68" s="1">
        <v>2020</v>
      </c>
      <c r="C68" s="1">
        <v>10568032.77</v>
      </c>
    </row>
    <row r="69" spans="1:3" x14ac:dyDescent="0.35">
      <c r="A69" s="1" t="s">
        <v>242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243</v>
      </c>
      <c r="B82" s="1">
        <v>2020</v>
      </c>
      <c r="C82" s="1">
        <v>5184564.4369999999</v>
      </c>
    </row>
    <row r="83" spans="1:3" x14ac:dyDescent="0.35">
      <c r="A83" s="1" t="s">
        <v>243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242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243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  <row r="155" spans="1:3" ht="15" thickBot="1" x14ac:dyDescent="0.4">
      <c r="A155" s="1" t="s">
        <v>336</v>
      </c>
      <c r="B155">
        <v>2020</v>
      </c>
      <c r="C155">
        <v>332527547.99790001</v>
      </c>
    </row>
    <row r="156" spans="1:3" ht="15.5" thickTop="1" thickBot="1" x14ac:dyDescent="0.4">
      <c r="A156" s="27" t="s">
        <v>336</v>
      </c>
      <c r="B156">
        <v>2030</v>
      </c>
      <c r="C156">
        <v>357975718.83530015</v>
      </c>
    </row>
    <row r="157" spans="1:3" ht="15" thickTop="1" x14ac:dyDescent="0.35">
      <c r="A157" s="27" t="s">
        <v>336</v>
      </c>
      <c r="B157">
        <v>2040</v>
      </c>
      <c r="C157">
        <v>379392778.53070009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2612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206</v>
      </c>
      <c r="C1" s="9" t="s">
        <v>1</v>
      </c>
      <c r="D1" s="9" t="s">
        <v>54</v>
      </c>
    </row>
    <row r="2" spans="1:4" x14ac:dyDescent="0.35">
      <c r="A2" s="1" t="s">
        <v>194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208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208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208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208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208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208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208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208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208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208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208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208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208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208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208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208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208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208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208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208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208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208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208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208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208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208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208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208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208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208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208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208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208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208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208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208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208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208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208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208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208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208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208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208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208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208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208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208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208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208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208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208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208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208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208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208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208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208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208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208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208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208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208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208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208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208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208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208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208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208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208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208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208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208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208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208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208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208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208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208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208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208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208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208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208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208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208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208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208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208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208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208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208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208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208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208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208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208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208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208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208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208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208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208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208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208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208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208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208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208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208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208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208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208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208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208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208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208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208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208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208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208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208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208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208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208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208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208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208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208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208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208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208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208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208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208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208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208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208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208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208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208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208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208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208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208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208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208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208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208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208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208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208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208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208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208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208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208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208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208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208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208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208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208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208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208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208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208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208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208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208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208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208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208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208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208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208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208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208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208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208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208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208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208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208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208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208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208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208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208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208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208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208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208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208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208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208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208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208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208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208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208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208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208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208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208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208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208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208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208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208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208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208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208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208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208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208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208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208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208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208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208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208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208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208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208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208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208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208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208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208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208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208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208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208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208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208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208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208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208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206</v>
      </c>
      <c r="C1" t="s">
        <v>209</v>
      </c>
      <c r="D1" t="s">
        <v>210</v>
      </c>
      <c r="E1" t="s">
        <v>211</v>
      </c>
      <c r="F1" t="s">
        <v>212</v>
      </c>
      <c r="G1" t="s">
        <v>213</v>
      </c>
      <c r="H1" t="s">
        <v>214</v>
      </c>
      <c r="I1" t="s">
        <v>215</v>
      </c>
      <c r="J1" t="s">
        <v>216</v>
      </c>
      <c r="K1" t="s">
        <v>217</v>
      </c>
      <c r="L1" t="s">
        <v>218</v>
      </c>
      <c r="M1" t="s">
        <v>219</v>
      </c>
      <c r="N1" t="s">
        <v>220</v>
      </c>
      <c r="O1" t="s">
        <v>221</v>
      </c>
      <c r="P1" t="s">
        <v>222</v>
      </c>
      <c r="Q1" t="s">
        <v>223</v>
      </c>
      <c r="R1" t="s">
        <v>224</v>
      </c>
      <c r="S1" t="s">
        <v>225</v>
      </c>
      <c r="T1" t="s">
        <v>226</v>
      </c>
      <c r="U1" t="s">
        <v>227</v>
      </c>
      <c r="V1" t="s">
        <v>228</v>
      </c>
      <c r="W1" t="s">
        <v>229</v>
      </c>
      <c r="X1" t="s">
        <v>230</v>
      </c>
      <c r="Y1" t="s">
        <v>231</v>
      </c>
      <c r="Z1" t="s">
        <v>232</v>
      </c>
      <c r="AA1" t="s">
        <v>233</v>
      </c>
      <c r="AB1" t="s">
        <v>234</v>
      </c>
      <c r="AC1" t="s">
        <v>235</v>
      </c>
      <c r="AD1" t="s">
        <v>236</v>
      </c>
      <c r="AE1" t="s">
        <v>237</v>
      </c>
      <c r="AF1" t="s">
        <v>238</v>
      </c>
    </row>
    <row r="2" spans="1:32" x14ac:dyDescent="0.35">
      <c r="A2" t="s">
        <v>194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194</v>
      </c>
      <c r="B7" s="16" t="s">
        <v>207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182</v>
      </c>
      <c r="B18" s="16" t="s">
        <v>207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208</v>
      </c>
      <c r="B24" s="16" t="s">
        <v>207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208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208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208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208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208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208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208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183</v>
      </c>
      <c r="B32" s="16" t="s">
        <v>207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183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183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183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183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183</v>
      </c>
      <c r="B2" s="1">
        <v>2020</v>
      </c>
      <c r="C2" s="1">
        <v>0</v>
      </c>
    </row>
    <row r="3" spans="1:3" x14ac:dyDescent="0.35">
      <c r="A3" s="1" t="s">
        <v>182</v>
      </c>
      <c r="B3" s="1">
        <v>2020</v>
      </c>
      <c r="C3" s="1">
        <v>0</v>
      </c>
    </row>
    <row r="4" spans="1:3" x14ac:dyDescent="0.35">
      <c r="A4" s="1" t="s">
        <v>208</v>
      </c>
      <c r="B4" s="1">
        <v>2020</v>
      </c>
      <c r="C4" s="1">
        <v>0</v>
      </c>
    </row>
    <row r="5" spans="1:3" x14ac:dyDescent="0.35">
      <c r="A5" s="1" t="s">
        <v>194</v>
      </c>
      <c r="B5" s="1">
        <v>2020</v>
      </c>
      <c r="C5" s="1">
        <v>0</v>
      </c>
    </row>
    <row r="6" spans="1:3" x14ac:dyDescent="0.35">
      <c r="A6" s="1" t="s">
        <v>183</v>
      </c>
      <c r="B6" s="1">
        <v>2021</v>
      </c>
      <c r="C6" s="1">
        <v>175905.05869999999</v>
      </c>
    </row>
    <row r="7" spans="1:3" x14ac:dyDescent="0.35">
      <c r="A7" s="1" t="s">
        <v>182</v>
      </c>
      <c r="B7" s="1">
        <v>2021</v>
      </c>
      <c r="C7" s="1">
        <v>1453415.709</v>
      </c>
    </row>
    <row r="8" spans="1:3" x14ac:dyDescent="0.35">
      <c r="A8" s="1" t="s">
        <v>208</v>
      </c>
      <c r="B8" s="1">
        <v>2021</v>
      </c>
      <c r="C8" s="1">
        <v>120902.86599999999</v>
      </c>
    </row>
    <row r="9" spans="1:3" x14ac:dyDescent="0.35">
      <c r="A9" s="1" t="s">
        <v>194</v>
      </c>
      <c r="B9" s="1">
        <v>2021</v>
      </c>
      <c r="C9" s="1">
        <v>1385678.007</v>
      </c>
    </row>
    <row r="10" spans="1:3" x14ac:dyDescent="0.35">
      <c r="A10" s="1" t="s">
        <v>183</v>
      </c>
      <c r="B10" s="1">
        <v>2022</v>
      </c>
      <c r="C10" s="1">
        <v>180087.62419999999</v>
      </c>
    </row>
    <row r="11" spans="1:3" x14ac:dyDescent="0.35">
      <c r="A11" s="1" t="s">
        <v>182</v>
      </c>
      <c r="B11" s="1">
        <v>2022</v>
      </c>
      <c r="C11" s="1">
        <v>1587379.9620000001</v>
      </c>
    </row>
    <row r="12" spans="1:3" x14ac:dyDescent="0.35">
      <c r="A12" s="1" t="s">
        <v>208</v>
      </c>
      <c r="B12" s="1">
        <v>2022</v>
      </c>
      <c r="C12" s="1">
        <v>124146.145</v>
      </c>
    </row>
    <row r="13" spans="1:3" x14ac:dyDescent="0.35">
      <c r="A13" s="1" t="s">
        <v>194</v>
      </c>
      <c r="B13" s="1">
        <v>2022</v>
      </c>
      <c r="C13" s="1">
        <v>1293781.5649999999</v>
      </c>
    </row>
    <row r="14" spans="1:3" x14ac:dyDescent="0.35">
      <c r="A14" s="1" t="s">
        <v>183</v>
      </c>
      <c r="B14" s="1">
        <v>2023</v>
      </c>
      <c r="C14" s="1">
        <v>182482.29639999999</v>
      </c>
    </row>
    <row r="15" spans="1:3" x14ac:dyDescent="0.35">
      <c r="A15" s="1" t="s">
        <v>182</v>
      </c>
      <c r="B15" s="1">
        <v>2023</v>
      </c>
      <c r="C15" s="1">
        <v>1697480.8940000001</v>
      </c>
    </row>
    <row r="16" spans="1:3" x14ac:dyDescent="0.35">
      <c r="A16" s="1" t="s">
        <v>208</v>
      </c>
      <c r="B16" s="1">
        <v>2023</v>
      </c>
      <c r="C16" s="1">
        <v>126453.22</v>
      </c>
    </row>
    <row r="17" spans="1:3" x14ac:dyDescent="0.35">
      <c r="A17" s="1" t="s">
        <v>194</v>
      </c>
      <c r="B17" s="1">
        <v>2023</v>
      </c>
      <c r="C17" s="1">
        <v>1314686.4809999999</v>
      </c>
    </row>
    <row r="18" spans="1:3" x14ac:dyDescent="0.35">
      <c r="A18" s="1" t="s">
        <v>183</v>
      </c>
      <c r="B18" s="1">
        <v>2024</v>
      </c>
      <c r="C18" s="1">
        <v>184146.29070000001</v>
      </c>
    </row>
    <row r="19" spans="1:3" x14ac:dyDescent="0.35">
      <c r="A19" s="1" t="s">
        <v>182</v>
      </c>
      <c r="B19" s="1">
        <v>2024</v>
      </c>
      <c r="C19" s="1">
        <v>1797010.4129999999</v>
      </c>
    </row>
    <row r="20" spans="1:3" x14ac:dyDescent="0.35">
      <c r="A20" s="1" t="s">
        <v>208</v>
      </c>
      <c r="B20" s="1">
        <v>2024</v>
      </c>
      <c r="C20" s="1">
        <v>128525.497</v>
      </c>
    </row>
    <row r="21" spans="1:3" x14ac:dyDescent="0.35">
      <c r="A21" s="1" t="s">
        <v>194</v>
      </c>
      <c r="B21" s="1">
        <v>2024</v>
      </c>
      <c r="C21" s="1">
        <v>1316350.733</v>
      </c>
    </row>
    <row r="22" spans="1:3" x14ac:dyDescent="0.35">
      <c r="A22" s="1" t="s">
        <v>183</v>
      </c>
      <c r="B22" s="1">
        <v>2025</v>
      </c>
      <c r="C22" s="1">
        <v>185937.74249999999</v>
      </c>
    </row>
    <row r="23" spans="1:3" x14ac:dyDescent="0.35">
      <c r="A23" s="1" t="s">
        <v>182</v>
      </c>
      <c r="B23" s="1">
        <v>2025</v>
      </c>
      <c r="C23" s="1">
        <v>1871423.4709999999</v>
      </c>
    </row>
    <row r="24" spans="1:3" x14ac:dyDescent="0.35">
      <c r="A24" s="1" t="s">
        <v>208</v>
      </c>
      <c r="B24" s="1">
        <v>2025</v>
      </c>
      <c r="C24" s="1">
        <v>130945.202</v>
      </c>
    </row>
    <row r="25" spans="1:3" x14ac:dyDescent="0.35">
      <c r="A25" s="1" t="s">
        <v>194</v>
      </c>
      <c r="B25" s="1">
        <v>2025</v>
      </c>
      <c r="C25" s="1">
        <v>1290550.6950000001</v>
      </c>
    </row>
    <row r="26" spans="1:3" x14ac:dyDescent="0.35">
      <c r="A26" s="1" t="s">
        <v>183</v>
      </c>
      <c r="B26" s="1">
        <v>2026</v>
      </c>
      <c r="C26" s="1">
        <v>187153.3437</v>
      </c>
    </row>
    <row r="27" spans="1:3" x14ac:dyDescent="0.35">
      <c r="A27" s="1" t="s">
        <v>182</v>
      </c>
      <c r="B27" s="1">
        <v>2026</v>
      </c>
      <c r="C27" s="1">
        <v>1946860.6070000001</v>
      </c>
    </row>
    <row r="28" spans="1:3" x14ac:dyDescent="0.35">
      <c r="A28" s="1" t="s">
        <v>208</v>
      </c>
      <c r="B28" s="1">
        <v>2026</v>
      </c>
      <c r="C28" s="1">
        <v>133322.02499999999</v>
      </c>
    </row>
    <row r="29" spans="1:3" x14ac:dyDescent="0.35">
      <c r="A29" s="1" t="s">
        <v>194</v>
      </c>
      <c r="B29" s="1">
        <v>2026</v>
      </c>
      <c r="C29" s="1">
        <v>1260452.5419999999</v>
      </c>
    </row>
    <row r="30" spans="1:3" x14ac:dyDescent="0.35">
      <c r="A30" s="1" t="s">
        <v>183</v>
      </c>
      <c r="B30" s="1">
        <v>2027</v>
      </c>
      <c r="C30" s="1">
        <v>187637.05809999999</v>
      </c>
    </row>
    <row r="31" spans="1:3" x14ac:dyDescent="0.35">
      <c r="A31" s="1" t="s">
        <v>182</v>
      </c>
      <c r="B31" s="1">
        <v>2027</v>
      </c>
      <c r="C31" s="1">
        <v>2019509.8770000001</v>
      </c>
    </row>
    <row r="32" spans="1:3" x14ac:dyDescent="0.35">
      <c r="A32" s="1" t="s">
        <v>208</v>
      </c>
      <c r="B32" s="1">
        <v>2027</v>
      </c>
      <c r="C32" s="1">
        <v>135653.24100000001</v>
      </c>
    </row>
    <row r="33" spans="1:3" x14ac:dyDescent="0.35">
      <c r="A33" s="1" t="s">
        <v>194</v>
      </c>
      <c r="B33" s="1">
        <v>2027</v>
      </c>
      <c r="C33" s="1">
        <v>1224924.429</v>
      </c>
    </row>
    <row r="34" spans="1:3" x14ac:dyDescent="0.35">
      <c r="A34" s="1" t="s">
        <v>183</v>
      </c>
      <c r="B34" s="1">
        <v>2028</v>
      </c>
      <c r="C34" s="1">
        <v>188223.3774</v>
      </c>
    </row>
    <row r="35" spans="1:3" x14ac:dyDescent="0.35">
      <c r="A35" s="1" t="s">
        <v>182</v>
      </c>
      <c r="B35" s="1">
        <v>2028</v>
      </c>
      <c r="C35" s="1">
        <v>2086422.263</v>
      </c>
    </row>
    <row r="36" spans="1:3" x14ac:dyDescent="0.35">
      <c r="A36" s="1" t="s">
        <v>208</v>
      </c>
      <c r="B36" s="1">
        <v>2028</v>
      </c>
      <c r="C36" s="1">
        <v>138483.856</v>
      </c>
    </row>
    <row r="37" spans="1:3" x14ac:dyDescent="0.35">
      <c r="A37" s="1" t="s">
        <v>194</v>
      </c>
      <c r="B37" s="1">
        <v>2028</v>
      </c>
      <c r="C37" s="1">
        <v>1184882.7139999999</v>
      </c>
    </row>
    <row r="38" spans="1:3" x14ac:dyDescent="0.35">
      <c r="A38" s="1" t="s">
        <v>183</v>
      </c>
      <c r="B38" s="1">
        <v>2029</v>
      </c>
      <c r="C38" s="1">
        <v>188772.98740000001</v>
      </c>
    </row>
    <row r="39" spans="1:3" x14ac:dyDescent="0.35">
      <c r="A39" s="1" t="s">
        <v>182</v>
      </c>
      <c r="B39" s="1">
        <v>2029</v>
      </c>
      <c r="C39" s="1">
        <v>2150056.2030000002</v>
      </c>
    </row>
    <row r="40" spans="1:3" x14ac:dyDescent="0.35">
      <c r="A40" s="1" t="s">
        <v>208</v>
      </c>
      <c r="B40" s="1">
        <v>2029</v>
      </c>
      <c r="C40" s="1">
        <v>141633.06</v>
      </c>
    </row>
    <row r="41" spans="1:3" x14ac:dyDescent="0.35">
      <c r="A41" s="1" t="s">
        <v>194</v>
      </c>
      <c r="B41" s="1">
        <v>2029</v>
      </c>
      <c r="C41" s="1">
        <v>1143207.7690000001</v>
      </c>
    </row>
    <row r="42" spans="1:3" x14ac:dyDescent="0.35">
      <c r="A42" s="1" t="s">
        <v>183</v>
      </c>
      <c r="B42" s="1">
        <v>2030</v>
      </c>
      <c r="C42" s="1">
        <v>189083.60569999999</v>
      </c>
    </row>
    <row r="43" spans="1:3" x14ac:dyDescent="0.35">
      <c r="A43" s="1" t="s">
        <v>182</v>
      </c>
      <c r="B43" s="1">
        <v>2030</v>
      </c>
      <c r="C43" s="1">
        <v>2211753.6189999999</v>
      </c>
    </row>
    <row r="44" spans="1:3" x14ac:dyDescent="0.35">
      <c r="A44" s="1" t="s">
        <v>208</v>
      </c>
      <c r="B44" s="1">
        <v>2030</v>
      </c>
      <c r="C44" s="1">
        <v>144797.84</v>
      </c>
    </row>
    <row r="45" spans="1:3" x14ac:dyDescent="0.35">
      <c r="A45" s="1" t="s">
        <v>194</v>
      </c>
      <c r="B45" s="1">
        <v>2030</v>
      </c>
      <c r="C45" s="1">
        <v>1102584.8289999999</v>
      </c>
    </row>
    <row r="46" spans="1:3" x14ac:dyDescent="0.35">
      <c r="A46" s="1" t="s">
        <v>183</v>
      </c>
      <c r="B46" s="1">
        <v>2031</v>
      </c>
      <c r="C46" s="1">
        <v>189308.39300000001</v>
      </c>
    </row>
    <row r="47" spans="1:3" x14ac:dyDescent="0.35">
      <c r="A47" s="1" t="s">
        <v>182</v>
      </c>
      <c r="B47" s="1">
        <v>2031</v>
      </c>
      <c r="C47" s="1">
        <v>2271951.747</v>
      </c>
    </row>
    <row r="48" spans="1:3" x14ac:dyDescent="0.35">
      <c r="A48" s="1" t="s">
        <v>208</v>
      </c>
      <c r="B48" s="1">
        <v>2031</v>
      </c>
      <c r="C48" s="1">
        <v>148003.883</v>
      </c>
    </row>
    <row r="49" spans="1:3" x14ac:dyDescent="0.35">
      <c r="A49" s="1" t="s">
        <v>194</v>
      </c>
      <c r="B49" s="1">
        <v>2031</v>
      </c>
      <c r="C49" s="1">
        <v>1064723.162</v>
      </c>
    </row>
    <row r="50" spans="1:3" x14ac:dyDescent="0.35">
      <c r="A50" s="1" t="s">
        <v>183</v>
      </c>
      <c r="B50" s="1">
        <v>2032</v>
      </c>
      <c r="C50" s="1">
        <v>189464.01329999999</v>
      </c>
    </row>
    <row r="51" spans="1:3" x14ac:dyDescent="0.35">
      <c r="A51" s="1" t="s">
        <v>182</v>
      </c>
      <c r="B51" s="1">
        <v>2032</v>
      </c>
      <c r="C51" s="1">
        <v>2329925.5959999999</v>
      </c>
    </row>
    <row r="52" spans="1:3" x14ac:dyDescent="0.35">
      <c r="A52" s="1" t="s">
        <v>208</v>
      </c>
      <c r="B52" s="1">
        <v>2032</v>
      </c>
      <c r="C52" s="1">
        <v>151342.39999999999</v>
      </c>
    </row>
    <row r="53" spans="1:3" x14ac:dyDescent="0.35">
      <c r="A53" s="1" t="s">
        <v>194</v>
      </c>
      <c r="B53" s="1">
        <v>2032</v>
      </c>
      <c r="C53" s="1">
        <v>1029644.0429999999</v>
      </c>
    </row>
    <row r="54" spans="1:3" x14ac:dyDescent="0.35">
      <c r="A54" s="1" t="s">
        <v>183</v>
      </c>
      <c r="B54" s="1">
        <v>2033</v>
      </c>
      <c r="C54" s="1">
        <v>189539.73</v>
      </c>
    </row>
    <row r="55" spans="1:3" x14ac:dyDescent="0.35">
      <c r="A55" s="1" t="s">
        <v>182</v>
      </c>
      <c r="B55" s="1">
        <v>2033</v>
      </c>
      <c r="C55" s="1">
        <v>2381138.9350000001</v>
      </c>
    </row>
    <row r="56" spans="1:3" x14ac:dyDescent="0.35">
      <c r="A56" s="1" t="s">
        <v>208</v>
      </c>
      <c r="B56" s="1">
        <v>2033</v>
      </c>
      <c r="C56" s="1">
        <v>154675.133</v>
      </c>
    </row>
    <row r="57" spans="1:3" x14ac:dyDescent="0.35">
      <c r="A57" s="1" t="s">
        <v>194</v>
      </c>
      <c r="B57" s="1">
        <v>2033</v>
      </c>
      <c r="C57" s="1">
        <v>996160.41799999995</v>
      </c>
    </row>
    <row r="58" spans="1:3" x14ac:dyDescent="0.35">
      <c r="A58" s="1" t="s">
        <v>183</v>
      </c>
      <c r="B58" s="1">
        <v>2034</v>
      </c>
      <c r="C58" s="1">
        <v>189592.37040000001</v>
      </c>
    </row>
    <row r="59" spans="1:3" x14ac:dyDescent="0.35">
      <c r="A59" s="1" t="s">
        <v>182</v>
      </c>
      <c r="B59" s="1">
        <v>2034</v>
      </c>
      <c r="C59" s="1">
        <v>2429660.1639999999</v>
      </c>
    </row>
    <row r="60" spans="1:3" x14ac:dyDescent="0.35">
      <c r="A60" s="1" t="s">
        <v>208</v>
      </c>
      <c r="B60" s="1">
        <v>2034</v>
      </c>
      <c r="C60" s="1">
        <v>157937.71400000001</v>
      </c>
    </row>
    <row r="61" spans="1:3" x14ac:dyDescent="0.35">
      <c r="A61" s="1" t="s">
        <v>194</v>
      </c>
      <c r="B61" s="1">
        <v>2034</v>
      </c>
      <c r="C61" s="1">
        <v>966278.76100000006</v>
      </c>
    </row>
    <row r="62" spans="1:3" x14ac:dyDescent="0.35">
      <c r="A62" s="1" t="s">
        <v>183</v>
      </c>
      <c r="B62" s="1">
        <v>2035</v>
      </c>
      <c r="C62" s="1">
        <v>189671.37849999999</v>
      </c>
    </row>
    <row r="63" spans="1:3" x14ac:dyDescent="0.35">
      <c r="A63" s="1" t="s">
        <v>182</v>
      </c>
      <c r="B63" s="1">
        <v>2035</v>
      </c>
      <c r="C63" s="1">
        <v>2473313.2650000001</v>
      </c>
    </row>
    <row r="64" spans="1:3" x14ac:dyDescent="0.35">
      <c r="A64" s="1" t="s">
        <v>208</v>
      </c>
      <c r="B64" s="1">
        <v>2035</v>
      </c>
      <c r="C64" s="1">
        <v>161310.57800000001</v>
      </c>
    </row>
    <row r="65" spans="1:3" x14ac:dyDescent="0.35">
      <c r="A65" s="1" t="s">
        <v>194</v>
      </c>
      <c r="B65" s="1">
        <v>2035</v>
      </c>
      <c r="C65" s="1">
        <v>939809.076</v>
      </c>
    </row>
    <row r="66" spans="1:3" x14ac:dyDescent="0.35">
      <c r="A66" s="1" t="s">
        <v>183</v>
      </c>
      <c r="B66" s="1">
        <v>2036</v>
      </c>
      <c r="C66" s="1">
        <v>189741.73389999999</v>
      </c>
    </row>
    <row r="67" spans="1:3" x14ac:dyDescent="0.35">
      <c r="A67" s="1" t="s">
        <v>182</v>
      </c>
      <c r="B67" s="1">
        <v>2036</v>
      </c>
      <c r="C67" s="1">
        <v>2512835.2769999998</v>
      </c>
    </row>
    <row r="68" spans="1:3" x14ac:dyDescent="0.35">
      <c r="A68" s="1" t="s">
        <v>208</v>
      </c>
      <c r="B68" s="1">
        <v>2036</v>
      </c>
      <c r="C68" s="1">
        <v>164760.88699999999</v>
      </c>
    </row>
    <row r="69" spans="1:3" x14ac:dyDescent="0.35">
      <c r="A69" s="1" t="s">
        <v>194</v>
      </c>
      <c r="B69" s="1">
        <v>2036</v>
      </c>
      <c r="C69" s="1">
        <v>916837.32799999998</v>
      </c>
    </row>
    <row r="70" spans="1:3" x14ac:dyDescent="0.35">
      <c r="A70" s="1" t="s">
        <v>183</v>
      </c>
      <c r="B70" s="1">
        <v>2037</v>
      </c>
      <c r="C70" s="1">
        <v>190016.35509999999</v>
      </c>
    </row>
    <row r="71" spans="1:3" x14ac:dyDescent="0.35">
      <c r="A71" s="1" t="s">
        <v>182</v>
      </c>
      <c r="B71" s="1">
        <v>2037</v>
      </c>
      <c r="C71" s="1">
        <v>2549580.1340000001</v>
      </c>
    </row>
    <row r="72" spans="1:3" x14ac:dyDescent="0.35">
      <c r="A72" s="1" t="s">
        <v>208</v>
      </c>
      <c r="B72" s="1">
        <v>2037</v>
      </c>
      <c r="C72" s="1">
        <v>168423.584</v>
      </c>
    </row>
    <row r="73" spans="1:3" x14ac:dyDescent="0.35">
      <c r="A73" s="1" t="s">
        <v>194</v>
      </c>
      <c r="B73" s="1">
        <v>2037</v>
      </c>
      <c r="C73" s="1">
        <v>897685.51599999995</v>
      </c>
    </row>
    <row r="74" spans="1:3" x14ac:dyDescent="0.35">
      <c r="A74" s="1" t="s">
        <v>183</v>
      </c>
      <c r="B74" s="1">
        <v>2038</v>
      </c>
      <c r="C74" s="1">
        <v>190293.97640000001</v>
      </c>
    </row>
    <row r="75" spans="1:3" x14ac:dyDescent="0.35">
      <c r="A75" s="1" t="s">
        <v>182</v>
      </c>
      <c r="B75" s="1">
        <v>2038</v>
      </c>
      <c r="C75" s="1">
        <v>2583804.2710000002</v>
      </c>
    </row>
    <row r="76" spans="1:3" x14ac:dyDescent="0.35">
      <c r="A76" s="1" t="s">
        <v>208</v>
      </c>
      <c r="B76" s="1">
        <v>2038</v>
      </c>
      <c r="C76" s="1">
        <v>172034.745</v>
      </c>
    </row>
    <row r="77" spans="1:3" x14ac:dyDescent="0.35">
      <c r="A77" s="1" t="s">
        <v>194</v>
      </c>
      <c r="B77" s="1">
        <v>2038</v>
      </c>
      <c r="C77" s="1">
        <v>882476.03300000005</v>
      </c>
    </row>
    <row r="78" spans="1:3" x14ac:dyDescent="0.35">
      <c r="A78" s="1" t="s">
        <v>183</v>
      </c>
      <c r="B78" s="1">
        <v>2039</v>
      </c>
      <c r="C78" s="1">
        <v>190610.7175</v>
      </c>
    </row>
    <row r="79" spans="1:3" x14ac:dyDescent="0.35">
      <c r="A79" s="1" t="s">
        <v>182</v>
      </c>
      <c r="B79" s="1">
        <v>2039</v>
      </c>
      <c r="C79" s="1">
        <v>2615314.9619999998</v>
      </c>
    </row>
    <row r="80" spans="1:3" x14ac:dyDescent="0.35">
      <c r="A80" s="1" t="s">
        <v>208</v>
      </c>
      <c r="B80" s="1">
        <v>2039</v>
      </c>
      <c r="C80" s="1">
        <v>175634.46799999999</v>
      </c>
    </row>
    <row r="81" spans="1:3" x14ac:dyDescent="0.35">
      <c r="A81" s="1" t="s">
        <v>194</v>
      </c>
      <c r="B81" s="1">
        <v>2039</v>
      </c>
      <c r="C81" s="1">
        <v>870383.95499999996</v>
      </c>
    </row>
    <row r="82" spans="1:3" x14ac:dyDescent="0.35">
      <c r="A82" s="1" t="s">
        <v>183</v>
      </c>
      <c r="B82" s="1">
        <v>2040</v>
      </c>
      <c r="C82" s="1">
        <v>190970.98680000001</v>
      </c>
    </row>
    <row r="83" spans="1:3" x14ac:dyDescent="0.35">
      <c r="A83" s="1" t="s">
        <v>182</v>
      </c>
      <c r="B83" s="1">
        <v>2040</v>
      </c>
      <c r="C83" s="1">
        <v>2646150.2910000002</v>
      </c>
    </row>
    <row r="84" spans="1:3" x14ac:dyDescent="0.35">
      <c r="A84" s="1" t="s">
        <v>208</v>
      </c>
      <c r="B84" s="1">
        <v>2040</v>
      </c>
      <c r="C84" s="1">
        <v>179230.97200000001</v>
      </c>
    </row>
    <row r="85" spans="1:3" x14ac:dyDescent="0.35">
      <c r="A85" s="1" t="s">
        <v>194</v>
      </c>
      <c r="B85" s="1">
        <v>2040</v>
      </c>
      <c r="C85" s="1">
        <v>861964.58</v>
      </c>
    </row>
    <row r="86" spans="1:3" x14ac:dyDescent="0.35">
      <c r="A86" s="1" t="s">
        <v>183</v>
      </c>
      <c r="B86" s="1">
        <v>2041</v>
      </c>
      <c r="C86" s="1">
        <v>191453.59779999999</v>
      </c>
    </row>
    <row r="87" spans="1:3" x14ac:dyDescent="0.35">
      <c r="A87" s="1" t="s">
        <v>182</v>
      </c>
      <c r="B87" s="1">
        <v>2041</v>
      </c>
      <c r="C87" s="1">
        <v>2674284.6540000001</v>
      </c>
    </row>
    <row r="88" spans="1:3" x14ac:dyDescent="0.35">
      <c r="A88" s="1" t="s">
        <v>208</v>
      </c>
      <c r="B88" s="1">
        <v>2041</v>
      </c>
      <c r="C88" s="1">
        <v>183064.33100000001</v>
      </c>
    </row>
    <row r="89" spans="1:3" x14ac:dyDescent="0.35">
      <c r="A89" s="1" t="s">
        <v>194</v>
      </c>
      <c r="B89" s="1">
        <v>2041</v>
      </c>
      <c r="C89" s="1">
        <v>855630.73400000005</v>
      </c>
    </row>
    <row r="90" spans="1:3" x14ac:dyDescent="0.35">
      <c r="A90" s="1" t="s">
        <v>183</v>
      </c>
      <c r="B90" s="1">
        <v>2042</v>
      </c>
      <c r="C90" s="1">
        <v>192054.36309999999</v>
      </c>
    </row>
    <row r="91" spans="1:3" x14ac:dyDescent="0.35">
      <c r="A91" s="1" t="s">
        <v>182</v>
      </c>
      <c r="B91" s="1">
        <v>2042</v>
      </c>
      <c r="C91" s="1">
        <v>2699678.19</v>
      </c>
    </row>
    <row r="92" spans="1:3" x14ac:dyDescent="0.35">
      <c r="A92" s="1" t="s">
        <v>208</v>
      </c>
      <c r="B92" s="1">
        <v>2042</v>
      </c>
      <c r="C92" s="1">
        <v>186996.95600000001</v>
      </c>
    </row>
    <row r="93" spans="1:3" x14ac:dyDescent="0.35">
      <c r="A93" s="1" t="s">
        <v>194</v>
      </c>
      <c r="B93" s="1">
        <v>2042</v>
      </c>
      <c r="C93" s="1">
        <v>850804.74699999997</v>
      </c>
    </row>
    <row r="94" spans="1:3" x14ac:dyDescent="0.35">
      <c r="A94" s="1" t="s">
        <v>183</v>
      </c>
      <c r="B94" s="1">
        <v>2043</v>
      </c>
      <c r="C94" s="1">
        <v>192587.74789999999</v>
      </c>
    </row>
    <row r="95" spans="1:3" x14ac:dyDescent="0.35">
      <c r="A95" s="1" t="s">
        <v>182</v>
      </c>
      <c r="B95" s="1">
        <v>2043</v>
      </c>
      <c r="C95" s="1">
        <v>2724653.0090000001</v>
      </c>
    </row>
    <row r="96" spans="1:3" x14ac:dyDescent="0.35">
      <c r="A96" s="1" t="s">
        <v>208</v>
      </c>
      <c r="B96" s="1">
        <v>2043</v>
      </c>
      <c r="C96" s="1">
        <v>190871.391</v>
      </c>
    </row>
    <row r="97" spans="1:3" x14ac:dyDescent="0.35">
      <c r="A97" s="1" t="s">
        <v>194</v>
      </c>
      <c r="B97" s="1">
        <v>2043</v>
      </c>
      <c r="C97" s="1">
        <v>847901.91799999995</v>
      </c>
    </row>
    <row r="98" spans="1:3" x14ac:dyDescent="0.35">
      <c r="A98" s="1" t="s">
        <v>183</v>
      </c>
      <c r="B98" s="1">
        <v>2044</v>
      </c>
      <c r="C98" s="1">
        <v>193047.80609999999</v>
      </c>
    </row>
    <row r="99" spans="1:3" x14ac:dyDescent="0.35">
      <c r="A99" s="1" t="s">
        <v>182</v>
      </c>
      <c r="B99" s="1">
        <v>2044</v>
      </c>
      <c r="C99" s="1">
        <v>2748073.8020000001</v>
      </c>
    </row>
    <row r="100" spans="1:3" x14ac:dyDescent="0.35">
      <c r="A100" s="1" t="s">
        <v>208</v>
      </c>
      <c r="B100" s="1">
        <v>2044</v>
      </c>
      <c r="C100" s="1">
        <v>194784.18700000001</v>
      </c>
    </row>
    <row r="101" spans="1:3" x14ac:dyDescent="0.35">
      <c r="A101" s="1" t="s">
        <v>194</v>
      </c>
      <c r="B101" s="1">
        <v>2044</v>
      </c>
      <c r="C101" s="1">
        <v>846015.01699999999</v>
      </c>
    </row>
    <row r="102" spans="1:3" x14ac:dyDescent="0.35">
      <c r="A102" s="1" t="s">
        <v>183</v>
      </c>
      <c r="B102" s="1">
        <v>2045</v>
      </c>
      <c r="C102" s="1">
        <v>193394.29629999999</v>
      </c>
    </row>
    <row r="103" spans="1:3" x14ac:dyDescent="0.35">
      <c r="A103" s="1" t="s">
        <v>182</v>
      </c>
      <c r="B103" s="1">
        <v>2045</v>
      </c>
      <c r="C103" s="1">
        <v>2770397.1660000002</v>
      </c>
    </row>
    <row r="104" spans="1:3" x14ac:dyDescent="0.35">
      <c r="A104" s="1" t="s">
        <v>208</v>
      </c>
      <c r="B104" s="1">
        <v>2045</v>
      </c>
      <c r="C104" s="1">
        <v>198765.693</v>
      </c>
    </row>
    <row r="105" spans="1:3" x14ac:dyDescent="0.35">
      <c r="A105" s="1" t="s">
        <v>194</v>
      </c>
      <c r="B105" s="1">
        <v>2045</v>
      </c>
      <c r="C105" s="1">
        <v>844884.71200000006</v>
      </c>
    </row>
    <row r="106" spans="1:3" x14ac:dyDescent="0.35">
      <c r="A106" s="1" t="s">
        <v>183</v>
      </c>
      <c r="B106" s="1">
        <v>2046</v>
      </c>
      <c r="C106" s="1">
        <v>193830.55290000001</v>
      </c>
    </row>
    <row r="107" spans="1:3" x14ac:dyDescent="0.35">
      <c r="A107" s="1" t="s">
        <v>182</v>
      </c>
      <c r="B107" s="1">
        <v>2046</v>
      </c>
      <c r="C107" s="1">
        <v>2793342.4109999998</v>
      </c>
    </row>
    <row r="108" spans="1:3" x14ac:dyDescent="0.35">
      <c r="A108" s="1" t="s">
        <v>208</v>
      </c>
      <c r="B108" s="1">
        <v>2046</v>
      </c>
      <c r="C108" s="1">
        <v>202974.114</v>
      </c>
    </row>
    <row r="109" spans="1:3" x14ac:dyDescent="0.35">
      <c r="A109" s="1" t="s">
        <v>194</v>
      </c>
      <c r="B109" s="1">
        <v>2046</v>
      </c>
      <c r="C109" s="1">
        <v>845135.25600000005</v>
      </c>
    </row>
    <row r="110" spans="1:3" x14ac:dyDescent="0.35">
      <c r="A110" s="1" t="s">
        <v>183</v>
      </c>
      <c r="B110" s="1">
        <v>2047</v>
      </c>
      <c r="C110" s="1">
        <v>193839.5312</v>
      </c>
    </row>
    <row r="111" spans="1:3" x14ac:dyDescent="0.35">
      <c r="A111" s="1" t="s">
        <v>182</v>
      </c>
      <c r="B111" s="1">
        <v>2047</v>
      </c>
      <c r="C111" s="1">
        <v>2817418.2620000001</v>
      </c>
    </row>
    <row r="112" spans="1:3" x14ac:dyDescent="0.35">
      <c r="A112" s="1" t="s">
        <v>208</v>
      </c>
      <c r="B112" s="1">
        <v>2047</v>
      </c>
      <c r="C112" s="1">
        <v>206951.79</v>
      </c>
    </row>
    <row r="113" spans="1:3" x14ac:dyDescent="0.35">
      <c r="A113" s="1" t="s">
        <v>194</v>
      </c>
      <c r="B113" s="1">
        <v>2047</v>
      </c>
      <c r="C113" s="1">
        <v>845825.82200000004</v>
      </c>
    </row>
    <row r="114" spans="1:3" x14ac:dyDescent="0.35">
      <c r="A114" s="1" t="s">
        <v>183</v>
      </c>
      <c r="B114" s="1">
        <v>2048</v>
      </c>
      <c r="C114" s="1">
        <v>193480.38269999999</v>
      </c>
    </row>
    <row r="115" spans="1:3" x14ac:dyDescent="0.35">
      <c r="A115" s="1" t="s">
        <v>182</v>
      </c>
      <c r="B115" s="1">
        <v>2048</v>
      </c>
      <c r="C115" s="1">
        <v>2841721.6919999998</v>
      </c>
    </row>
    <row r="116" spans="1:3" x14ac:dyDescent="0.35">
      <c r="A116" s="1" t="s">
        <v>208</v>
      </c>
      <c r="B116" s="1">
        <v>2048</v>
      </c>
      <c r="C116" s="1">
        <v>210744.30100000001</v>
      </c>
    </row>
    <row r="117" spans="1:3" x14ac:dyDescent="0.35">
      <c r="A117" s="1" t="s">
        <v>194</v>
      </c>
      <c r="B117" s="1">
        <v>2048</v>
      </c>
      <c r="C117" s="1">
        <v>846651.25100000005</v>
      </c>
    </row>
    <row r="118" spans="1:3" x14ac:dyDescent="0.35">
      <c r="A118" s="1" t="s">
        <v>183</v>
      </c>
      <c r="B118" s="1">
        <v>2049</v>
      </c>
      <c r="C118" s="1">
        <v>193608.07459999999</v>
      </c>
    </row>
    <row r="119" spans="1:3" x14ac:dyDescent="0.35">
      <c r="A119" s="1" t="s">
        <v>182</v>
      </c>
      <c r="B119" s="1">
        <v>2049</v>
      </c>
      <c r="C119" s="1">
        <v>2866483.3050000002</v>
      </c>
    </row>
    <row r="120" spans="1:3" x14ac:dyDescent="0.35">
      <c r="A120" s="1" t="s">
        <v>208</v>
      </c>
      <c r="B120" s="1">
        <v>2049</v>
      </c>
      <c r="C120" s="1">
        <v>215131.821</v>
      </c>
    </row>
    <row r="121" spans="1:3" x14ac:dyDescent="0.35">
      <c r="A121" s="1" t="s">
        <v>194</v>
      </c>
      <c r="B121" s="1">
        <v>2049</v>
      </c>
      <c r="C121" s="1">
        <v>847708.85499999998</v>
      </c>
    </row>
    <row r="122" spans="1:3" x14ac:dyDescent="0.35">
      <c r="A122" s="1" t="s">
        <v>183</v>
      </c>
      <c r="B122" s="1">
        <v>2050</v>
      </c>
      <c r="C122" s="1">
        <v>194188.55050000001</v>
      </c>
    </row>
    <row r="123" spans="1:3" x14ac:dyDescent="0.35">
      <c r="A123" s="1" t="s">
        <v>182</v>
      </c>
      <c r="B123" s="1">
        <v>2050</v>
      </c>
      <c r="C123" s="1">
        <v>2892942.5290000001</v>
      </c>
    </row>
    <row r="124" spans="1:3" x14ac:dyDescent="0.35">
      <c r="A124" s="1" t="s">
        <v>208</v>
      </c>
      <c r="B124" s="1">
        <v>2050</v>
      </c>
      <c r="C124" s="1">
        <v>220055.75599999999</v>
      </c>
    </row>
    <row r="125" spans="1:3" x14ac:dyDescent="0.35">
      <c r="A125" s="1" t="s">
        <v>194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A744" sqref="A744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242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239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239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239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239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239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242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243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240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240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240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240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240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243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336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336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336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336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336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336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336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242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239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239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239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239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239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242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243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240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240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240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240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240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243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336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336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336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336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336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336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336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A46" workbookViewId="0">
      <selection activeCell="A56" sqref="A56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247</v>
      </c>
      <c r="G1" t="s">
        <v>249</v>
      </c>
      <c r="H1" t="s">
        <v>250</v>
      </c>
      <c r="I1" s="4" t="s">
        <v>244</v>
      </c>
      <c r="M1" s="4"/>
    </row>
    <row r="2" spans="1:18" x14ac:dyDescent="0.35">
      <c r="B2" s="26" t="s">
        <v>245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248</v>
      </c>
      <c r="E3" t="s">
        <v>246</v>
      </c>
      <c r="F3" t="s">
        <v>241</v>
      </c>
      <c r="G3" s="4" t="s">
        <v>251</v>
      </c>
      <c r="H3" s="4" t="s">
        <v>252</v>
      </c>
      <c r="I3" s="4" t="s">
        <v>253</v>
      </c>
      <c r="J3" s="4" t="s">
        <v>254</v>
      </c>
      <c r="K3" s="4" t="s">
        <v>255</v>
      </c>
      <c r="L3" s="4" t="s">
        <v>256</v>
      </c>
      <c r="M3" s="4" t="s">
        <v>253</v>
      </c>
      <c r="N3" s="4" t="s">
        <v>254</v>
      </c>
      <c r="O3" s="4" t="s">
        <v>255</v>
      </c>
      <c r="P3" s="4" t="s">
        <v>256</v>
      </c>
      <c r="Q3" s="4" t="s">
        <v>257</v>
      </c>
      <c r="R3" s="4" t="s">
        <v>258</v>
      </c>
    </row>
    <row r="4" spans="1:18" x14ac:dyDescent="0.35">
      <c r="A4" t="s">
        <v>0</v>
      </c>
      <c r="B4" t="s">
        <v>264</v>
      </c>
      <c r="C4" t="s">
        <v>265</v>
      </c>
      <c r="D4" t="s">
        <v>266</v>
      </c>
      <c r="E4" t="s">
        <v>267</v>
      </c>
      <c r="F4" t="s">
        <v>259</v>
      </c>
      <c r="G4" t="s">
        <v>260</v>
      </c>
      <c r="H4" t="s">
        <v>261</v>
      </c>
      <c r="I4" t="s">
        <v>262</v>
      </c>
      <c r="J4" t="s">
        <v>263</v>
      </c>
      <c r="K4" t="s">
        <v>262</v>
      </c>
      <c r="L4" t="s">
        <v>268</v>
      </c>
      <c r="M4" t="s">
        <v>269</v>
      </c>
      <c r="N4" t="s">
        <v>270</v>
      </c>
      <c r="O4" t="s">
        <v>271</v>
      </c>
      <c r="P4" t="s">
        <v>272</v>
      </c>
      <c r="Q4" t="s">
        <v>273</v>
      </c>
      <c r="R4" t="s">
        <v>274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242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243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336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topLeftCell="A46" workbookViewId="0">
      <selection activeCell="D53" sqref="D53"/>
    </sheetView>
  </sheetViews>
  <sheetFormatPr defaultRowHeight="14.5" x14ac:dyDescent="0.35"/>
  <cols>
    <col min="2" max="2" width="18.453125" customWidth="1"/>
    <col min="3" max="3" width="17.7265625" bestFit="1" customWidth="1"/>
    <col min="4" max="4" width="15.54296875" bestFit="1" customWidth="1"/>
  </cols>
  <sheetData>
    <row r="1" spans="1:5" x14ac:dyDescent="0.35">
      <c r="A1" t="s">
        <v>0</v>
      </c>
      <c r="B1" t="s">
        <v>1</v>
      </c>
      <c r="C1" t="s">
        <v>291</v>
      </c>
      <c r="D1" t="s">
        <v>292</v>
      </c>
      <c r="E1" t="s">
        <v>339</v>
      </c>
    </row>
    <row r="2" spans="1:5" x14ac:dyDescent="0.35">
      <c r="A2" t="s">
        <v>4</v>
      </c>
      <c r="B2">
        <v>2021</v>
      </c>
      <c r="C2" s="14">
        <v>925</v>
      </c>
      <c r="D2">
        <v>419.57259999999997</v>
      </c>
    </row>
    <row r="3" spans="1:5" x14ac:dyDescent="0.35">
      <c r="A3" t="s">
        <v>3</v>
      </c>
      <c r="B3">
        <v>2021</v>
      </c>
      <c r="C3" s="14">
        <v>754.5</v>
      </c>
      <c r="D3">
        <v>342.235164</v>
      </c>
    </row>
    <row r="4" spans="1:5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5">
      <c r="A5" t="s">
        <v>5</v>
      </c>
      <c r="B5">
        <v>2021</v>
      </c>
      <c r="C5" s="14">
        <v>727.6</v>
      </c>
      <c r="D5">
        <v>330.03353920000001</v>
      </c>
    </row>
    <row r="6" spans="1:5" x14ac:dyDescent="0.35">
      <c r="A6" t="s">
        <v>7</v>
      </c>
      <c r="B6">
        <v>2021</v>
      </c>
      <c r="C6" s="14">
        <v>480.5</v>
      </c>
      <c r="D6">
        <v>217.95095600000002</v>
      </c>
    </row>
    <row r="7" spans="1:5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5">
      <c r="A8" t="s">
        <v>9</v>
      </c>
      <c r="B8">
        <v>2021</v>
      </c>
      <c r="C8" s="14">
        <v>518.1</v>
      </c>
      <c r="D8">
        <v>235.00601520000001</v>
      </c>
    </row>
    <row r="9" spans="1:5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242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243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5">
      <c r="A53" t="s">
        <v>336</v>
      </c>
      <c r="B53" s="14">
        <v>2021</v>
      </c>
      <c r="C53" s="28">
        <v>852.3</v>
      </c>
      <c r="D53" s="14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A7" workbookViewId="0">
      <selection activeCell="H2" sqref="H2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5.36328125" customWidth="1"/>
    <col min="5" max="5" width="27.6328125" customWidth="1"/>
    <col min="6" max="6" width="20.08984375" customWidth="1"/>
    <col min="7" max="7" width="15" customWidth="1"/>
    <col min="8" max="8" width="15.81640625" bestFit="1" customWidth="1"/>
  </cols>
  <sheetData>
    <row r="1" spans="1:8" x14ac:dyDescent="0.35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333</v>
      </c>
    </row>
    <row r="2" spans="1:8" x14ac:dyDescent="0.35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126</v>
      </c>
      <c r="B30" t="s">
        <v>242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140</v>
      </c>
      <c r="B44" t="s">
        <v>243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141</v>
      </c>
      <c r="B45" t="s">
        <v>243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126</v>
      </c>
      <c r="B85" t="s">
        <v>242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140</v>
      </c>
      <c r="B99" t="s">
        <v>243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141</v>
      </c>
      <c r="B100" t="s">
        <v>243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126</v>
      </c>
      <c r="B127" t="s">
        <v>242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140</v>
      </c>
      <c r="B137" t="s">
        <v>243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126</v>
      </c>
      <c r="B152" t="s">
        <v>242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5">
      <c r="A195" t="s">
        <v>335</v>
      </c>
      <c r="B195" s="29" t="s">
        <v>336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19">
        <f>SUMIF($C$2:$C$194,$C195,H$2:H$194)</f>
        <v>2471604408</v>
      </c>
    </row>
    <row r="196" spans="1:8" x14ac:dyDescent="0.35">
      <c r="A196" t="s">
        <v>335</v>
      </c>
      <c r="B196" s="29" t="s">
        <v>336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f t="shared" ref="H196:H200" si="1">SUMIF($C$2:$C$194,$C196,H$2:H$194)</f>
        <v>1254850087</v>
      </c>
    </row>
    <row r="197" spans="1:8" x14ac:dyDescent="0.35">
      <c r="A197" t="s">
        <v>335</v>
      </c>
      <c r="B197" s="29" t="s">
        <v>336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19">
        <f t="shared" si="1"/>
        <v>159162025</v>
      </c>
    </row>
    <row r="198" spans="1:8" x14ac:dyDescent="0.35">
      <c r="A198" t="s">
        <v>335</v>
      </c>
      <c r="B198" s="29" t="s">
        <v>336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f t="shared" si="1"/>
        <v>124469090</v>
      </c>
    </row>
    <row r="199" spans="1:8" x14ac:dyDescent="0.35">
      <c r="A199" t="s">
        <v>335</v>
      </c>
      <c r="B199" s="29" t="s">
        <v>336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9">
        <f t="shared" si="1"/>
        <v>93373230</v>
      </c>
    </row>
    <row r="200" spans="1:8" x14ac:dyDescent="0.35">
      <c r="A200" t="s">
        <v>335</v>
      </c>
      <c r="B200" s="29" t="s">
        <v>336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f t="shared" si="1"/>
        <v>123717004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topLeftCell="A1519" workbookViewId="0">
      <selection activeCell="C1532" sqref="C1532:C156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91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242</v>
      </c>
      <c r="B992">
        <v>2021</v>
      </c>
      <c r="C992">
        <v>117734</v>
      </c>
    </row>
    <row r="993" spans="1:3" x14ac:dyDescent="0.35">
      <c r="A993" t="s">
        <v>242</v>
      </c>
      <c r="B993">
        <v>2022</v>
      </c>
      <c r="C993">
        <v>118965.94291047599</v>
      </c>
    </row>
    <row r="994" spans="1:3" x14ac:dyDescent="0.35">
      <c r="A994" t="s">
        <v>242</v>
      </c>
      <c r="B994">
        <v>2023</v>
      </c>
      <c r="C994">
        <v>120197.88582095198</v>
      </c>
    </row>
    <row r="995" spans="1:3" x14ac:dyDescent="0.35">
      <c r="A995" t="s">
        <v>242</v>
      </c>
      <c r="B995">
        <v>2024</v>
      </c>
      <c r="C995">
        <v>121429.82873142799</v>
      </c>
    </row>
    <row r="996" spans="1:3" x14ac:dyDescent="0.35">
      <c r="A996" t="s">
        <v>242</v>
      </c>
      <c r="B996">
        <v>2025</v>
      </c>
      <c r="C996">
        <v>122661.77164190395</v>
      </c>
    </row>
    <row r="997" spans="1:3" x14ac:dyDescent="0.35">
      <c r="A997" t="s">
        <v>242</v>
      </c>
      <c r="B997">
        <v>2026</v>
      </c>
      <c r="C997">
        <v>123893.71455237994</v>
      </c>
    </row>
    <row r="998" spans="1:3" x14ac:dyDescent="0.35">
      <c r="A998" t="s">
        <v>242</v>
      </c>
      <c r="B998">
        <v>2027</v>
      </c>
      <c r="C998">
        <v>125125.65746285593</v>
      </c>
    </row>
    <row r="999" spans="1:3" x14ac:dyDescent="0.35">
      <c r="A999" t="s">
        <v>242</v>
      </c>
      <c r="B999">
        <v>2028</v>
      </c>
      <c r="C999">
        <v>126357.60037333192</v>
      </c>
    </row>
    <row r="1000" spans="1:3" x14ac:dyDescent="0.35">
      <c r="A1000" t="s">
        <v>242</v>
      </c>
      <c r="B1000">
        <v>2029</v>
      </c>
      <c r="C1000">
        <v>127589.54328380793</v>
      </c>
    </row>
    <row r="1001" spans="1:3" x14ac:dyDescent="0.35">
      <c r="A1001" t="s">
        <v>242</v>
      </c>
      <c r="B1001">
        <v>2030</v>
      </c>
      <c r="C1001">
        <v>128821.48619428392</v>
      </c>
    </row>
    <row r="1002" spans="1:3" x14ac:dyDescent="0.35">
      <c r="A1002" t="s">
        <v>242</v>
      </c>
      <c r="B1002">
        <v>2031</v>
      </c>
      <c r="C1002">
        <v>130053.42910475978</v>
      </c>
    </row>
    <row r="1003" spans="1:3" x14ac:dyDescent="0.35">
      <c r="A1003" t="s">
        <v>242</v>
      </c>
      <c r="B1003">
        <v>2032</v>
      </c>
      <c r="C1003">
        <v>131150.86294994285</v>
      </c>
    </row>
    <row r="1004" spans="1:3" x14ac:dyDescent="0.35">
      <c r="A1004" t="s">
        <v>242</v>
      </c>
      <c r="B1004">
        <v>2033</v>
      </c>
      <c r="C1004">
        <v>132248.29679512593</v>
      </c>
    </row>
    <row r="1005" spans="1:3" x14ac:dyDescent="0.35">
      <c r="A1005" t="s">
        <v>242</v>
      </c>
      <c r="B1005">
        <v>2034</v>
      </c>
      <c r="C1005">
        <v>133345.73064030899</v>
      </c>
    </row>
    <row r="1006" spans="1:3" x14ac:dyDescent="0.35">
      <c r="A1006" t="s">
        <v>242</v>
      </c>
      <c r="B1006">
        <v>2035</v>
      </c>
      <c r="C1006">
        <v>134443.16448549205</v>
      </c>
    </row>
    <row r="1007" spans="1:3" x14ac:dyDescent="0.35">
      <c r="A1007" t="s">
        <v>242</v>
      </c>
      <c r="B1007">
        <v>2036</v>
      </c>
      <c r="C1007">
        <v>135540.5983306751</v>
      </c>
    </row>
    <row r="1008" spans="1:3" x14ac:dyDescent="0.35">
      <c r="A1008" t="s">
        <v>242</v>
      </c>
      <c r="B1008">
        <v>2037</v>
      </c>
      <c r="C1008">
        <v>136638.03217585818</v>
      </c>
    </row>
    <row r="1009" spans="1:3" x14ac:dyDescent="0.35">
      <c r="A1009" t="s">
        <v>242</v>
      </c>
      <c r="B1009">
        <v>2038</v>
      </c>
      <c r="C1009">
        <v>137735.46602104124</v>
      </c>
    </row>
    <row r="1010" spans="1:3" x14ac:dyDescent="0.35">
      <c r="A1010" t="s">
        <v>242</v>
      </c>
      <c r="B1010">
        <v>2039</v>
      </c>
      <c r="C1010">
        <v>138832.89986622432</v>
      </c>
    </row>
    <row r="1011" spans="1:3" x14ac:dyDescent="0.35">
      <c r="A1011" t="s">
        <v>242</v>
      </c>
      <c r="B1011">
        <v>2040</v>
      </c>
      <c r="C1011">
        <v>139930.33371140735</v>
      </c>
    </row>
    <row r="1012" spans="1:3" x14ac:dyDescent="0.35">
      <c r="A1012" t="s">
        <v>242</v>
      </c>
      <c r="B1012">
        <v>2041</v>
      </c>
      <c r="C1012">
        <v>141027.76755659049</v>
      </c>
    </row>
    <row r="1013" spans="1:3" x14ac:dyDescent="0.35">
      <c r="A1013" t="s">
        <v>242</v>
      </c>
      <c r="B1013">
        <v>2042</v>
      </c>
      <c r="C1013">
        <v>142217.80649898967</v>
      </c>
    </row>
    <row r="1014" spans="1:3" x14ac:dyDescent="0.35">
      <c r="A1014" t="s">
        <v>242</v>
      </c>
      <c r="B1014">
        <v>2043</v>
      </c>
      <c r="C1014">
        <v>143407.84544138884</v>
      </c>
    </row>
    <row r="1015" spans="1:3" x14ac:dyDescent="0.35">
      <c r="A1015" t="s">
        <v>242</v>
      </c>
      <c r="B1015">
        <v>2044</v>
      </c>
      <c r="C1015">
        <v>144597.88438378801</v>
      </c>
    </row>
    <row r="1016" spans="1:3" x14ac:dyDescent="0.35">
      <c r="A1016" t="s">
        <v>242</v>
      </c>
      <c r="B1016">
        <v>2045</v>
      </c>
      <c r="C1016">
        <v>145787.92332618716</v>
      </c>
    </row>
    <row r="1017" spans="1:3" x14ac:dyDescent="0.35">
      <c r="A1017" t="s">
        <v>242</v>
      </c>
      <c r="B1017">
        <v>2046</v>
      </c>
      <c r="C1017">
        <v>146977.9622685863</v>
      </c>
    </row>
    <row r="1018" spans="1:3" x14ac:dyDescent="0.35">
      <c r="A1018" t="s">
        <v>242</v>
      </c>
      <c r="B1018">
        <v>2047</v>
      </c>
      <c r="C1018">
        <v>148168.00121098547</v>
      </c>
    </row>
    <row r="1019" spans="1:3" x14ac:dyDescent="0.35">
      <c r="A1019" t="s">
        <v>242</v>
      </c>
      <c r="B1019">
        <v>2048</v>
      </c>
      <c r="C1019">
        <v>149358.04015338465</v>
      </c>
    </row>
    <row r="1020" spans="1:3" x14ac:dyDescent="0.35">
      <c r="A1020" t="s">
        <v>242</v>
      </c>
      <c r="B1020">
        <v>2049</v>
      </c>
      <c r="C1020">
        <v>150548.07909578382</v>
      </c>
    </row>
    <row r="1021" spans="1:3" x14ac:dyDescent="0.35">
      <c r="A1021" t="s">
        <v>242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243</v>
      </c>
      <c r="B1202">
        <v>2021</v>
      </c>
      <c r="C1202">
        <v>57492</v>
      </c>
    </row>
    <row r="1203" spans="1:3" x14ac:dyDescent="0.35">
      <c r="A1203" t="s">
        <v>243</v>
      </c>
      <c r="B1203">
        <v>2022</v>
      </c>
      <c r="C1203">
        <v>58165.863726137752</v>
      </c>
    </row>
    <row r="1204" spans="1:3" x14ac:dyDescent="0.35">
      <c r="A1204" t="s">
        <v>243</v>
      </c>
      <c r="B1204">
        <v>2023</v>
      </c>
      <c r="C1204">
        <v>58839.727452275503</v>
      </c>
    </row>
    <row r="1205" spans="1:3" x14ac:dyDescent="0.35">
      <c r="A1205" t="s">
        <v>243</v>
      </c>
      <c r="B1205">
        <v>2024</v>
      </c>
      <c r="C1205">
        <v>59513.591178413255</v>
      </c>
    </row>
    <row r="1206" spans="1:3" x14ac:dyDescent="0.35">
      <c r="A1206" t="s">
        <v>243</v>
      </c>
      <c r="B1206">
        <v>2025</v>
      </c>
      <c r="C1206">
        <v>60187.454904551014</v>
      </c>
    </row>
    <row r="1207" spans="1:3" x14ac:dyDescent="0.35">
      <c r="A1207" t="s">
        <v>243</v>
      </c>
      <c r="B1207">
        <v>2026</v>
      </c>
      <c r="C1207">
        <v>60861.318630688766</v>
      </c>
    </row>
    <row r="1208" spans="1:3" x14ac:dyDescent="0.35">
      <c r="A1208" t="s">
        <v>243</v>
      </c>
      <c r="B1208">
        <v>2027</v>
      </c>
      <c r="C1208">
        <v>61535.182356826517</v>
      </c>
    </row>
    <row r="1209" spans="1:3" x14ac:dyDescent="0.35">
      <c r="A1209" t="s">
        <v>243</v>
      </c>
      <c r="B1209">
        <v>2028</v>
      </c>
      <c r="C1209">
        <v>62209.046082964269</v>
      </c>
    </row>
    <row r="1210" spans="1:3" x14ac:dyDescent="0.35">
      <c r="A1210" t="s">
        <v>243</v>
      </c>
      <c r="B1210">
        <v>2029</v>
      </c>
      <c r="C1210">
        <v>62882.909809102021</v>
      </c>
    </row>
    <row r="1211" spans="1:3" x14ac:dyDescent="0.35">
      <c r="A1211" t="s">
        <v>243</v>
      </c>
      <c r="B1211">
        <v>2030</v>
      </c>
      <c r="C1211">
        <v>63556.773535239772</v>
      </c>
    </row>
    <row r="1212" spans="1:3" x14ac:dyDescent="0.35">
      <c r="A1212" t="s">
        <v>243</v>
      </c>
      <c r="B1212">
        <v>2031</v>
      </c>
      <c r="C1212">
        <v>64230.637261377538</v>
      </c>
    </row>
    <row r="1213" spans="1:3" x14ac:dyDescent="0.35">
      <c r="A1213" t="s">
        <v>243</v>
      </c>
      <c r="B1213">
        <v>2032</v>
      </c>
      <c r="C1213">
        <v>64851.907869280156</v>
      </c>
    </row>
    <row r="1214" spans="1:3" x14ac:dyDescent="0.35">
      <c r="A1214" t="s">
        <v>243</v>
      </c>
      <c r="B1214">
        <v>2033</v>
      </c>
      <c r="C1214">
        <v>65473.178477182781</v>
      </c>
    </row>
    <row r="1215" spans="1:3" x14ac:dyDescent="0.35">
      <c r="A1215" t="s">
        <v>243</v>
      </c>
      <c r="B1215">
        <v>2034</v>
      </c>
      <c r="C1215">
        <v>66094.449085085391</v>
      </c>
    </row>
    <row r="1216" spans="1:3" x14ac:dyDescent="0.35">
      <c r="A1216" t="s">
        <v>243</v>
      </c>
      <c r="B1216">
        <v>2035</v>
      </c>
      <c r="C1216">
        <v>66715.719692988016</v>
      </c>
    </row>
    <row r="1217" spans="1:3" x14ac:dyDescent="0.35">
      <c r="A1217" t="s">
        <v>243</v>
      </c>
      <c r="B1217">
        <v>2036</v>
      </c>
      <c r="C1217">
        <v>67336.990300890626</v>
      </c>
    </row>
    <row r="1218" spans="1:3" x14ac:dyDescent="0.35">
      <c r="A1218" t="s">
        <v>243</v>
      </c>
      <c r="B1218">
        <v>2037</v>
      </c>
      <c r="C1218">
        <v>67958.260908793236</v>
      </c>
    </row>
    <row r="1219" spans="1:3" x14ac:dyDescent="0.35">
      <c r="A1219" t="s">
        <v>243</v>
      </c>
      <c r="B1219">
        <v>2038</v>
      </c>
      <c r="C1219">
        <v>68579.531516695846</v>
      </c>
    </row>
    <row r="1220" spans="1:3" x14ac:dyDescent="0.35">
      <c r="A1220" t="s">
        <v>243</v>
      </c>
      <c r="B1220">
        <v>2039</v>
      </c>
      <c r="C1220">
        <v>69200.802124598471</v>
      </c>
    </row>
    <row r="1221" spans="1:3" x14ac:dyDescent="0.35">
      <c r="A1221" t="s">
        <v>243</v>
      </c>
      <c r="B1221">
        <v>2040</v>
      </c>
      <c r="C1221">
        <v>69822.072732501096</v>
      </c>
    </row>
    <row r="1222" spans="1:3" x14ac:dyDescent="0.35">
      <c r="A1222" t="s">
        <v>243</v>
      </c>
      <c r="B1222">
        <v>2041</v>
      </c>
      <c r="C1222">
        <v>70443.343340403691</v>
      </c>
    </row>
    <row r="1223" spans="1:3" x14ac:dyDescent="0.35">
      <c r="A1223" t="s">
        <v>243</v>
      </c>
      <c r="B1223">
        <v>2042</v>
      </c>
      <c r="C1223">
        <v>71124.706325511448</v>
      </c>
    </row>
    <row r="1224" spans="1:3" x14ac:dyDescent="0.35">
      <c r="A1224" t="s">
        <v>243</v>
      </c>
      <c r="B1224">
        <v>2043</v>
      </c>
      <c r="C1224">
        <v>71806.069310619205</v>
      </c>
    </row>
    <row r="1225" spans="1:3" x14ac:dyDescent="0.35">
      <c r="A1225" t="s">
        <v>243</v>
      </c>
      <c r="B1225">
        <v>2044</v>
      </c>
      <c r="C1225">
        <v>72487.432295726961</v>
      </c>
    </row>
    <row r="1226" spans="1:3" x14ac:dyDescent="0.35">
      <c r="A1226" t="s">
        <v>243</v>
      </c>
      <c r="B1226">
        <v>2045</v>
      </c>
      <c r="C1226">
        <v>73168.795280834689</v>
      </c>
    </row>
    <row r="1227" spans="1:3" x14ac:dyDescent="0.35">
      <c r="A1227" t="s">
        <v>243</v>
      </c>
      <c r="B1227">
        <v>2046</v>
      </c>
      <c r="C1227">
        <v>73850.158265942446</v>
      </c>
    </row>
    <row r="1228" spans="1:3" x14ac:dyDescent="0.35">
      <c r="A1228" t="s">
        <v>243</v>
      </c>
      <c r="B1228">
        <v>2047</v>
      </c>
      <c r="C1228">
        <v>74531.521251050202</v>
      </c>
    </row>
    <row r="1229" spans="1:3" x14ac:dyDescent="0.35">
      <c r="A1229" t="s">
        <v>243</v>
      </c>
      <c r="B1229">
        <v>2048</v>
      </c>
      <c r="C1229">
        <v>75212.884236157945</v>
      </c>
    </row>
    <row r="1230" spans="1:3" x14ac:dyDescent="0.35">
      <c r="A1230" t="s">
        <v>243</v>
      </c>
      <c r="B1230">
        <v>2049</v>
      </c>
      <c r="C1230">
        <v>75894.247221265701</v>
      </c>
    </row>
    <row r="1231" spans="1:3" x14ac:dyDescent="0.35">
      <c r="A1231" t="s">
        <v>243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  <row r="1532" spans="1:3" x14ac:dyDescent="0.35">
      <c r="A1532" t="s">
        <v>336</v>
      </c>
      <c r="B1532">
        <v>2021</v>
      </c>
      <c r="C1532">
        <f>SUMIF($B$1:$B$1531,$B1532,$C$1:$C$1531)</f>
        <v>3140090</v>
      </c>
    </row>
    <row r="1533" spans="1:3" x14ac:dyDescent="0.35">
      <c r="A1533" t="s">
        <v>336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5">
      <c r="A1534" t="s">
        <v>336</v>
      </c>
      <c r="B1534">
        <v>2023</v>
      </c>
      <c r="C1534">
        <f t="shared" si="0"/>
        <v>3188648.7815619218</v>
      </c>
    </row>
    <row r="1535" spans="1:3" x14ac:dyDescent="0.35">
      <c r="A1535" t="s">
        <v>336</v>
      </c>
      <c r="B1535">
        <v>2024</v>
      </c>
      <c r="C1535">
        <f t="shared" si="0"/>
        <v>3212928.1723428858</v>
      </c>
    </row>
    <row r="1536" spans="1:3" x14ac:dyDescent="0.35">
      <c r="A1536" t="s">
        <v>336</v>
      </c>
      <c r="B1536">
        <v>2025</v>
      </c>
      <c r="C1536">
        <f t="shared" si="0"/>
        <v>3237207.5631238469</v>
      </c>
    </row>
    <row r="1537" spans="1:3" x14ac:dyDescent="0.35">
      <c r="A1537" t="s">
        <v>336</v>
      </c>
      <c r="B1537">
        <v>2026</v>
      </c>
      <c r="C1537">
        <f t="shared" si="0"/>
        <v>3261486.9539048085</v>
      </c>
    </row>
    <row r="1538" spans="1:3" x14ac:dyDescent="0.35">
      <c r="A1538" t="s">
        <v>336</v>
      </c>
      <c r="B1538">
        <v>2027</v>
      </c>
      <c r="C1538">
        <f t="shared" si="0"/>
        <v>3285766.3446857701</v>
      </c>
    </row>
    <row r="1539" spans="1:3" x14ac:dyDescent="0.35">
      <c r="A1539" t="s">
        <v>336</v>
      </c>
      <c r="B1539">
        <v>2028</v>
      </c>
      <c r="C1539">
        <f t="shared" si="0"/>
        <v>3310045.7354667317</v>
      </c>
    </row>
    <row r="1540" spans="1:3" x14ac:dyDescent="0.35">
      <c r="A1540" t="s">
        <v>336</v>
      </c>
      <c r="B1540">
        <v>2029</v>
      </c>
      <c r="C1540">
        <f t="shared" si="0"/>
        <v>3334325.1262476938</v>
      </c>
    </row>
    <row r="1541" spans="1:3" x14ac:dyDescent="0.35">
      <c r="A1541" t="s">
        <v>336</v>
      </c>
      <c r="B1541">
        <v>2030</v>
      </c>
      <c r="C1541">
        <f t="shared" si="0"/>
        <v>3358604.5170286549</v>
      </c>
    </row>
    <row r="1542" spans="1:3" x14ac:dyDescent="0.35">
      <c r="A1542" t="s">
        <v>336</v>
      </c>
      <c r="B1542">
        <v>2031</v>
      </c>
      <c r="C1542">
        <f t="shared" si="0"/>
        <v>3382883.9078096175</v>
      </c>
    </row>
    <row r="1543" spans="1:3" x14ac:dyDescent="0.35">
      <c r="A1543" t="s">
        <v>336</v>
      </c>
      <c r="B1543">
        <v>2032</v>
      </c>
      <c r="C1543">
        <f t="shared" si="0"/>
        <v>3403381.9481576658</v>
      </c>
    </row>
    <row r="1544" spans="1:3" x14ac:dyDescent="0.35">
      <c r="A1544" t="s">
        <v>336</v>
      </c>
      <c r="B1544">
        <v>2033</v>
      </c>
      <c r="C1544">
        <f t="shared" si="0"/>
        <v>3423879.9885057146</v>
      </c>
    </row>
    <row r="1545" spans="1:3" x14ac:dyDescent="0.35">
      <c r="A1545" t="s">
        <v>336</v>
      </c>
      <c r="B1545">
        <v>2034</v>
      </c>
      <c r="C1545">
        <f t="shared" si="0"/>
        <v>3444378.0288537624</v>
      </c>
    </row>
    <row r="1546" spans="1:3" x14ac:dyDescent="0.35">
      <c r="A1546" t="s">
        <v>336</v>
      </c>
      <c r="B1546">
        <v>2035</v>
      </c>
      <c r="C1546">
        <f t="shared" si="0"/>
        <v>3464876.0692018117</v>
      </c>
    </row>
    <row r="1547" spans="1:3" x14ac:dyDescent="0.35">
      <c r="A1547" t="s">
        <v>336</v>
      </c>
      <c r="B1547">
        <v>2036</v>
      </c>
      <c r="C1547">
        <f t="shared" si="0"/>
        <v>3485374.1095498591</v>
      </c>
    </row>
    <row r="1548" spans="1:3" x14ac:dyDescent="0.35">
      <c r="A1548" t="s">
        <v>336</v>
      </c>
      <c r="B1548">
        <v>2037</v>
      </c>
      <c r="C1548">
        <f t="shared" si="0"/>
        <v>3505872.1498979069</v>
      </c>
    </row>
    <row r="1549" spans="1:3" x14ac:dyDescent="0.35">
      <c r="A1549" t="s">
        <v>336</v>
      </c>
      <c r="B1549">
        <v>2038</v>
      </c>
      <c r="C1549">
        <f t="shared" si="0"/>
        <v>3526370.1902459553</v>
      </c>
    </row>
    <row r="1550" spans="1:3" x14ac:dyDescent="0.35">
      <c r="A1550" t="s">
        <v>336</v>
      </c>
      <c r="B1550">
        <v>2039</v>
      </c>
      <c r="C1550">
        <f t="shared" si="0"/>
        <v>3546868.2305940031</v>
      </c>
    </row>
    <row r="1551" spans="1:3" x14ac:dyDescent="0.35">
      <c r="A1551" t="s">
        <v>336</v>
      </c>
      <c r="B1551">
        <v>2040</v>
      </c>
      <c r="C1551">
        <f t="shared" si="0"/>
        <v>3567366.2709420524</v>
      </c>
    </row>
    <row r="1552" spans="1:3" x14ac:dyDescent="0.35">
      <c r="A1552" t="s">
        <v>336</v>
      </c>
      <c r="B1552">
        <v>2041</v>
      </c>
      <c r="C1552">
        <f t="shared" si="0"/>
        <v>3587864.3112901007</v>
      </c>
    </row>
    <row r="1553" spans="1:3" x14ac:dyDescent="0.35">
      <c r="A1553" t="s">
        <v>336</v>
      </c>
      <c r="B1553">
        <v>2042</v>
      </c>
      <c r="C1553">
        <f t="shared" si="0"/>
        <v>3610702.773454316</v>
      </c>
    </row>
    <row r="1554" spans="1:3" x14ac:dyDescent="0.35">
      <c r="A1554" t="s">
        <v>336</v>
      </c>
      <c r="B1554">
        <v>2043</v>
      </c>
      <c r="C1554">
        <f t="shared" si="0"/>
        <v>3633541.2356185312</v>
      </c>
    </row>
    <row r="1555" spans="1:3" x14ac:dyDescent="0.35">
      <c r="A1555" t="s">
        <v>336</v>
      </c>
      <c r="B1555">
        <v>2044</v>
      </c>
      <c r="C1555">
        <f t="shared" si="0"/>
        <v>3656379.697782747</v>
      </c>
    </row>
    <row r="1556" spans="1:3" x14ac:dyDescent="0.35">
      <c r="A1556" t="s">
        <v>336</v>
      </c>
      <c r="B1556">
        <v>2045</v>
      </c>
      <c r="C1556">
        <f t="shared" si="0"/>
        <v>3679218.1599469618</v>
      </c>
    </row>
    <row r="1557" spans="1:3" x14ac:dyDescent="0.35">
      <c r="A1557" t="s">
        <v>336</v>
      </c>
      <c r="B1557">
        <v>2046</v>
      </c>
      <c r="C1557">
        <f t="shared" si="0"/>
        <v>3702056.6221111771</v>
      </c>
    </row>
    <row r="1558" spans="1:3" x14ac:dyDescent="0.35">
      <c r="A1558" t="s">
        <v>336</v>
      </c>
      <c r="B1558">
        <v>2047</v>
      </c>
      <c r="C1558">
        <f t="shared" si="0"/>
        <v>3724895.0842753923</v>
      </c>
    </row>
    <row r="1559" spans="1:3" x14ac:dyDescent="0.35">
      <c r="A1559" t="s">
        <v>336</v>
      </c>
      <c r="B1559">
        <v>2048</v>
      </c>
      <c r="C1559">
        <f t="shared" si="0"/>
        <v>3747733.5464396081</v>
      </c>
    </row>
    <row r="1560" spans="1:3" x14ac:dyDescent="0.35">
      <c r="A1560" t="s">
        <v>336</v>
      </c>
      <c r="B1560">
        <v>2049</v>
      </c>
      <c r="C1560">
        <f t="shared" si="0"/>
        <v>3770572.0086038234</v>
      </c>
    </row>
    <row r="1561" spans="1:3" x14ac:dyDescent="0.35">
      <c r="A1561" t="s">
        <v>336</v>
      </c>
      <c r="B1561">
        <v>2050</v>
      </c>
      <c r="C1561">
        <f t="shared" si="0"/>
        <v>3793410.4707680391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3"/>
  <sheetViews>
    <sheetView topLeftCell="A40" workbookViewId="0">
      <selection activeCell="L53" sqref="L5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92</v>
      </c>
      <c r="B1" s="10" t="s">
        <v>0</v>
      </c>
      <c r="C1" s="10" t="s">
        <v>198</v>
      </c>
      <c r="D1" s="10" t="s">
        <v>199</v>
      </c>
      <c r="E1" s="10" t="s">
        <v>200</v>
      </c>
      <c r="F1" s="10" t="s">
        <v>201</v>
      </c>
      <c r="G1" s="10" t="s">
        <v>202</v>
      </c>
      <c r="H1" s="10" t="s">
        <v>203</v>
      </c>
      <c r="I1" s="10" t="s">
        <v>204</v>
      </c>
      <c r="J1" s="10" t="s">
        <v>205</v>
      </c>
    </row>
    <row r="2" spans="1:10" x14ac:dyDescent="0.35">
      <c r="A2" s="2" t="s">
        <v>93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93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93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93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93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93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93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93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93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93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93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93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93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93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93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93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93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93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93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93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93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93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93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93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93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93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93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93</v>
      </c>
      <c r="B29" s="2" t="s">
        <v>242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93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93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93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93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93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93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93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93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93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93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93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93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93</v>
      </c>
      <c r="B42" s="2" t="s">
        <v>243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93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93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93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93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93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93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93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93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93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93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  <row r="53" spans="1:10" x14ac:dyDescent="0.35">
      <c r="A53" s="2" t="s">
        <v>285</v>
      </c>
      <c r="B53" s="2" t="s">
        <v>336</v>
      </c>
      <c r="C53" s="3">
        <f>AVERAGE(C2:C52)</f>
        <v>3.5496078431372533</v>
      </c>
      <c r="D53" s="3">
        <f t="shared" ref="D53:G53" si="0">AVERAGE(D2:D52)</f>
        <v>3.9098039215686269</v>
      </c>
      <c r="E53" s="3">
        <f t="shared" si="0"/>
        <v>4.2462745098039223</v>
      </c>
      <c r="F53" s="3">
        <f t="shared" si="0"/>
        <v>4.0600000000000005</v>
      </c>
      <c r="G53" s="3">
        <f t="shared" si="0"/>
        <v>11.676078431372549</v>
      </c>
      <c r="H53" s="30">
        <f>SUM(H2:H52)</f>
        <v>1145861</v>
      </c>
      <c r="I53" s="30">
        <f t="shared" ref="I53:J53" si="1">SUM(I2:I52)</f>
        <v>4108302836</v>
      </c>
      <c r="J53" s="30">
        <f t="shared" si="1"/>
        <v>3805874253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316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5">
      <c r="A2" t="s">
        <v>317</v>
      </c>
      <c r="B2" t="s">
        <v>323</v>
      </c>
      <c r="C2">
        <v>327</v>
      </c>
      <c r="D2">
        <v>798</v>
      </c>
      <c r="E2">
        <v>0</v>
      </c>
    </row>
    <row r="3" spans="1:5" x14ac:dyDescent="0.35">
      <c r="A3" t="s">
        <v>317</v>
      </c>
      <c r="B3" t="s">
        <v>89</v>
      </c>
      <c r="C3">
        <v>174.4</v>
      </c>
      <c r="D3">
        <v>247</v>
      </c>
      <c r="E3">
        <v>0</v>
      </c>
    </row>
    <row r="4" spans="1:5" x14ac:dyDescent="0.35">
      <c r="A4" t="s">
        <v>317</v>
      </c>
      <c r="B4" t="s">
        <v>156</v>
      </c>
      <c r="C4">
        <v>54.5</v>
      </c>
      <c r="D4">
        <v>13</v>
      </c>
      <c r="E4">
        <v>0</v>
      </c>
    </row>
    <row r="5" spans="1:5" x14ac:dyDescent="0.35">
      <c r="A5" t="s">
        <v>317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318</v>
      </c>
      <c r="B6" t="s">
        <v>323</v>
      </c>
      <c r="C6">
        <v>150</v>
      </c>
      <c r="D6">
        <v>0</v>
      </c>
      <c r="E6">
        <v>0</v>
      </c>
    </row>
    <row r="7" spans="1:5" x14ac:dyDescent="0.35">
      <c r="A7" t="s">
        <v>318</v>
      </c>
      <c r="B7" t="s">
        <v>89</v>
      </c>
      <c r="C7">
        <v>80</v>
      </c>
      <c r="D7">
        <v>0</v>
      </c>
      <c r="E7">
        <v>0</v>
      </c>
    </row>
    <row r="8" spans="1:5" x14ac:dyDescent="0.35">
      <c r="A8" t="s">
        <v>318</v>
      </c>
      <c r="B8" t="s">
        <v>156</v>
      </c>
      <c r="C8">
        <v>25</v>
      </c>
      <c r="D8">
        <v>0</v>
      </c>
      <c r="E8">
        <v>0</v>
      </c>
    </row>
    <row r="9" spans="1:5" x14ac:dyDescent="0.35">
      <c r="A9" t="s">
        <v>318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319</v>
      </c>
      <c r="B10" t="s">
        <v>323</v>
      </c>
      <c r="C10">
        <v>203.25</v>
      </c>
      <c r="D10">
        <v>0</v>
      </c>
      <c r="E10">
        <v>0</v>
      </c>
    </row>
    <row r="11" spans="1:5" x14ac:dyDescent="0.35">
      <c r="A11" t="s">
        <v>319</v>
      </c>
      <c r="B11" t="s">
        <v>89</v>
      </c>
      <c r="C11">
        <v>108.4</v>
      </c>
      <c r="D11">
        <v>0</v>
      </c>
      <c r="E11">
        <v>0</v>
      </c>
    </row>
    <row r="12" spans="1:5" x14ac:dyDescent="0.35">
      <c r="A12" t="s">
        <v>319</v>
      </c>
      <c r="B12" t="s">
        <v>156</v>
      </c>
      <c r="C12">
        <v>33.875</v>
      </c>
      <c r="D12">
        <v>0</v>
      </c>
      <c r="E12">
        <v>0</v>
      </c>
    </row>
    <row r="13" spans="1:5" x14ac:dyDescent="0.35">
      <c r="A13" t="s">
        <v>319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320</v>
      </c>
      <c r="B14" t="s">
        <v>323</v>
      </c>
      <c r="C14">
        <v>0</v>
      </c>
      <c r="D14">
        <v>798</v>
      </c>
      <c r="E14">
        <v>0</v>
      </c>
    </row>
    <row r="15" spans="1:5" x14ac:dyDescent="0.35">
      <c r="A15" t="s">
        <v>320</v>
      </c>
      <c r="B15" t="s">
        <v>89</v>
      </c>
      <c r="C15">
        <v>0</v>
      </c>
      <c r="D15">
        <v>247</v>
      </c>
      <c r="E15">
        <v>0</v>
      </c>
    </row>
    <row r="16" spans="1:5" x14ac:dyDescent="0.35">
      <c r="A16" t="s">
        <v>320</v>
      </c>
      <c r="B16" t="s">
        <v>156</v>
      </c>
      <c r="C16">
        <v>0</v>
      </c>
      <c r="D16">
        <v>13</v>
      </c>
      <c r="E16">
        <v>0</v>
      </c>
    </row>
    <row r="17" spans="1:5" x14ac:dyDescent="0.35">
      <c r="A17" t="s">
        <v>320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321</v>
      </c>
      <c r="B18" t="s">
        <v>323</v>
      </c>
      <c r="C18">
        <v>150</v>
      </c>
      <c r="D18">
        <v>798</v>
      </c>
      <c r="E18">
        <v>0</v>
      </c>
    </row>
    <row r="19" spans="1:5" x14ac:dyDescent="0.35">
      <c r="A19" t="s">
        <v>321</v>
      </c>
      <c r="B19" t="s">
        <v>89</v>
      </c>
      <c r="C19">
        <v>80</v>
      </c>
      <c r="D19">
        <v>247</v>
      </c>
      <c r="E19">
        <v>0</v>
      </c>
    </row>
    <row r="20" spans="1:5" x14ac:dyDescent="0.35">
      <c r="A20" t="s">
        <v>321</v>
      </c>
      <c r="B20" t="s">
        <v>156</v>
      </c>
      <c r="C20">
        <v>25</v>
      </c>
      <c r="D20">
        <v>798</v>
      </c>
      <c r="E20">
        <v>0</v>
      </c>
    </row>
    <row r="21" spans="1:5" x14ac:dyDescent="0.35">
      <c r="A21" t="s">
        <v>322</v>
      </c>
      <c r="B21" t="s">
        <v>156</v>
      </c>
      <c r="C21">
        <v>25</v>
      </c>
      <c r="D21">
        <v>0</v>
      </c>
      <c r="E21">
        <v>0</v>
      </c>
    </row>
    <row r="22" spans="1:5" x14ac:dyDescent="0.35">
      <c r="A22" t="s">
        <v>322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86"/>
  <sheetViews>
    <sheetView topLeftCell="A266" zoomScale="70" zoomScaleNormal="70" workbookViewId="0">
      <selection activeCell="D280" sqref="D280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21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1" x14ac:dyDescent="0.35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165</v>
      </c>
      <c r="B29" t="s">
        <v>89</v>
      </c>
      <c r="C29" t="s">
        <v>126</v>
      </c>
      <c r="D29" t="s">
        <v>242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165</v>
      </c>
      <c r="B43" t="s">
        <v>89</v>
      </c>
      <c r="C43" t="s">
        <v>140</v>
      </c>
      <c r="D43" t="s">
        <v>243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166</v>
      </c>
      <c r="B80" t="s">
        <v>89</v>
      </c>
      <c r="C80" t="s">
        <v>126</v>
      </c>
      <c r="D80" t="s">
        <v>242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166</v>
      </c>
      <c r="B94" t="s">
        <v>89</v>
      </c>
      <c r="C94" t="s">
        <v>140</v>
      </c>
      <c r="D94" t="s">
        <v>243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1" x14ac:dyDescent="0.35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1" x14ac:dyDescent="0.35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1" x14ac:dyDescent="0.35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1" x14ac:dyDescent="0.35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1" x14ac:dyDescent="0.35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1" x14ac:dyDescent="0.35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1" x14ac:dyDescent="0.35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1" x14ac:dyDescent="0.35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5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5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5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5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5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5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5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5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5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5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5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5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5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5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5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5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5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5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5">
      <c r="A131" t="s">
        <v>166</v>
      </c>
      <c r="B131" t="s">
        <v>80</v>
      </c>
      <c r="C131" t="s">
        <v>126</v>
      </c>
      <c r="D131" t="s">
        <v>242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5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5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5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5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5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5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5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5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5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5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5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5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5">
      <c r="A144" t="s">
        <v>166</v>
      </c>
      <c r="B144" t="s">
        <v>80</v>
      </c>
      <c r="C144" t="s">
        <v>140</v>
      </c>
      <c r="D144" t="s">
        <v>243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5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5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5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5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5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5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5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5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5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5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5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5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5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5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5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5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5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5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5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5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5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5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5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5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5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5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5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5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5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5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5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5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5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5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5">
      <c r="A179" t="s">
        <v>165</v>
      </c>
      <c r="B179" t="s">
        <v>80</v>
      </c>
      <c r="C179" t="s">
        <v>126</v>
      </c>
      <c r="D179" t="s">
        <v>242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5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5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5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5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5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5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5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5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5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5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5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5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5">
      <c r="A192" t="s">
        <v>165</v>
      </c>
      <c r="B192" t="s">
        <v>80</v>
      </c>
      <c r="C192" t="s">
        <v>140</v>
      </c>
      <c r="D192" t="s">
        <v>243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5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5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5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5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5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5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5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5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5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5">
      <c r="A202" t="s">
        <v>167</v>
      </c>
      <c r="B202" t="s">
        <v>334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5">
      <c r="A203" t="s">
        <v>167</v>
      </c>
      <c r="B203" t="s">
        <v>334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5">
      <c r="A204" t="s">
        <v>167</v>
      </c>
      <c r="B204" t="s">
        <v>334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5">
      <c r="A205" t="s">
        <v>167</v>
      </c>
      <c r="B205" t="s">
        <v>334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5">
      <c r="A206" t="s">
        <v>167</v>
      </c>
      <c r="B206" t="s">
        <v>334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5">
      <c r="A207" t="s">
        <v>167</v>
      </c>
      <c r="B207" t="s">
        <v>334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5">
      <c r="A208" t="s">
        <v>167</v>
      </c>
      <c r="B208" t="s">
        <v>334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5">
      <c r="A209" t="s">
        <v>167</v>
      </c>
      <c r="B209" t="s">
        <v>334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5">
      <c r="A210" t="s">
        <v>167</v>
      </c>
      <c r="B210" t="s">
        <v>334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5">
      <c r="A211" t="s">
        <v>167</v>
      </c>
      <c r="B211" t="s">
        <v>334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5">
      <c r="A212" t="s">
        <v>167</v>
      </c>
      <c r="B212" t="s">
        <v>334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5">
      <c r="A213" t="s">
        <v>167</v>
      </c>
      <c r="B213" t="s">
        <v>334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5">
      <c r="A214" t="s">
        <v>167</v>
      </c>
      <c r="B214" t="s">
        <v>334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5">
      <c r="A215" t="s">
        <v>167</v>
      </c>
      <c r="B215" t="s">
        <v>334</v>
      </c>
      <c r="C215" t="s">
        <v>126</v>
      </c>
      <c r="D215" t="s">
        <v>242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5">
      <c r="A216" t="s">
        <v>167</v>
      </c>
      <c r="B216" t="s">
        <v>334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5">
      <c r="A217" t="s">
        <v>167</v>
      </c>
      <c r="B217" t="s">
        <v>334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5">
      <c r="A218" t="s">
        <v>167</v>
      </c>
      <c r="B218" t="s">
        <v>334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5">
      <c r="A219" t="s">
        <v>167</v>
      </c>
      <c r="B219" t="s">
        <v>334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5">
      <c r="A220" t="s">
        <v>167</v>
      </c>
      <c r="B220" t="s">
        <v>334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5">
      <c r="A221" t="s">
        <v>167</v>
      </c>
      <c r="B221" t="s">
        <v>334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5">
      <c r="A222" t="s">
        <v>167</v>
      </c>
      <c r="B222" t="s">
        <v>334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5">
      <c r="A223" t="s">
        <v>167</v>
      </c>
      <c r="B223" t="s">
        <v>334</v>
      </c>
      <c r="C223" t="s">
        <v>140</v>
      </c>
      <c r="D223" t="s">
        <v>243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5">
      <c r="A224" t="s">
        <v>167</v>
      </c>
      <c r="B224" t="s">
        <v>334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5">
      <c r="A225" t="s">
        <v>167</v>
      </c>
      <c r="B225" t="s">
        <v>334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5">
      <c r="A226" t="s">
        <v>167</v>
      </c>
      <c r="B226" t="s">
        <v>334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5">
      <c r="A227" t="s">
        <v>167</v>
      </c>
      <c r="B227" t="s">
        <v>334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5">
      <c r="A228" t="s">
        <v>167</v>
      </c>
      <c r="B228" t="s">
        <v>334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5">
      <c r="A229" t="s">
        <v>167</v>
      </c>
      <c r="B229" t="s">
        <v>334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5">
      <c r="A230" t="s">
        <v>167</v>
      </c>
      <c r="B230" t="s">
        <v>334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5">
      <c r="A231" t="s">
        <v>168</v>
      </c>
      <c r="B231" t="s">
        <v>334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5">
      <c r="A232" t="s">
        <v>168</v>
      </c>
      <c r="B232" t="s">
        <v>334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5">
      <c r="A233" t="s">
        <v>168</v>
      </c>
      <c r="B233" t="s">
        <v>334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5">
      <c r="A234" t="s">
        <v>168</v>
      </c>
      <c r="B234" t="s">
        <v>334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5">
      <c r="A235" t="s">
        <v>168</v>
      </c>
      <c r="B235" t="s">
        <v>334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5">
      <c r="A236" t="s">
        <v>168</v>
      </c>
      <c r="B236" t="s">
        <v>334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5">
      <c r="A237" t="s">
        <v>168</v>
      </c>
      <c r="B237" t="s">
        <v>334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5">
      <c r="A238" t="s">
        <v>168</v>
      </c>
      <c r="B238" t="s">
        <v>334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5">
      <c r="A239" t="s">
        <v>168</v>
      </c>
      <c r="B239" t="s">
        <v>334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5">
      <c r="A240" t="s">
        <v>168</v>
      </c>
      <c r="B240" t="s">
        <v>334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5">
      <c r="A241" t="s">
        <v>168</v>
      </c>
      <c r="B241" t="s">
        <v>334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5">
      <c r="A242" t="s">
        <v>168</v>
      </c>
      <c r="B242" t="s">
        <v>334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5">
      <c r="A243" t="s">
        <v>168</v>
      </c>
      <c r="B243" t="s">
        <v>334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5">
      <c r="A244" t="s">
        <v>168</v>
      </c>
      <c r="B244" t="s">
        <v>334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5">
      <c r="A245" t="s">
        <v>168</v>
      </c>
      <c r="B245" t="s">
        <v>334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5">
      <c r="A246" t="s">
        <v>168</v>
      </c>
      <c r="B246" t="s">
        <v>334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5">
      <c r="A247" t="s">
        <v>168</v>
      </c>
      <c r="B247" t="s">
        <v>334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5">
      <c r="A248" t="s">
        <v>169</v>
      </c>
      <c r="B248" t="s">
        <v>334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5">
      <c r="A249" t="s">
        <v>169</v>
      </c>
      <c r="B249" t="s">
        <v>334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5">
      <c r="A250" t="s">
        <v>169</v>
      </c>
      <c r="B250" t="s">
        <v>334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5">
      <c r="A251" t="s">
        <v>169</v>
      </c>
      <c r="B251" t="s">
        <v>334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5">
      <c r="A252" t="s">
        <v>169</v>
      </c>
      <c r="B252" t="s">
        <v>334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5">
      <c r="A253" t="s">
        <v>169</v>
      </c>
      <c r="B253" t="s">
        <v>334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5">
      <c r="A254" t="s">
        <v>169</v>
      </c>
      <c r="B254" t="s">
        <v>334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5">
      <c r="A255" t="s">
        <v>169</v>
      </c>
      <c r="B255" t="s">
        <v>334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5">
      <c r="A256" t="s">
        <v>169</v>
      </c>
      <c r="B256" t="s">
        <v>334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5">
      <c r="A257" t="s">
        <v>169</v>
      </c>
      <c r="B257" t="s">
        <v>334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5">
      <c r="A258" t="s">
        <v>169</v>
      </c>
      <c r="B258" t="s">
        <v>334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5">
      <c r="A259" t="s">
        <v>169</v>
      </c>
      <c r="B259" t="s">
        <v>334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5">
      <c r="A260" t="s">
        <v>170</v>
      </c>
      <c r="B260" t="s">
        <v>334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5">
      <c r="A261" t="s">
        <v>170</v>
      </c>
      <c r="B261" t="s">
        <v>334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5">
      <c r="A262" t="s">
        <v>170</v>
      </c>
      <c r="B262" t="s">
        <v>334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5">
      <c r="A263" t="s">
        <v>170</v>
      </c>
      <c r="B263" t="s">
        <v>334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5">
      <c r="A264" t="s">
        <v>170</v>
      </c>
      <c r="B264" t="s">
        <v>334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5">
      <c r="A265" t="s">
        <v>170</v>
      </c>
      <c r="B265" t="s">
        <v>334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5">
      <c r="A266" t="s">
        <v>170</v>
      </c>
      <c r="B266" t="s">
        <v>334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5">
      <c r="A267" t="s">
        <v>170</v>
      </c>
      <c r="B267" t="s">
        <v>334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5">
      <c r="A268" t="s">
        <v>170</v>
      </c>
      <c r="B268" t="s">
        <v>334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5">
      <c r="A269" t="s">
        <v>170</v>
      </c>
      <c r="B269" t="s">
        <v>334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5">
      <c r="A270" t="s">
        <v>170</v>
      </c>
      <c r="B270" t="s">
        <v>334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5">
      <c r="A271" t="s">
        <v>170</v>
      </c>
      <c r="B271" t="s">
        <v>334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5">
      <c r="A272" t="s">
        <v>170</v>
      </c>
      <c r="B272" t="s">
        <v>334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5">
      <c r="A273" t="s">
        <v>170</v>
      </c>
      <c r="B273" t="s">
        <v>334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5">
      <c r="A274" t="s">
        <v>170</v>
      </c>
      <c r="B274" t="s">
        <v>334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5">
      <c r="A275" t="s">
        <v>170</v>
      </c>
      <c r="B275" t="s">
        <v>334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5">
      <c r="A276" t="s">
        <v>170</v>
      </c>
      <c r="B276" t="s">
        <v>334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5">
      <c r="A277" t="s">
        <v>170</v>
      </c>
      <c r="B277" t="s">
        <v>334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5">
      <c r="A278" t="s">
        <v>170</v>
      </c>
      <c r="B278" t="s">
        <v>334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5">
      <c r="A279" t="s">
        <v>165</v>
      </c>
      <c r="B279" t="s">
        <v>89</v>
      </c>
      <c r="C279" t="s">
        <v>335</v>
      </c>
      <c r="D279" t="s">
        <v>336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5">
      <c r="A280" t="s">
        <v>165</v>
      </c>
      <c r="B280" t="s">
        <v>80</v>
      </c>
      <c r="C280" t="s">
        <v>335</v>
      </c>
      <c r="D280" t="s">
        <v>336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5">
      <c r="A281" t="s">
        <v>166</v>
      </c>
      <c r="B281" t="s">
        <v>89</v>
      </c>
      <c r="C281" t="s">
        <v>335</v>
      </c>
      <c r="D281" t="s">
        <v>336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5">
      <c r="A282" t="s">
        <v>166</v>
      </c>
      <c r="B282" t="s">
        <v>80</v>
      </c>
      <c r="C282" t="s">
        <v>335</v>
      </c>
      <c r="D282" t="s">
        <v>336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5">
      <c r="A283" t="s">
        <v>168</v>
      </c>
      <c r="B283" t="s">
        <v>334</v>
      </c>
      <c r="C283" t="s">
        <v>335</v>
      </c>
      <c r="D283" t="s">
        <v>336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5">
      <c r="A284" t="s">
        <v>169</v>
      </c>
      <c r="B284" t="s">
        <v>334</v>
      </c>
      <c r="C284" t="s">
        <v>335</v>
      </c>
      <c r="D284" t="s">
        <v>336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5">
      <c r="A285" t="s">
        <v>170</v>
      </c>
      <c r="B285" t="s">
        <v>334</v>
      </c>
      <c r="C285" t="s">
        <v>335</v>
      </c>
      <c r="D285" t="s">
        <v>336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5">
      <c r="A286" t="s">
        <v>167</v>
      </c>
      <c r="B286" t="s">
        <v>334</v>
      </c>
      <c r="C286" t="s">
        <v>335</v>
      </c>
      <c r="D286" t="s">
        <v>336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5" x14ac:dyDescent="0.35"/>
  <sheetData>
    <row r="1" spans="1:3" x14ac:dyDescent="0.35">
      <c r="A1" t="s">
        <v>1</v>
      </c>
      <c r="B1" t="s">
        <v>337</v>
      </c>
      <c r="C1" t="s">
        <v>338</v>
      </c>
    </row>
    <row r="2" spans="1:3" x14ac:dyDescent="0.35">
      <c r="A2">
        <v>2024</v>
      </c>
      <c r="B2">
        <v>17725</v>
      </c>
      <c r="C2">
        <v>17725</v>
      </c>
    </row>
    <row r="3" spans="1:3" x14ac:dyDescent="0.35">
      <c r="A3">
        <v>2025</v>
      </c>
      <c r="B3">
        <v>8477</v>
      </c>
      <c r="C3">
        <v>13101</v>
      </c>
    </row>
    <row r="4" spans="1:3" x14ac:dyDescent="0.35">
      <c r="A4">
        <v>2026</v>
      </c>
      <c r="B4">
        <v>5416</v>
      </c>
      <c r="C4">
        <v>10539.333333333334</v>
      </c>
    </row>
    <row r="5" spans="1:3" x14ac:dyDescent="0.35">
      <c r="A5">
        <v>2027</v>
      </c>
      <c r="B5">
        <v>4606</v>
      </c>
      <c r="C5">
        <v>9056</v>
      </c>
    </row>
    <row r="6" spans="1:3" x14ac:dyDescent="0.35">
      <c r="A6">
        <v>2028</v>
      </c>
      <c r="B6">
        <v>4060</v>
      </c>
      <c r="C6">
        <v>8056.8</v>
      </c>
    </row>
    <row r="7" spans="1:3" x14ac:dyDescent="0.35">
      <c r="A7">
        <v>2029</v>
      </c>
      <c r="B7">
        <v>3544</v>
      </c>
      <c r="C7">
        <v>7304.666666666667</v>
      </c>
    </row>
    <row r="8" spans="1:3" x14ac:dyDescent="0.35">
      <c r="A8">
        <v>2030</v>
      </c>
      <c r="B8">
        <v>3114</v>
      </c>
      <c r="C8">
        <v>6706</v>
      </c>
    </row>
    <row r="9" spans="1:3" x14ac:dyDescent="0.35">
      <c r="A9">
        <v>2031</v>
      </c>
      <c r="B9">
        <v>2840</v>
      </c>
      <c r="C9">
        <v>6222.75</v>
      </c>
    </row>
    <row r="10" spans="1:3" x14ac:dyDescent="0.35">
      <c r="A10">
        <v>2032</v>
      </c>
      <c r="B10">
        <v>2727</v>
      </c>
      <c r="C10">
        <v>5834.333333333333</v>
      </c>
    </row>
    <row r="11" spans="1:3" x14ac:dyDescent="0.35">
      <c r="A11">
        <v>2033</v>
      </c>
      <c r="B11">
        <v>2574</v>
      </c>
      <c r="C11">
        <v>5508.3</v>
      </c>
    </row>
    <row r="12" spans="1:3" x14ac:dyDescent="0.35">
      <c r="A12">
        <v>2034</v>
      </c>
      <c r="B12">
        <v>2439</v>
      </c>
      <c r="C12">
        <v>5229.272727272727</v>
      </c>
    </row>
    <row r="13" spans="1:3" x14ac:dyDescent="0.35">
      <c r="A13">
        <v>2035</v>
      </c>
      <c r="B13">
        <v>2369</v>
      </c>
      <c r="C13">
        <v>4990.916666666667</v>
      </c>
    </row>
    <row r="14" spans="1:3" x14ac:dyDescent="0.35">
      <c r="A14">
        <v>2036</v>
      </c>
      <c r="B14">
        <v>2369</v>
      </c>
      <c r="C14">
        <v>4789.2307692307695</v>
      </c>
    </row>
    <row r="15" spans="1:3" x14ac:dyDescent="0.35">
      <c r="A15">
        <v>2037</v>
      </c>
      <c r="B15">
        <v>2369</v>
      </c>
      <c r="C15">
        <v>4616.3571428571431</v>
      </c>
    </row>
    <row r="16" spans="1:3" x14ac:dyDescent="0.35">
      <c r="A16">
        <v>2038</v>
      </c>
      <c r="B16">
        <v>2369</v>
      </c>
      <c r="C16">
        <v>4466.5333333333338</v>
      </c>
    </row>
    <row r="17" spans="1:3" x14ac:dyDescent="0.35">
      <c r="A17">
        <v>2039</v>
      </c>
      <c r="B17">
        <v>2369</v>
      </c>
      <c r="C17">
        <v>4335.4375</v>
      </c>
    </row>
    <row r="18" spans="1:3" x14ac:dyDescent="0.35">
      <c r="A18">
        <v>2040</v>
      </c>
      <c r="B18">
        <v>2369</v>
      </c>
      <c r="C18">
        <v>4219.7647058823532</v>
      </c>
    </row>
    <row r="19" spans="1:3" x14ac:dyDescent="0.35">
      <c r="A19">
        <v>2041</v>
      </c>
      <c r="B19">
        <v>2369</v>
      </c>
      <c r="C19">
        <v>4116.9444444444443</v>
      </c>
    </row>
    <row r="20" spans="1:3" x14ac:dyDescent="0.35">
      <c r="A20">
        <v>2042</v>
      </c>
      <c r="B20">
        <v>2369</v>
      </c>
      <c r="C20">
        <v>4024.9473684210525</v>
      </c>
    </row>
    <row r="21" spans="1:3" x14ac:dyDescent="0.35">
      <c r="A21">
        <v>2043</v>
      </c>
      <c r="B21">
        <v>2369</v>
      </c>
      <c r="C21">
        <v>3942.15</v>
      </c>
    </row>
    <row r="22" spans="1:3" x14ac:dyDescent="0.35">
      <c r="A22">
        <v>2044</v>
      </c>
      <c r="B22">
        <v>2369</v>
      </c>
      <c r="C22">
        <v>3867.2380952380954</v>
      </c>
    </row>
    <row r="23" spans="1:3" x14ac:dyDescent="0.35">
      <c r="A23">
        <v>2045</v>
      </c>
      <c r="B23">
        <v>2369</v>
      </c>
      <c r="C23">
        <v>3799.1363636363635</v>
      </c>
    </row>
    <row r="24" spans="1:3" x14ac:dyDescent="0.35">
      <c r="A24">
        <v>2046</v>
      </c>
      <c r="B24">
        <v>2369</v>
      </c>
      <c r="C24">
        <v>3736.9565217391305</v>
      </c>
    </row>
    <row r="25" spans="1:3" x14ac:dyDescent="0.35">
      <c r="A25">
        <v>2047</v>
      </c>
      <c r="B25">
        <v>2369</v>
      </c>
      <c r="C25">
        <v>3679.9583333333335</v>
      </c>
    </row>
    <row r="26" spans="1:3" x14ac:dyDescent="0.35">
      <c r="A26">
        <v>2048</v>
      </c>
      <c r="B26">
        <v>2369</v>
      </c>
      <c r="C26">
        <v>3627.52</v>
      </c>
    </row>
    <row r="27" spans="1:3" x14ac:dyDescent="0.35">
      <c r="A27">
        <v>2049</v>
      </c>
      <c r="B27">
        <v>2369</v>
      </c>
      <c r="C27">
        <v>3579.1153846153848</v>
      </c>
    </row>
    <row r="28" spans="1:3" x14ac:dyDescent="0.35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184</v>
      </c>
      <c r="D1" t="s">
        <v>185</v>
      </c>
      <c r="E1" t="s">
        <v>186</v>
      </c>
      <c r="F1" t="s">
        <v>187</v>
      </c>
      <c r="G1" t="s">
        <v>190</v>
      </c>
      <c r="H1" t="s">
        <v>191</v>
      </c>
      <c r="I1" t="s">
        <v>193</v>
      </c>
      <c r="J1" t="s">
        <v>192</v>
      </c>
      <c r="K1" t="s">
        <v>195</v>
      </c>
      <c r="L1" t="s">
        <v>197</v>
      </c>
      <c r="M1" t="s">
        <v>196</v>
      </c>
      <c r="N1" t="s">
        <v>315</v>
      </c>
    </row>
    <row r="2" spans="1:14" x14ac:dyDescent="0.35">
      <c r="A2" t="s">
        <v>172</v>
      </c>
      <c r="B2" t="s">
        <v>194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172</v>
      </c>
      <c r="B3" t="s">
        <v>182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172</v>
      </c>
      <c r="B4" t="s">
        <v>183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155</v>
      </c>
      <c r="B5" t="s">
        <v>194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155</v>
      </c>
      <c r="B6" t="s">
        <v>182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155</v>
      </c>
      <c r="B7" t="s">
        <v>183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173</v>
      </c>
      <c r="B10" t="s">
        <v>182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173</v>
      </c>
      <c r="B11" t="s">
        <v>183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174</v>
      </c>
      <c r="B13" t="s">
        <v>183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155</v>
      </c>
      <c r="B14" t="s">
        <v>171</v>
      </c>
      <c r="C14" t="s">
        <v>189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206</v>
      </c>
      <c r="B1" t="s">
        <v>53</v>
      </c>
      <c r="C1" t="s">
        <v>195</v>
      </c>
      <c r="D1" t="s">
        <v>324</v>
      </c>
      <c r="E1" t="s">
        <v>325</v>
      </c>
    </row>
    <row r="2" spans="1:5" x14ac:dyDescent="0.35">
      <c r="A2" t="s">
        <v>172</v>
      </c>
      <c r="B2" t="s">
        <v>194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172</v>
      </c>
      <c r="B3" t="s">
        <v>182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172</v>
      </c>
      <c r="B4" t="s">
        <v>183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155</v>
      </c>
      <c r="B5" t="s">
        <v>183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326</v>
      </c>
      <c r="B6" t="s">
        <v>208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293</v>
      </c>
      <c r="C1" t="s">
        <v>294</v>
      </c>
    </row>
    <row r="2" spans="1:3" x14ac:dyDescent="0.35">
      <c r="A2" t="s">
        <v>172</v>
      </c>
      <c r="B2" t="s">
        <v>275</v>
      </c>
      <c r="C2" s="20">
        <v>7.94</v>
      </c>
    </row>
    <row r="3" spans="1:3" x14ac:dyDescent="0.35">
      <c r="A3" t="s">
        <v>155</v>
      </c>
      <c r="B3" t="s">
        <v>275</v>
      </c>
      <c r="C3">
        <v>9.4</v>
      </c>
    </row>
    <row r="4" spans="1:3" x14ac:dyDescent="0.35">
      <c r="A4" t="s">
        <v>66</v>
      </c>
      <c r="B4" t="s">
        <v>275</v>
      </c>
      <c r="C4">
        <v>5.4399999999999997E-2</v>
      </c>
    </row>
    <row r="5" spans="1:3" x14ac:dyDescent="0.35">
      <c r="A5" t="s">
        <v>295</v>
      </c>
      <c r="B5" t="s">
        <v>275</v>
      </c>
      <c r="C5">
        <v>5.72</v>
      </c>
    </row>
    <row r="6" spans="1:3" x14ac:dyDescent="0.35">
      <c r="A6" t="s">
        <v>172</v>
      </c>
      <c r="B6" t="s">
        <v>327</v>
      </c>
      <c r="C6">
        <v>0.24</v>
      </c>
    </row>
    <row r="7" spans="1:3" x14ac:dyDescent="0.35">
      <c r="A7" t="s">
        <v>155</v>
      </c>
      <c r="B7" t="s">
        <v>327</v>
      </c>
      <c r="C7">
        <v>0.21</v>
      </c>
    </row>
    <row r="8" spans="1:3" x14ac:dyDescent="0.35">
      <c r="A8" t="s">
        <v>66</v>
      </c>
      <c r="B8" t="s">
        <v>327</v>
      </c>
      <c r="C8">
        <v>0.28999999999999998</v>
      </c>
    </row>
    <row r="9" spans="1:3" x14ac:dyDescent="0.35">
      <c r="A9" t="s">
        <v>59</v>
      </c>
      <c r="B9" t="s">
        <v>327</v>
      </c>
      <c r="C9">
        <v>0</v>
      </c>
    </row>
    <row r="10" spans="1:3" x14ac:dyDescent="0.35">
      <c r="A10" t="s">
        <v>70</v>
      </c>
      <c r="B10" t="s">
        <v>327</v>
      </c>
      <c r="C10">
        <v>0</v>
      </c>
    </row>
    <row r="11" spans="1:3" x14ac:dyDescent="0.35">
      <c r="A11" t="s">
        <v>296</v>
      </c>
      <c r="B11" t="s">
        <v>327</v>
      </c>
      <c r="C11">
        <v>0</v>
      </c>
    </row>
    <row r="12" spans="1:3" x14ac:dyDescent="0.35">
      <c r="A12" t="s">
        <v>296</v>
      </c>
      <c r="B12" t="s">
        <v>297</v>
      </c>
      <c r="C12">
        <v>33.977738722905684</v>
      </c>
    </row>
    <row r="13" spans="1:3" x14ac:dyDescent="0.35">
      <c r="A13" t="s">
        <v>155</v>
      </c>
      <c r="B13" t="s">
        <v>297</v>
      </c>
      <c r="C13">
        <v>0.89285714285714279</v>
      </c>
    </row>
    <row r="14" spans="1:3" x14ac:dyDescent="0.35">
      <c r="A14" t="s">
        <v>295</v>
      </c>
      <c r="B14" t="s">
        <v>297</v>
      </c>
      <c r="C14">
        <v>1.3513513513513513</v>
      </c>
    </row>
    <row r="15" spans="1:3" x14ac:dyDescent="0.35">
      <c r="A15" t="s">
        <v>66</v>
      </c>
      <c r="B15" t="s">
        <v>297</v>
      </c>
      <c r="C15">
        <v>123.57</v>
      </c>
    </row>
    <row r="16" spans="1:3" x14ac:dyDescent="0.35">
      <c r="A16" t="s">
        <v>296</v>
      </c>
      <c r="B16" t="s">
        <v>298</v>
      </c>
      <c r="C16">
        <v>3414</v>
      </c>
    </row>
    <row r="17" spans="1:3" x14ac:dyDescent="0.35">
      <c r="A17" t="s">
        <v>172</v>
      </c>
      <c r="B17" t="s">
        <v>298</v>
      </c>
      <c r="C17">
        <v>116000</v>
      </c>
    </row>
    <row r="18" spans="1:3" x14ac:dyDescent="0.35">
      <c r="A18" t="s">
        <v>155</v>
      </c>
      <c r="B18" t="s">
        <v>298</v>
      </c>
      <c r="C18">
        <v>128500</v>
      </c>
    </row>
    <row r="19" spans="1:3" x14ac:dyDescent="0.35">
      <c r="A19" t="s">
        <v>299</v>
      </c>
      <c r="B19" t="s">
        <v>300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topLeftCell="A28"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206</v>
      </c>
      <c r="C1" t="s">
        <v>275</v>
      </c>
      <c r="D1" t="s">
        <v>276</v>
      </c>
      <c r="E1" t="s">
        <v>277</v>
      </c>
      <c r="F1" t="s">
        <v>278</v>
      </c>
      <c r="G1" t="s">
        <v>279</v>
      </c>
      <c r="H1" t="s">
        <v>280</v>
      </c>
      <c r="I1" t="s">
        <v>281</v>
      </c>
      <c r="J1" t="s">
        <v>282</v>
      </c>
      <c r="K1" t="s">
        <v>283</v>
      </c>
    </row>
    <row r="2" spans="1:11" x14ac:dyDescent="0.35">
      <c r="A2" t="s">
        <v>194</v>
      </c>
      <c r="B2" t="s">
        <v>55</v>
      </c>
      <c r="C2">
        <v>7.94</v>
      </c>
      <c r="D2" t="s">
        <v>284</v>
      </c>
      <c r="E2">
        <v>1</v>
      </c>
      <c r="F2" t="s">
        <v>285</v>
      </c>
      <c r="G2">
        <v>0.1275</v>
      </c>
      <c r="H2">
        <v>0.44700000000000001</v>
      </c>
      <c r="I2">
        <v>0</v>
      </c>
      <c r="J2">
        <v>0</v>
      </c>
      <c r="K2" t="s">
        <v>285</v>
      </c>
    </row>
    <row r="3" spans="1:11" x14ac:dyDescent="0.35">
      <c r="A3" t="s">
        <v>194</v>
      </c>
      <c r="B3" t="s">
        <v>56</v>
      </c>
      <c r="C3">
        <v>0</v>
      </c>
      <c r="D3" t="s">
        <v>285</v>
      </c>
      <c r="E3">
        <v>0</v>
      </c>
      <c r="F3" t="s">
        <v>285</v>
      </c>
      <c r="G3">
        <v>0</v>
      </c>
      <c r="H3">
        <v>0</v>
      </c>
      <c r="I3">
        <v>1</v>
      </c>
      <c r="J3">
        <v>33.977738722905684</v>
      </c>
      <c r="K3" t="s">
        <v>286</v>
      </c>
    </row>
    <row r="4" spans="1:11" x14ac:dyDescent="0.35">
      <c r="A4" t="s">
        <v>194</v>
      </c>
      <c r="B4" t="s">
        <v>57</v>
      </c>
      <c r="C4">
        <v>0</v>
      </c>
      <c r="D4" t="s">
        <v>285</v>
      </c>
      <c r="E4">
        <v>0</v>
      </c>
      <c r="F4" t="s">
        <v>285</v>
      </c>
      <c r="G4">
        <v>0</v>
      </c>
      <c r="H4">
        <v>0</v>
      </c>
      <c r="I4">
        <v>1</v>
      </c>
      <c r="J4">
        <v>33.977738722905684</v>
      </c>
      <c r="K4" t="s">
        <v>286</v>
      </c>
    </row>
    <row r="5" spans="1:11" x14ac:dyDescent="0.35">
      <c r="A5" t="s">
        <v>194</v>
      </c>
      <c r="B5" t="s">
        <v>58</v>
      </c>
      <c r="C5">
        <v>0</v>
      </c>
      <c r="D5" t="s">
        <v>285</v>
      </c>
      <c r="E5">
        <v>0</v>
      </c>
      <c r="F5" t="s">
        <v>285</v>
      </c>
      <c r="G5">
        <v>0</v>
      </c>
      <c r="H5">
        <v>0</v>
      </c>
      <c r="I5">
        <v>1</v>
      </c>
      <c r="J5">
        <v>33.977738722905684</v>
      </c>
      <c r="K5" t="s">
        <v>286</v>
      </c>
    </row>
    <row r="6" spans="1:11" x14ac:dyDescent="0.35">
      <c r="A6" t="s">
        <v>194</v>
      </c>
      <c r="B6" t="s">
        <v>59</v>
      </c>
      <c r="C6">
        <v>7.94</v>
      </c>
      <c r="D6" t="s">
        <v>284</v>
      </c>
      <c r="E6">
        <v>1</v>
      </c>
      <c r="F6" t="s">
        <v>285</v>
      </c>
      <c r="G6">
        <v>0.1275</v>
      </c>
      <c r="H6">
        <v>0.44700000000000001</v>
      </c>
      <c r="I6">
        <v>0</v>
      </c>
      <c r="J6">
        <v>0</v>
      </c>
      <c r="K6" t="s">
        <v>285</v>
      </c>
    </row>
    <row r="7" spans="1:11" x14ac:dyDescent="0.35">
      <c r="A7" t="s">
        <v>194</v>
      </c>
      <c r="B7" t="s">
        <v>60</v>
      </c>
      <c r="C7">
        <v>9.4</v>
      </c>
      <c r="D7" t="s">
        <v>284</v>
      </c>
      <c r="E7">
        <v>0.89285714285714279</v>
      </c>
      <c r="F7" t="s">
        <v>287</v>
      </c>
      <c r="G7">
        <v>0.755</v>
      </c>
      <c r="H7">
        <v>5.7215999999999996</v>
      </c>
      <c r="I7">
        <v>0</v>
      </c>
      <c r="J7">
        <v>0</v>
      </c>
      <c r="K7" t="s">
        <v>285</v>
      </c>
    </row>
    <row r="8" spans="1:11" x14ac:dyDescent="0.35">
      <c r="A8" t="s">
        <v>194</v>
      </c>
      <c r="B8" t="s">
        <v>61</v>
      </c>
      <c r="C8">
        <v>5.4440000000000002E-2</v>
      </c>
      <c r="D8" t="s">
        <v>288</v>
      </c>
      <c r="E8">
        <v>123.57</v>
      </c>
      <c r="F8" t="s">
        <v>289</v>
      </c>
      <c r="G8">
        <v>2.0249999999999999</v>
      </c>
      <c r="H8">
        <v>1.49</v>
      </c>
      <c r="I8">
        <v>0</v>
      </c>
      <c r="J8">
        <v>0</v>
      </c>
      <c r="K8" t="s">
        <v>285</v>
      </c>
    </row>
    <row r="9" spans="1:11" x14ac:dyDescent="0.35">
      <c r="A9" t="s">
        <v>194</v>
      </c>
      <c r="B9" t="s">
        <v>62</v>
      </c>
      <c r="C9">
        <v>7.94</v>
      </c>
      <c r="D9" t="s">
        <v>284</v>
      </c>
      <c r="E9">
        <v>1</v>
      </c>
      <c r="F9" t="s">
        <v>285</v>
      </c>
      <c r="G9">
        <v>0.1275</v>
      </c>
      <c r="H9">
        <v>0.44700000000000001</v>
      </c>
      <c r="I9">
        <v>0</v>
      </c>
      <c r="J9">
        <v>0</v>
      </c>
      <c r="K9" t="s">
        <v>285</v>
      </c>
    </row>
    <row r="10" spans="1:11" x14ac:dyDescent="0.35">
      <c r="A10" t="s">
        <v>194</v>
      </c>
      <c r="B10" t="s">
        <v>63</v>
      </c>
      <c r="C10">
        <v>7.94</v>
      </c>
      <c r="D10" t="s">
        <v>284</v>
      </c>
      <c r="E10">
        <v>1</v>
      </c>
      <c r="F10" t="s">
        <v>285</v>
      </c>
      <c r="G10">
        <v>0.1275</v>
      </c>
      <c r="H10">
        <v>0.44700000000000001</v>
      </c>
      <c r="I10">
        <v>1</v>
      </c>
      <c r="J10">
        <v>33.977738722905684</v>
      </c>
      <c r="K10" t="s">
        <v>286</v>
      </c>
    </row>
    <row r="11" spans="1:11" x14ac:dyDescent="0.35">
      <c r="A11" t="s">
        <v>194</v>
      </c>
      <c r="B11" t="s">
        <v>64</v>
      </c>
      <c r="C11">
        <v>7.94</v>
      </c>
      <c r="D11" t="s">
        <v>284</v>
      </c>
      <c r="E11">
        <v>1</v>
      </c>
      <c r="F11" t="s">
        <v>285</v>
      </c>
      <c r="G11">
        <v>0.1275</v>
      </c>
      <c r="H11">
        <v>0.44700000000000001</v>
      </c>
      <c r="I11">
        <v>1</v>
      </c>
      <c r="J11">
        <v>33.977738722905684</v>
      </c>
      <c r="K11" t="s">
        <v>286</v>
      </c>
    </row>
    <row r="12" spans="1:11" x14ac:dyDescent="0.35">
      <c r="A12" t="s">
        <v>194</v>
      </c>
      <c r="B12" t="s">
        <v>65</v>
      </c>
      <c r="C12">
        <v>0</v>
      </c>
      <c r="D12" t="s">
        <v>285</v>
      </c>
      <c r="E12">
        <v>0</v>
      </c>
      <c r="F12" t="s">
        <v>285</v>
      </c>
      <c r="G12">
        <v>0</v>
      </c>
      <c r="H12">
        <v>0</v>
      </c>
      <c r="I12">
        <v>0</v>
      </c>
      <c r="J12">
        <v>0</v>
      </c>
      <c r="K12" t="s">
        <v>285</v>
      </c>
    </row>
    <row r="13" spans="1:11" x14ac:dyDescent="0.35">
      <c r="A13" t="s">
        <v>182</v>
      </c>
      <c r="B13" t="s">
        <v>55</v>
      </c>
      <c r="C13">
        <v>7.94</v>
      </c>
      <c r="D13" t="s">
        <v>284</v>
      </c>
      <c r="E13">
        <v>1</v>
      </c>
      <c r="F13" t="s">
        <v>285</v>
      </c>
      <c r="G13">
        <v>0.2</v>
      </c>
      <c r="H13">
        <v>0.38739999999999997</v>
      </c>
      <c r="I13">
        <v>0</v>
      </c>
      <c r="J13">
        <v>0</v>
      </c>
      <c r="K13" t="s">
        <v>285</v>
      </c>
    </row>
    <row r="14" spans="1:11" x14ac:dyDescent="0.35">
      <c r="A14" t="s">
        <v>182</v>
      </c>
      <c r="B14" t="s">
        <v>56</v>
      </c>
      <c r="C14">
        <v>0</v>
      </c>
      <c r="D14" t="s">
        <v>285</v>
      </c>
      <c r="E14">
        <v>0</v>
      </c>
      <c r="F14" t="s">
        <v>285</v>
      </c>
      <c r="G14">
        <v>0</v>
      </c>
      <c r="H14">
        <v>0</v>
      </c>
      <c r="I14">
        <v>1</v>
      </c>
      <c r="J14">
        <v>33.977738722905684</v>
      </c>
      <c r="K14" t="s">
        <v>286</v>
      </c>
    </row>
    <row r="15" spans="1:11" x14ac:dyDescent="0.35">
      <c r="A15" t="s">
        <v>182</v>
      </c>
      <c r="B15" t="s">
        <v>57</v>
      </c>
      <c r="C15">
        <v>0</v>
      </c>
      <c r="D15" t="s">
        <v>285</v>
      </c>
      <c r="E15">
        <v>0</v>
      </c>
      <c r="F15" t="s">
        <v>285</v>
      </c>
      <c r="G15">
        <v>0</v>
      </c>
      <c r="H15">
        <v>0</v>
      </c>
      <c r="I15">
        <v>1</v>
      </c>
      <c r="J15">
        <v>33.977738722905684</v>
      </c>
      <c r="K15" t="s">
        <v>286</v>
      </c>
    </row>
    <row r="16" spans="1:11" x14ac:dyDescent="0.35">
      <c r="A16" t="s">
        <v>182</v>
      </c>
      <c r="B16" t="s">
        <v>58</v>
      </c>
      <c r="C16">
        <v>0</v>
      </c>
      <c r="D16" t="s">
        <v>285</v>
      </c>
      <c r="E16">
        <v>0</v>
      </c>
      <c r="F16" t="s">
        <v>285</v>
      </c>
      <c r="G16">
        <v>0</v>
      </c>
      <c r="H16">
        <v>0</v>
      </c>
      <c r="I16">
        <v>1</v>
      </c>
      <c r="J16">
        <v>33.977738722905684</v>
      </c>
      <c r="K16" t="s">
        <v>286</v>
      </c>
    </row>
    <row r="17" spans="1:11" x14ac:dyDescent="0.35">
      <c r="A17" t="s">
        <v>182</v>
      </c>
      <c r="B17" t="s">
        <v>59</v>
      </c>
      <c r="C17">
        <v>7.94</v>
      </c>
      <c r="D17" t="s">
        <v>284</v>
      </c>
      <c r="E17">
        <v>1</v>
      </c>
      <c r="F17" t="s">
        <v>285</v>
      </c>
      <c r="G17">
        <v>0.2</v>
      </c>
      <c r="H17">
        <v>1.49</v>
      </c>
      <c r="I17">
        <v>0</v>
      </c>
      <c r="J17">
        <v>0</v>
      </c>
      <c r="K17" t="s">
        <v>285</v>
      </c>
    </row>
    <row r="18" spans="1:11" x14ac:dyDescent="0.35">
      <c r="A18" t="s">
        <v>182</v>
      </c>
      <c r="B18" t="s">
        <v>60</v>
      </c>
      <c r="C18">
        <v>9.4</v>
      </c>
      <c r="D18" t="s">
        <v>284</v>
      </c>
      <c r="E18">
        <v>0.89285714285714279</v>
      </c>
      <c r="F18" t="s">
        <v>287</v>
      </c>
      <c r="G18">
        <v>0.72500000000000009</v>
      </c>
      <c r="H18">
        <v>6.3771999999999993</v>
      </c>
      <c r="I18">
        <v>0</v>
      </c>
      <c r="J18">
        <v>0</v>
      </c>
      <c r="K18" t="s">
        <v>285</v>
      </c>
    </row>
    <row r="19" spans="1:11" x14ac:dyDescent="0.35">
      <c r="A19" t="s">
        <v>182</v>
      </c>
      <c r="B19" t="s">
        <v>61</v>
      </c>
      <c r="C19">
        <v>5.4440000000000002E-2</v>
      </c>
      <c r="D19" t="s">
        <v>288</v>
      </c>
      <c r="E19">
        <v>123.57</v>
      </c>
      <c r="F19" t="s">
        <v>289</v>
      </c>
      <c r="G19">
        <v>2.0249999999999999</v>
      </c>
      <c r="H19">
        <v>1.49</v>
      </c>
      <c r="I19">
        <v>0</v>
      </c>
      <c r="J19">
        <v>0</v>
      </c>
      <c r="K19" t="s">
        <v>285</v>
      </c>
    </row>
    <row r="20" spans="1:11" x14ac:dyDescent="0.35">
      <c r="A20" t="s">
        <v>182</v>
      </c>
      <c r="B20" t="s">
        <v>62</v>
      </c>
      <c r="C20">
        <v>7.94</v>
      </c>
      <c r="D20" t="s">
        <v>284</v>
      </c>
      <c r="E20">
        <v>1</v>
      </c>
      <c r="F20" t="s">
        <v>285</v>
      </c>
      <c r="G20">
        <v>0.2</v>
      </c>
      <c r="H20">
        <v>0.38739999999999997</v>
      </c>
      <c r="I20">
        <v>0</v>
      </c>
      <c r="J20">
        <v>0</v>
      </c>
      <c r="K20" t="s">
        <v>285</v>
      </c>
    </row>
    <row r="21" spans="1:11" x14ac:dyDescent="0.35">
      <c r="A21" t="s">
        <v>182</v>
      </c>
      <c r="B21" t="s">
        <v>63</v>
      </c>
      <c r="C21">
        <v>7.94</v>
      </c>
      <c r="D21" t="s">
        <v>284</v>
      </c>
      <c r="E21">
        <v>1</v>
      </c>
      <c r="F21" t="s">
        <v>285</v>
      </c>
      <c r="G21">
        <v>0.2</v>
      </c>
      <c r="H21">
        <v>0.38739999999999997</v>
      </c>
      <c r="I21">
        <v>1</v>
      </c>
      <c r="J21">
        <v>33.977738722905684</v>
      </c>
      <c r="K21" t="s">
        <v>286</v>
      </c>
    </row>
    <row r="22" spans="1:11" x14ac:dyDescent="0.35">
      <c r="A22" t="s">
        <v>182</v>
      </c>
      <c r="B22" t="s">
        <v>64</v>
      </c>
      <c r="C22">
        <v>7.94</v>
      </c>
      <c r="D22" t="s">
        <v>284</v>
      </c>
      <c r="E22">
        <v>1</v>
      </c>
      <c r="F22" t="s">
        <v>285</v>
      </c>
      <c r="G22">
        <v>0.2</v>
      </c>
      <c r="H22">
        <v>0.38739999999999997</v>
      </c>
      <c r="I22">
        <v>1</v>
      </c>
      <c r="J22">
        <v>33.977738722905684</v>
      </c>
      <c r="K22" t="s">
        <v>286</v>
      </c>
    </row>
    <row r="23" spans="1:11" x14ac:dyDescent="0.35">
      <c r="A23" t="s">
        <v>182</v>
      </c>
      <c r="B23" t="s">
        <v>65</v>
      </c>
      <c r="C23">
        <v>0</v>
      </c>
      <c r="D23" t="s">
        <v>285</v>
      </c>
      <c r="E23">
        <v>0</v>
      </c>
      <c r="F23" t="s">
        <v>285</v>
      </c>
      <c r="G23">
        <v>0</v>
      </c>
      <c r="H23">
        <v>0</v>
      </c>
      <c r="I23">
        <v>0</v>
      </c>
      <c r="J23">
        <v>0</v>
      </c>
      <c r="K23" t="s">
        <v>285</v>
      </c>
    </row>
    <row r="24" spans="1:11" x14ac:dyDescent="0.35">
      <c r="A24" t="s">
        <v>208</v>
      </c>
      <c r="B24" t="s">
        <v>55</v>
      </c>
      <c r="C24">
        <v>7.94</v>
      </c>
      <c r="D24" t="s">
        <v>284</v>
      </c>
      <c r="E24">
        <v>1</v>
      </c>
      <c r="F24" t="s">
        <v>285</v>
      </c>
      <c r="G24">
        <v>0.82500000000000007</v>
      </c>
      <c r="H24">
        <v>2.7118000000000002</v>
      </c>
      <c r="I24">
        <v>0</v>
      </c>
      <c r="J24">
        <v>0</v>
      </c>
      <c r="K24" t="s">
        <v>285</v>
      </c>
    </row>
    <row r="25" spans="1:11" x14ac:dyDescent="0.35">
      <c r="A25" t="s">
        <v>208</v>
      </c>
      <c r="B25" t="s">
        <v>60</v>
      </c>
      <c r="C25">
        <v>9.4</v>
      </c>
      <c r="D25" t="s">
        <v>284</v>
      </c>
      <c r="E25">
        <v>0.89285714285714279</v>
      </c>
      <c r="F25" t="s">
        <v>287</v>
      </c>
      <c r="G25">
        <v>0.23749999999999999</v>
      </c>
      <c r="H25">
        <v>12.8438</v>
      </c>
      <c r="I25">
        <v>0</v>
      </c>
      <c r="J25">
        <v>0</v>
      </c>
      <c r="K25" t="s">
        <v>285</v>
      </c>
    </row>
    <row r="26" spans="1:11" x14ac:dyDescent="0.35">
      <c r="A26" t="s">
        <v>208</v>
      </c>
      <c r="B26" t="s">
        <v>66</v>
      </c>
      <c r="C26">
        <v>5.4440000000000002E-2</v>
      </c>
      <c r="D26" t="s">
        <v>288</v>
      </c>
      <c r="E26">
        <v>123.57</v>
      </c>
      <c r="F26" t="s">
        <v>289</v>
      </c>
      <c r="G26">
        <v>105</v>
      </c>
      <c r="H26">
        <v>0.29799999999999999</v>
      </c>
      <c r="I26">
        <v>0</v>
      </c>
      <c r="J26">
        <v>0</v>
      </c>
      <c r="K26" t="s">
        <v>285</v>
      </c>
    </row>
    <row r="27" spans="1:11" x14ac:dyDescent="0.35">
      <c r="A27" t="s">
        <v>208</v>
      </c>
      <c r="B27" t="s">
        <v>59</v>
      </c>
      <c r="C27">
        <v>7.94</v>
      </c>
      <c r="D27" t="s">
        <v>284</v>
      </c>
      <c r="E27">
        <v>1</v>
      </c>
      <c r="F27" t="s">
        <v>285</v>
      </c>
      <c r="G27">
        <v>1.875</v>
      </c>
      <c r="H27">
        <v>8.3439999999999994</v>
      </c>
      <c r="I27">
        <v>0</v>
      </c>
      <c r="J27">
        <v>0</v>
      </c>
      <c r="K27" t="s">
        <v>285</v>
      </c>
    </row>
    <row r="28" spans="1:11" x14ac:dyDescent="0.35">
      <c r="A28" t="s">
        <v>208</v>
      </c>
      <c r="B28" t="s">
        <v>67</v>
      </c>
      <c r="C28">
        <v>0</v>
      </c>
      <c r="D28" t="s">
        <v>285</v>
      </c>
      <c r="E28">
        <v>0</v>
      </c>
      <c r="F28" t="s">
        <v>285</v>
      </c>
      <c r="G28">
        <v>0</v>
      </c>
      <c r="H28">
        <v>0</v>
      </c>
      <c r="I28">
        <v>1</v>
      </c>
      <c r="J28">
        <v>33.977738722905684</v>
      </c>
      <c r="K28" t="s">
        <v>286</v>
      </c>
    </row>
    <row r="29" spans="1:11" x14ac:dyDescent="0.35">
      <c r="A29" t="s">
        <v>208</v>
      </c>
      <c r="B29" t="s">
        <v>69</v>
      </c>
      <c r="C29">
        <v>7.94</v>
      </c>
      <c r="D29" t="s">
        <v>284</v>
      </c>
      <c r="E29">
        <v>1</v>
      </c>
      <c r="F29" t="s">
        <v>285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286</v>
      </c>
    </row>
    <row r="30" spans="1:11" x14ac:dyDescent="0.35">
      <c r="A30" t="s">
        <v>208</v>
      </c>
      <c r="B30" t="s">
        <v>68</v>
      </c>
      <c r="C30">
        <v>9.4</v>
      </c>
      <c r="D30" t="s">
        <v>284</v>
      </c>
      <c r="E30">
        <v>0.89285714285714279</v>
      </c>
      <c r="F30" t="s">
        <v>287</v>
      </c>
      <c r="G30">
        <v>0.23749999999999999</v>
      </c>
      <c r="H30">
        <v>12.8438</v>
      </c>
      <c r="I30">
        <v>1</v>
      </c>
      <c r="J30">
        <v>33.977738722905684</v>
      </c>
      <c r="K30" t="s">
        <v>286</v>
      </c>
    </row>
    <row r="31" spans="1:11" x14ac:dyDescent="0.35">
      <c r="A31" t="s">
        <v>208</v>
      </c>
      <c r="B31" t="s">
        <v>65</v>
      </c>
      <c r="C31">
        <v>0</v>
      </c>
      <c r="D31" t="s">
        <v>285</v>
      </c>
      <c r="E31">
        <v>0</v>
      </c>
      <c r="F31" t="s">
        <v>285</v>
      </c>
      <c r="G31">
        <v>0</v>
      </c>
      <c r="H31">
        <v>0</v>
      </c>
      <c r="I31">
        <v>0</v>
      </c>
      <c r="J31">
        <v>0</v>
      </c>
      <c r="K31" t="s">
        <v>285</v>
      </c>
    </row>
    <row r="32" spans="1:11" x14ac:dyDescent="0.35">
      <c r="A32" t="s">
        <v>183</v>
      </c>
      <c r="B32" t="s">
        <v>55</v>
      </c>
      <c r="C32">
        <v>7.94</v>
      </c>
      <c r="D32" t="s">
        <v>284</v>
      </c>
      <c r="E32">
        <v>1</v>
      </c>
      <c r="F32" t="s">
        <v>285</v>
      </c>
      <c r="G32">
        <v>0.82500000000000007</v>
      </c>
      <c r="H32">
        <v>2.7118000000000002</v>
      </c>
      <c r="I32">
        <v>0</v>
      </c>
      <c r="J32">
        <v>0</v>
      </c>
      <c r="K32" t="s">
        <v>285</v>
      </c>
    </row>
    <row r="33" spans="1:11" x14ac:dyDescent="0.35">
      <c r="A33" t="s">
        <v>183</v>
      </c>
      <c r="B33" t="s">
        <v>60</v>
      </c>
      <c r="C33">
        <v>9.4</v>
      </c>
      <c r="D33" t="s">
        <v>284</v>
      </c>
      <c r="E33">
        <v>0.89285714285714279</v>
      </c>
      <c r="F33" t="s">
        <v>287</v>
      </c>
      <c r="G33">
        <v>0.23749999999999999</v>
      </c>
      <c r="H33">
        <v>12.8438</v>
      </c>
      <c r="I33">
        <v>0</v>
      </c>
      <c r="J33">
        <v>0</v>
      </c>
      <c r="K33" t="s">
        <v>285</v>
      </c>
    </row>
    <row r="34" spans="1:11" x14ac:dyDescent="0.35">
      <c r="A34" t="s">
        <v>183</v>
      </c>
      <c r="B34" t="s">
        <v>66</v>
      </c>
      <c r="C34">
        <v>5.4440000000000002E-2</v>
      </c>
      <c r="D34" t="s">
        <v>288</v>
      </c>
      <c r="E34">
        <v>123.57</v>
      </c>
      <c r="F34" t="s">
        <v>289</v>
      </c>
      <c r="G34">
        <v>105</v>
      </c>
      <c r="H34">
        <v>0.29799999999999999</v>
      </c>
      <c r="I34">
        <v>0</v>
      </c>
      <c r="J34">
        <v>0</v>
      </c>
      <c r="K34" t="s">
        <v>285</v>
      </c>
    </row>
    <row r="35" spans="1:11" x14ac:dyDescent="0.35">
      <c r="A35" t="s">
        <v>183</v>
      </c>
      <c r="B35" t="s">
        <v>70</v>
      </c>
      <c r="C35">
        <v>5.72</v>
      </c>
      <c r="D35" t="s">
        <v>284</v>
      </c>
      <c r="E35">
        <v>1.3513513513513513</v>
      </c>
      <c r="F35" t="s">
        <v>290</v>
      </c>
      <c r="G35">
        <v>0.35000000000000003</v>
      </c>
      <c r="H35">
        <v>10.132000000000001</v>
      </c>
      <c r="I35">
        <v>0</v>
      </c>
      <c r="J35">
        <v>0</v>
      </c>
      <c r="K35" t="s">
        <v>285</v>
      </c>
    </row>
    <row r="36" spans="1:11" x14ac:dyDescent="0.35">
      <c r="A36" t="s">
        <v>183</v>
      </c>
      <c r="B36" t="s">
        <v>67</v>
      </c>
      <c r="C36">
        <v>0</v>
      </c>
      <c r="D36" t="s">
        <v>285</v>
      </c>
      <c r="E36">
        <v>0</v>
      </c>
      <c r="F36" t="s">
        <v>285</v>
      </c>
      <c r="G36">
        <v>0</v>
      </c>
      <c r="H36">
        <v>0</v>
      </c>
      <c r="I36">
        <v>1</v>
      </c>
      <c r="J36">
        <v>33.977738722905684</v>
      </c>
      <c r="K36" t="s">
        <v>286</v>
      </c>
    </row>
    <row r="37" spans="1:11" x14ac:dyDescent="0.35">
      <c r="A37" t="s">
        <v>183</v>
      </c>
      <c r="B37" t="s">
        <v>69</v>
      </c>
      <c r="C37">
        <v>7.94</v>
      </c>
      <c r="D37" t="s">
        <v>284</v>
      </c>
      <c r="E37">
        <v>1</v>
      </c>
      <c r="F37" t="s">
        <v>285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286</v>
      </c>
    </row>
    <row r="38" spans="1:11" x14ac:dyDescent="0.35">
      <c r="A38" t="s">
        <v>183</v>
      </c>
      <c r="B38" t="s">
        <v>68</v>
      </c>
      <c r="C38">
        <v>9.4</v>
      </c>
      <c r="D38" t="s">
        <v>284</v>
      </c>
      <c r="E38">
        <v>0.89285714285714279</v>
      </c>
      <c r="F38" t="s">
        <v>287</v>
      </c>
      <c r="G38">
        <v>0.23749999999999999</v>
      </c>
      <c r="H38">
        <v>12.8438</v>
      </c>
      <c r="I38">
        <v>1</v>
      </c>
      <c r="J38">
        <v>33.977738722905684</v>
      </c>
      <c r="K38" t="s">
        <v>286</v>
      </c>
    </row>
    <row r="39" spans="1:11" x14ac:dyDescent="0.35">
      <c r="A39" t="s">
        <v>183</v>
      </c>
      <c r="B39" t="s">
        <v>65</v>
      </c>
      <c r="C39">
        <v>0</v>
      </c>
      <c r="D39" t="s">
        <v>285</v>
      </c>
      <c r="E39">
        <v>0</v>
      </c>
      <c r="F39" t="s">
        <v>285</v>
      </c>
      <c r="G39">
        <v>0</v>
      </c>
      <c r="H39">
        <v>0</v>
      </c>
      <c r="I39">
        <v>0</v>
      </c>
      <c r="J39">
        <v>0</v>
      </c>
      <c r="K39" t="s">
        <v>285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175</v>
      </c>
      <c r="B1" t="s">
        <v>176</v>
      </c>
    </row>
    <row r="2" spans="1:2" x14ac:dyDescent="0.35">
      <c r="A2" t="s">
        <v>177</v>
      </c>
      <c r="B2">
        <v>25</v>
      </c>
    </row>
    <row r="3" spans="1:2" x14ac:dyDescent="0.35">
      <c r="A3" t="s">
        <v>188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124" workbookViewId="0">
      <selection activeCell="A92" sqref="A92:A121"/>
    </sheetView>
  </sheetViews>
  <sheetFormatPr defaultRowHeight="14.5" x14ac:dyDescent="0.35"/>
  <cols>
    <col min="1" max="1" width="17.54296875" bestFit="1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301</v>
      </c>
      <c r="D1" t="s">
        <v>302</v>
      </c>
      <c r="E1" t="s">
        <v>303</v>
      </c>
      <c r="F1" t="s">
        <v>304</v>
      </c>
      <c r="G1" t="s">
        <v>305</v>
      </c>
    </row>
    <row r="2" spans="1:7" x14ac:dyDescent="0.35">
      <c r="A2" t="s">
        <v>183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183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183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183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183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183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183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183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183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183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183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183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183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183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183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183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183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183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183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183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183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183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183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183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183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183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183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183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183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183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182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182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182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182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182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182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182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182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182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182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182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182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182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182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182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182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182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182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182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182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182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182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182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182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182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182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182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182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182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182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208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208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208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208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208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208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208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208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208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208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208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208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208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208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208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208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208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208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208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208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208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208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208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208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208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208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208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208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208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208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194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194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194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194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194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194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194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194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194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194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194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194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194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194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194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194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194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194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194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194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194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194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194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194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194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194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194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194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194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194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topLeftCell="A46" workbookViewId="0">
      <selection activeCell="C53" sqref="C53:F53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306</v>
      </c>
      <c r="D1" t="s">
        <v>307</v>
      </c>
      <c r="E1" t="s">
        <v>308</v>
      </c>
      <c r="F1" t="s">
        <v>309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242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243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5">
      <c r="A53" t="s">
        <v>336</v>
      </c>
      <c r="B53">
        <v>2019</v>
      </c>
      <c r="C53" s="29">
        <f>SUM(C2:C52)</f>
        <v>63360965</v>
      </c>
      <c r="D53" s="29">
        <f t="shared" ref="D53:F53" si="0">SUM(D2:D52)</f>
        <v>12707307116</v>
      </c>
      <c r="E53" s="29">
        <f t="shared" si="0"/>
        <v>17340181005</v>
      </c>
      <c r="F53" s="29">
        <f t="shared" si="0"/>
        <v>2493009013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310</v>
      </c>
      <c r="C1" t="s">
        <v>311</v>
      </c>
      <c r="D1" t="s">
        <v>312</v>
      </c>
      <c r="E1" t="s">
        <v>313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3"/>
  <sheetViews>
    <sheetView topLeftCell="A40" workbookViewId="0">
      <selection activeCell="A54" sqref="A54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314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242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243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  <row r="53" spans="1:3" x14ac:dyDescent="0.35">
      <c r="A53" t="s">
        <v>336</v>
      </c>
      <c r="B53">
        <v>2019</v>
      </c>
      <c r="C53" s="25">
        <f>SUM(C2:C52)</f>
        <v>102972.64037900002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tabSelected="1" topLeftCell="A44" workbookViewId="0">
      <selection activeCell="C57" sqref="C57:E57"/>
    </sheetView>
  </sheetViews>
  <sheetFormatPr defaultRowHeight="14.5" x14ac:dyDescent="0.35"/>
  <cols>
    <col min="3" max="3" width="9.81640625" bestFit="1" customWidth="1"/>
  </cols>
  <sheetData>
    <row r="1" spans="1:5" x14ac:dyDescent="0.35">
      <c r="A1" s="23" t="s">
        <v>328</v>
      </c>
      <c r="B1" s="23" t="s">
        <v>1</v>
      </c>
      <c r="C1" s="23" t="s">
        <v>329</v>
      </c>
      <c r="D1" s="23" t="s">
        <v>330</v>
      </c>
      <c r="E1" s="23" t="s">
        <v>331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242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243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332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5">
      <c r="A57" s="24" t="s">
        <v>336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2025-06-20T22:30:05Z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