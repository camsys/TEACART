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arue\OneDrive - Cambridge Systematics\Documents\idot_github_puller\TEACART\data\"/>
    </mc:Choice>
  </mc:AlternateContent>
  <xr:revisionPtr revIDLastSave="0" documentId="13_ncr:1_{4C0B2D68-B3D5-4035-A4B5-58604E9C9FEF}" xr6:coauthVersionLast="47" xr6:coauthVersionMax="47" xr10:uidLastSave="{00000000-0000-0000-0000-000000000000}"/>
  <bookViews>
    <workbookView xWindow="-110" yWindow="-110" windowWidth="19420" windowHeight="10420" tabRatio="955" firstSheet="11" activeTab="16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9" l="1"/>
  <c r="E57" i="29"/>
  <c r="C57" i="29"/>
  <c r="C53" i="27"/>
  <c r="D53" i="25"/>
  <c r="E53" i="25"/>
  <c r="F53" i="25"/>
  <c r="C53" i="25"/>
  <c r="I53" i="10"/>
  <c r="J53" i="10"/>
  <c r="H53" i="10"/>
  <c r="D53" i="10"/>
  <c r="E53" i="10"/>
  <c r="F53" i="10"/>
  <c r="G53" i="10"/>
  <c r="C53" i="10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H196" i="16"/>
  <c r="D197" i="16"/>
  <c r="G197" i="16" s="1" a="1"/>
  <c r="G197" i="16" s="1"/>
  <c r="E197" i="16"/>
  <c r="F197" i="16"/>
  <c r="H197" i="16"/>
  <c r="D198" i="16"/>
  <c r="E198" i="16"/>
  <c r="F198" i="16"/>
  <c r="G198" i="16" a="1"/>
  <c r="G198" i="16"/>
  <c r="H198" i="16"/>
  <c r="D199" i="16"/>
  <c r="E199" i="16"/>
  <c r="F199" i="16"/>
  <c r="G199" i="16" a="1"/>
  <c r="G199" i="16" s="1"/>
  <c r="H199" i="16"/>
  <c r="D200" i="16"/>
  <c r="G200" i="16" s="1" a="1"/>
  <c r="G200" i="16" s="1"/>
  <c r="E200" i="16"/>
  <c r="F200" i="16"/>
  <c r="H200" i="16"/>
  <c r="D195" i="16"/>
  <c r="E195" i="16"/>
  <c r="F195" i="16"/>
  <c r="H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<sst xmlns="http://schemas.openxmlformats.org/spreadsheetml/2006/main" count="9114" uniqueCount="340">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</sst>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168" fontId="0" fillId="4" borderId="0" xfId="0" applyNumberFormat="1" applyFill="1"/>
    <xf numFmtId="0" fontId="0" fillId="0" borderId="0" xfId="2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/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workbookViewId="0">
      <selection activeCell="D2" sqref="D2:E157"/>
    </sheetView>
  </sheetViews>
  <sheetFormatPr defaultRowHeight="14.5" x14ac:dyDescent="0.35"/>
  <cols>
    <col min="1" max="1" width="17.36328125" bestFit="1" customWidth="1"/>
    <col min="3" max="3" width="12" customWidth="1"/>
    <col min="4" max="4" width="9.81640625" bestFit="1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239</v>
      </c>
      <c r="B68" s="1">
        <v>2020</v>
      </c>
      <c r="C68" s="1">
        <v>10568032.77</v>
      </c>
    </row>
    <row r="69" spans="1:3" x14ac:dyDescent="0.35">
      <c r="A69" s="1" t="s">
        <v>239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240</v>
      </c>
      <c r="B82" s="1">
        <v>2020</v>
      </c>
      <c r="C82" s="1">
        <v>5184564.4369999999</v>
      </c>
    </row>
    <row r="83" spans="1:3" x14ac:dyDescent="0.35">
      <c r="A83" s="1" t="s">
        <v>240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239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240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333</v>
      </c>
      <c r="B155">
        <v>2020</v>
      </c>
      <c r="C155">
        <v>332527547.99790001</v>
      </c>
    </row>
    <row r="156" spans="1:3" ht="15.5" thickTop="1" thickBot="1" x14ac:dyDescent="0.4">
      <c r="A156" s="26" t="s">
        <v>333</v>
      </c>
      <c r="B156">
        <v>2030</v>
      </c>
      <c r="C156">
        <v>357975718.83530015</v>
      </c>
    </row>
    <row r="157" spans="1:3" ht="15" thickTop="1" x14ac:dyDescent="0.35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107" workbookViewId="0">
      <selection activeCell="A1141" sqref="A1141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5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338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338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338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338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338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338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338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338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338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338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338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338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338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338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338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338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338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338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338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338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338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338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338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338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338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338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338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338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338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338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339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339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339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339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339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339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339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339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339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339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339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339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339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339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339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339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339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339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339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339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339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339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339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339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339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339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339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339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339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339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16" workbookViewId="0">
      <selection activeCell="A32" sqref="A32:A3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5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5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5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5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5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5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5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5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5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5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5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5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5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5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5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5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5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5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5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5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5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5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5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5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5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5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5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5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5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5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5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topLeftCell="A115" workbookViewId="0">
      <selection activeCell="A127" sqref="A127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339</v>
      </c>
      <c r="B2" s="1">
        <v>2020</v>
      </c>
      <c r="C2" s="1">
        <v>0</v>
      </c>
    </row>
    <row r="3" spans="1:3" x14ac:dyDescent="0.35">
      <c r="A3" s="1" t="s">
        <v>337</v>
      </c>
      <c r="B3" s="1">
        <v>2020</v>
      </c>
      <c r="C3" s="1">
        <v>0</v>
      </c>
    </row>
    <row r="4" spans="1:3" x14ac:dyDescent="0.35">
      <c r="A4" s="1" t="s">
        <v>338</v>
      </c>
      <c r="B4" s="1">
        <v>2020</v>
      </c>
      <c r="C4" s="1">
        <v>0</v>
      </c>
    </row>
    <row r="5" spans="1:3" x14ac:dyDescent="0.35">
      <c r="A5" s="1" t="s">
        <v>192</v>
      </c>
      <c r="B5" s="1">
        <v>2020</v>
      </c>
      <c r="C5" s="1">
        <v>0</v>
      </c>
    </row>
    <row r="6" spans="1:3" x14ac:dyDescent="0.35">
      <c r="A6" s="1" t="s">
        <v>339</v>
      </c>
      <c r="B6" s="1">
        <v>2021</v>
      </c>
      <c r="C6" s="1">
        <v>175905.05869999999</v>
      </c>
    </row>
    <row r="7" spans="1:3" x14ac:dyDescent="0.35">
      <c r="A7" s="1" t="s">
        <v>337</v>
      </c>
      <c r="B7" s="1">
        <v>2021</v>
      </c>
      <c r="C7" s="1">
        <v>1453415.709</v>
      </c>
    </row>
    <row r="8" spans="1:3" x14ac:dyDescent="0.35">
      <c r="A8" s="1" t="s">
        <v>338</v>
      </c>
      <c r="B8" s="1">
        <v>2021</v>
      </c>
      <c r="C8" s="1">
        <v>120902.86599999999</v>
      </c>
    </row>
    <row r="9" spans="1:3" x14ac:dyDescent="0.35">
      <c r="A9" s="1" t="s">
        <v>192</v>
      </c>
      <c r="B9" s="1">
        <v>2021</v>
      </c>
      <c r="C9" s="1">
        <v>1385678.007</v>
      </c>
    </row>
    <row r="10" spans="1:3" x14ac:dyDescent="0.35">
      <c r="A10" s="1" t="s">
        <v>339</v>
      </c>
      <c r="B10" s="1">
        <v>2022</v>
      </c>
      <c r="C10" s="1">
        <v>180087.62419999999</v>
      </c>
    </row>
    <row r="11" spans="1:3" x14ac:dyDescent="0.35">
      <c r="A11" s="1" t="s">
        <v>337</v>
      </c>
      <c r="B11" s="1">
        <v>2022</v>
      </c>
      <c r="C11" s="1">
        <v>1587379.9620000001</v>
      </c>
    </row>
    <row r="12" spans="1:3" x14ac:dyDescent="0.35">
      <c r="A12" s="1" t="s">
        <v>338</v>
      </c>
      <c r="B12" s="1">
        <v>2022</v>
      </c>
      <c r="C12" s="1">
        <v>124146.145</v>
      </c>
    </row>
    <row r="13" spans="1:3" x14ac:dyDescent="0.35">
      <c r="A13" s="1" t="s">
        <v>192</v>
      </c>
      <c r="B13" s="1">
        <v>2022</v>
      </c>
      <c r="C13" s="1">
        <v>1293781.5649999999</v>
      </c>
    </row>
    <row r="14" spans="1:3" x14ac:dyDescent="0.35">
      <c r="A14" s="1" t="s">
        <v>339</v>
      </c>
      <c r="B14" s="1">
        <v>2023</v>
      </c>
      <c r="C14" s="1">
        <v>182482.29639999999</v>
      </c>
    </row>
    <row r="15" spans="1:3" x14ac:dyDescent="0.35">
      <c r="A15" s="1" t="s">
        <v>337</v>
      </c>
      <c r="B15" s="1">
        <v>2023</v>
      </c>
      <c r="C15" s="1">
        <v>1697480.8940000001</v>
      </c>
    </row>
    <row r="16" spans="1:3" x14ac:dyDescent="0.35">
      <c r="A16" s="1" t="s">
        <v>338</v>
      </c>
      <c r="B16" s="1">
        <v>2023</v>
      </c>
      <c r="C16" s="1">
        <v>126453.22</v>
      </c>
    </row>
    <row r="17" spans="1:3" x14ac:dyDescent="0.35">
      <c r="A17" s="1" t="s">
        <v>192</v>
      </c>
      <c r="B17" s="1">
        <v>2023</v>
      </c>
      <c r="C17" s="1">
        <v>1314686.4809999999</v>
      </c>
    </row>
    <row r="18" spans="1:3" x14ac:dyDescent="0.35">
      <c r="A18" s="1" t="s">
        <v>339</v>
      </c>
      <c r="B18" s="1">
        <v>2024</v>
      </c>
      <c r="C18" s="1">
        <v>184146.29070000001</v>
      </c>
    </row>
    <row r="19" spans="1:3" x14ac:dyDescent="0.35">
      <c r="A19" s="1" t="s">
        <v>337</v>
      </c>
      <c r="B19" s="1">
        <v>2024</v>
      </c>
      <c r="C19" s="1">
        <v>1797010.4129999999</v>
      </c>
    </row>
    <row r="20" spans="1:3" x14ac:dyDescent="0.35">
      <c r="A20" s="1" t="s">
        <v>338</v>
      </c>
      <c r="B20" s="1">
        <v>2024</v>
      </c>
      <c r="C20" s="1">
        <v>128525.497</v>
      </c>
    </row>
    <row r="21" spans="1:3" x14ac:dyDescent="0.35">
      <c r="A21" s="1" t="s">
        <v>192</v>
      </c>
      <c r="B21" s="1">
        <v>2024</v>
      </c>
      <c r="C21" s="1">
        <v>1316350.733</v>
      </c>
    </row>
    <row r="22" spans="1:3" x14ac:dyDescent="0.35">
      <c r="A22" s="1" t="s">
        <v>339</v>
      </c>
      <c r="B22" s="1">
        <v>2025</v>
      </c>
      <c r="C22" s="1">
        <v>185937.74249999999</v>
      </c>
    </row>
    <row r="23" spans="1:3" x14ac:dyDescent="0.35">
      <c r="A23" s="1" t="s">
        <v>337</v>
      </c>
      <c r="B23" s="1">
        <v>2025</v>
      </c>
      <c r="C23" s="1">
        <v>1871423.4709999999</v>
      </c>
    </row>
    <row r="24" spans="1:3" x14ac:dyDescent="0.35">
      <c r="A24" s="1" t="s">
        <v>338</v>
      </c>
      <c r="B24" s="1">
        <v>2025</v>
      </c>
      <c r="C24" s="1">
        <v>130945.202</v>
      </c>
    </row>
    <row r="25" spans="1:3" x14ac:dyDescent="0.35">
      <c r="A25" s="1" t="s">
        <v>192</v>
      </c>
      <c r="B25" s="1">
        <v>2025</v>
      </c>
      <c r="C25" s="1">
        <v>1290550.6950000001</v>
      </c>
    </row>
    <row r="26" spans="1:3" x14ac:dyDescent="0.35">
      <c r="A26" s="1" t="s">
        <v>339</v>
      </c>
      <c r="B26" s="1">
        <v>2026</v>
      </c>
      <c r="C26" s="1">
        <v>187153.3437</v>
      </c>
    </row>
    <row r="27" spans="1:3" x14ac:dyDescent="0.35">
      <c r="A27" s="1" t="s">
        <v>337</v>
      </c>
      <c r="B27" s="1">
        <v>2026</v>
      </c>
      <c r="C27" s="1">
        <v>1946860.6070000001</v>
      </c>
    </row>
    <row r="28" spans="1:3" x14ac:dyDescent="0.35">
      <c r="A28" s="1" t="s">
        <v>338</v>
      </c>
      <c r="B28" s="1">
        <v>2026</v>
      </c>
      <c r="C28" s="1">
        <v>133322.02499999999</v>
      </c>
    </row>
    <row r="29" spans="1:3" x14ac:dyDescent="0.35">
      <c r="A29" s="1" t="s">
        <v>192</v>
      </c>
      <c r="B29" s="1">
        <v>2026</v>
      </c>
      <c r="C29" s="1">
        <v>1260452.5419999999</v>
      </c>
    </row>
    <row r="30" spans="1:3" x14ac:dyDescent="0.35">
      <c r="A30" s="1" t="s">
        <v>339</v>
      </c>
      <c r="B30" s="1">
        <v>2027</v>
      </c>
      <c r="C30" s="1">
        <v>187637.05809999999</v>
      </c>
    </row>
    <row r="31" spans="1:3" x14ac:dyDescent="0.35">
      <c r="A31" s="1" t="s">
        <v>337</v>
      </c>
      <c r="B31" s="1">
        <v>2027</v>
      </c>
      <c r="C31" s="1">
        <v>2019509.8770000001</v>
      </c>
    </row>
    <row r="32" spans="1:3" x14ac:dyDescent="0.35">
      <c r="A32" s="1" t="s">
        <v>338</v>
      </c>
      <c r="B32" s="1">
        <v>2027</v>
      </c>
      <c r="C32" s="1">
        <v>135653.24100000001</v>
      </c>
    </row>
    <row r="33" spans="1:3" x14ac:dyDescent="0.35">
      <c r="A33" s="1" t="s">
        <v>192</v>
      </c>
      <c r="B33" s="1">
        <v>2027</v>
      </c>
      <c r="C33" s="1">
        <v>1224924.429</v>
      </c>
    </row>
    <row r="34" spans="1:3" x14ac:dyDescent="0.35">
      <c r="A34" s="1" t="s">
        <v>339</v>
      </c>
      <c r="B34" s="1">
        <v>2028</v>
      </c>
      <c r="C34" s="1">
        <v>188223.3774</v>
      </c>
    </row>
    <row r="35" spans="1:3" x14ac:dyDescent="0.35">
      <c r="A35" s="1" t="s">
        <v>337</v>
      </c>
      <c r="B35" s="1">
        <v>2028</v>
      </c>
      <c r="C35" s="1">
        <v>2086422.263</v>
      </c>
    </row>
    <row r="36" spans="1:3" x14ac:dyDescent="0.35">
      <c r="A36" s="1" t="s">
        <v>338</v>
      </c>
      <c r="B36" s="1">
        <v>2028</v>
      </c>
      <c r="C36" s="1">
        <v>138483.856</v>
      </c>
    </row>
    <row r="37" spans="1:3" x14ac:dyDescent="0.35">
      <c r="A37" s="1" t="s">
        <v>192</v>
      </c>
      <c r="B37" s="1">
        <v>2028</v>
      </c>
      <c r="C37" s="1">
        <v>1184882.7139999999</v>
      </c>
    </row>
    <row r="38" spans="1:3" x14ac:dyDescent="0.35">
      <c r="A38" s="1" t="s">
        <v>339</v>
      </c>
      <c r="B38" s="1">
        <v>2029</v>
      </c>
      <c r="C38" s="1">
        <v>188772.98740000001</v>
      </c>
    </row>
    <row r="39" spans="1:3" x14ac:dyDescent="0.35">
      <c r="A39" s="1" t="s">
        <v>337</v>
      </c>
      <c r="B39" s="1">
        <v>2029</v>
      </c>
      <c r="C39" s="1">
        <v>2150056.2030000002</v>
      </c>
    </row>
    <row r="40" spans="1:3" x14ac:dyDescent="0.35">
      <c r="A40" s="1" t="s">
        <v>338</v>
      </c>
      <c r="B40" s="1">
        <v>2029</v>
      </c>
      <c r="C40" s="1">
        <v>141633.06</v>
      </c>
    </row>
    <row r="41" spans="1:3" x14ac:dyDescent="0.35">
      <c r="A41" s="1" t="s">
        <v>192</v>
      </c>
      <c r="B41" s="1">
        <v>2029</v>
      </c>
      <c r="C41" s="1">
        <v>1143207.7690000001</v>
      </c>
    </row>
    <row r="42" spans="1:3" x14ac:dyDescent="0.35">
      <c r="A42" s="1" t="s">
        <v>339</v>
      </c>
      <c r="B42" s="1">
        <v>2030</v>
      </c>
      <c r="C42" s="1">
        <v>189083.60569999999</v>
      </c>
    </row>
    <row r="43" spans="1:3" x14ac:dyDescent="0.35">
      <c r="A43" s="1" t="s">
        <v>337</v>
      </c>
      <c r="B43" s="1">
        <v>2030</v>
      </c>
      <c r="C43" s="1">
        <v>2211753.6189999999</v>
      </c>
    </row>
    <row r="44" spans="1:3" x14ac:dyDescent="0.35">
      <c r="A44" s="1" t="s">
        <v>338</v>
      </c>
      <c r="B44" s="1">
        <v>2030</v>
      </c>
      <c r="C44" s="1">
        <v>144797.84</v>
      </c>
    </row>
    <row r="45" spans="1:3" x14ac:dyDescent="0.35">
      <c r="A45" s="1" t="s">
        <v>192</v>
      </c>
      <c r="B45" s="1">
        <v>2030</v>
      </c>
      <c r="C45" s="1">
        <v>1102584.8289999999</v>
      </c>
    </row>
    <row r="46" spans="1:3" x14ac:dyDescent="0.35">
      <c r="A46" s="1" t="s">
        <v>339</v>
      </c>
      <c r="B46" s="1">
        <v>2031</v>
      </c>
      <c r="C46" s="1">
        <v>189308.39300000001</v>
      </c>
    </row>
    <row r="47" spans="1:3" x14ac:dyDescent="0.35">
      <c r="A47" s="1" t="s">
        <v>337</v>
      </c>
      <c r="B47" s="1">
        <v>2031</v>
      </c>
      <c r="C47" s="1">
        <v>2271951.747</v>
      </c>
    </row>
    <row r="48" spans="1:3" x14ac:dyDescent="0.35">
      <c r="A48" s="1" t="s">
        <v>338</v>
      </c>
      <c r="B48" s="1">
        <v>2031</v>
      </c>
      <c r="C48" s="1">
        <v>148003.883</v>
      </c>
    </row>
    <row r="49" spans="1:3" x14ac:dyDescent="0.35">
      <c r="A49" s="1" t="s">
        <v>192</v>
      </c>
      <c r="B49" s="1">
        <v>2031</v>
      </c>
      <c r="C49" s="1">
        <v>1064723.162</v>
      </c>
    </row>
    <row r="50" spans="1:3" x14ac:dyDescent="0.35">
      <c r="A50" s="1" t="s">
        <v>339</v>
      </c>
      <c r="B50" s="1">
        <v>2032</v>
      </c>
      <c r="C50" s="1">
        <v>189464.01329999999</v>
      </c>
    </row>
    <row r="51" spans="1:3" x14ac:dyDescent="0.35">
      <c r="A51" s="1" t="s">
        <v>337</v>
      </c>
      <c r="B51" s="1">
        <v>2032</v>
      </c>
      <c r="C51" s="1">
        <v>2329925.5959999999</v>
      </c>
    </row>
    <row r="52" spans="1:3" x14ac:dyDescent="0.35">
      <c r="A52" s="1" t="s">
        <v>338</v>
      </c>
      <c r="B52" s="1">
        <v>2032</v>
      </c>
      <c r="C52" s="1">
        <v>151342.39999999999</v>
      </c>
    </row>
    <row r="53" spans="1:3" x14ac:dyDescent="0.35">
      <c r="A53" s="1" t="s">
        <v>192</v>
      </c>
      <c r="B53" s="1">
        <v>2032</v>
      </c>
      <c r="C53" s="1">
        <v>1029644.0429999999</v>
      </c>
    </row>
    <row r="54" spans="1:3" x14ac:dyDescent="0.35">
      <c r="A54" s="1" t="s">
        <v>339</v>
      </c>
      <c r="B54" s="1">
        <v>2033</v>
      </c>
      <c r="C54" s="1">
        <v>189539.73</v>
      </c>
    </row>
    <row r="55" spans="1:3" x14ac:dyDescent="0.35">
      <c r="A55" s="1" t="s">
        <v>337</v>
      </c>
      <c r="B55" s="1">
        <v>2033</v>
      </c>
      <c r="C55" s="1">
        <v>2381138.9350000001</v>
      </c>
    </row>
    <row r="56" spans="1:3" x14ac:dyDescent="0.35">
      <c r="A56" s="1" t="s">
        <v>338</v>
      </c>
      <c r="B56" s="1">
        <v>2033</v>
      </c>
      <c r="C56" s="1">
        <v>154675.133</v>
      </c>
    </row>
    <row r="57" spans="1:3" x14ac:dyDescent="0.35">
      <c r="A57" s="1" t="s">
        <v>192</v>
      </c>
      <c r="B57" s="1">
        <v>2033</v>
      </c>
      <c r="C57" s="1">
        <v>996160.41799999995</v>
      </c>
    </row>
    <row r="58" spans="1:3" x14ac:dyDescent="0.35">
      <c r="A58" s="1" t="s">
        <v>339</v>
      </c>
      <c r="B58" s="1">
        <v>2034</v>
      </c>
      <c r="C58" s="1">
        <v>189592.37040000001</v>
      </c>
    </row>
    <row r="59" spans="1:3" x14ac:dyDescent="0.35">
      <c r="A59" s="1" t="s">
        <v>337</v>
      </c>
      <c r="B59" s="1">
        <v>2034</v>
      </c>
      <c r="C59" s="1">
        <v>2429660.1639999999</v>
      </c>
    </row>
    <row r="60" spans="1:3" x14ac:dyDescent="0.35">
      <c r="A60" s="1" t="s">
        <v>338</v>
      </c>
      <c r="B60" s="1">
        <v>2034</v>
      </c>
      <c r="C60" s="1">
        <v>157937.71400000001</v>
      </c>
    </row>
    <row r="61" spans="1:3" x14ac:dyDescent="0.35">
      <c r="A61" s="1" t="s">
        <v>192</v>
      </c>
      <c r="B61" s="1">
        <v>2034</v>
      </c>
      <c r="C61" s="1">
        <v>966278.76100000006</v>
      </c>
    </row>
    <row r="62" spans="1:3" x14ac:dyDescent="0.35">
      <c r="A62" s="1" t="s">
        <v>339</v>
      </c>
      <c r="B62" s="1">
        <v>2035</v>
      </c>
      <c r="C62" s="1">
        <v>189671.37849999999</v>
      </c>
    </row>
    <row r="63" spans="1:3" x14ac:dyDescent="0.35">
      <c r="A63" s="1" t="s">
        <v>337</v>
      </c>
      <c r="B63" s="1">
        <v>2035</v>
      </c>
      <c r="C63" s="1">
        <v>2473313.2650000001</v>
      </c>
    </row>
    <row r="64" spans="1:3" x14ac:dyDescent="0.35">
      <c r="A64" s="1" t="s">
        <v>338</v>
      </c>
      <c r="B64" s="1">
        <v>2035</v>
      </c>
      <c r="C64" s="1">
        <v>161310.57800000001</v>
      </c>
    </row>
    <row r="65" spans="1:3" x14ac:dyDescent="0.35">
      <c r="A65" s="1" t="s">
        <v>192</v>
      </c>
      <c r="B65" s="1">
        <v>2035</v>
      </c>
      <c r="C65" s="1">
        <v>939809.076</v>
      </c>
    </row>
    <row r="66" spans="1:3" x14ac:dyDescent="0.35">
      <c r="A66" s="1" t="s">
        <v>339</v>
      </c>
      <c r="B66" s="1">
        <v>2036</v>
      </c>
      <c r="C66" s="1">
        <v>189741.73389999999</v>
      </c>
    </row>
    <row r="67" spans="1:3" x14ac:dyDescent="0.35">
      <c r="A67" s="1" t="s">
        <v>337</v>
      </c>
      <c r="B67" s="1">
        <v>2036</v>
      </c>
      <c r="C67" s="1">
        <v>2512835.2769999998</v>
      </c>
    </row>
    <row r="68" spans="1:3" x14ac:dyDescent="0.35">
      <c r="A68" s="1" t="s">
        <v>338</v>
      </c>
      <c r="B68" s="1">
        <v>2036</v>
      </c>
      <c r="C68" s="1">
        <v>164760.88699999999</v>
      </c>
    </row>
    <row r="69" spans="1:3" x14ac:dyDescent="0.35">
      <c r="A69" s="1" t="s">
        <v>192</v>
      </c>
      <c r="B69" s="1">
        <v>2036</v>
      </c>
      <c r="C69" s="1">
        <v>916837.32799999998</v>
      </c>
    </row>
    <row r="70" spans="1:3" x14ac:dyDescent="0.35">
      <c r="A70" s="1" t="s">
        <v>339</v>
      </c>
      <c r="B70" s="1">
        <v>2037</v>
      </c>
      <c r="C70" s="1">
        <v>190016.35509999999</v>
      </c>
    </row>
    <row r="71" spans="1:3" x14ac:dyDescent="0.35">
      <c r="A71" s="1" t="s">
        <v>337</v>
      </c>
      <c r="B71" s="1">
        <v>2037</v>
      </c>
      <c r="C71" s="1">
        <v>2549580.1340000001</v>
      </c>
    </row>
    <row r="72" spans="1:3" x14ac:dyDescent="0.35">
      <c r="A72" s="1" t="s">
        <v>338</v>
      </c>
      <c r="B72" s="1">
        <v>2037</v>
      </c>
      <c r="C72" s="1">
        <v>168423.584</v>
      </c>
    </row>
    <row r="73" spans="1:3" x14ac:dyDescent="0.35">
      <c r="A73" s="1" t="s">
        <v>192</v>
      </c>
      <c r="B73" s="1">
        <v>2037</v>
      </c>
      <c r="C73" s="1">
        <v>897685.51599999995</v>
      </c>
    </row>
    <row r="74" spans="1:3" x14ac:dyDescent="0.35">
      <c r="A74" s="1" t="s">
        <v>339</v>
      </c>
      <c r="B74" s="1">
        <v>2038</v>
      </c>
      <c r="C74" s="1">
        <v>190293.97640000001</v>
      </c>
    </row>
    <row r="75" spans="1:3" x14ac:dyDescent="0.35">
      <c r="A75" s="1" t="s">
        <v>337</v>
      </c>
      <c r="B75" s="1">
        <v>2038</v>
      </c>
      <c r="C75" s="1">
        <v>2583804.2710000002</v>
      </c>
    </row>
    <row r="76" spans="1:3" x14ac:dyDescent="0.35">
      <c r="A76" s="1" t="s">
        <v>338</v>
      </c>
      <c r="B76" s="1">
        <v>2038</v>
      </c>
      <c r="C76" s="1">
        <v>172034.745</v>
      </c>
    </row>
    <row r="77" spans="1:3" x14ac:dyDescent="0.35">
      <c r="A77" s="1" t="s">
        <v>192</v>
      </c>
      <c r="B77" s="1">
        <v>2038</v>
      </c>
      <c r="C77" s="1">
        <v>882476.03300000005</v>
      </c>
    </row>
    <row r="78" spans="1:3" x14ac:dyDescent="0.35">
      <c r="A78" s="1" t="s">
        <v>339</v>
      </c>
      <c r="B78" s="1">
        <v>2039</v>
      </c>
      <c r="C78" s="1">
        <v>190610.7175</v>
      </c>
    </row>
    <row r="79" spans="1:3" x14ac:dyDescent="0.35">
      <c r="A79" s="1" t="s">
        <v>337</v>
      </c>
      <c r="B79" s="1">
        <v>2039</v>
      </c>
      <c r="C79" s="1">
        <v>2615314.9619999998</v>
      </c>
    </row>
    <row r="80" spans="1:3" x14ac:dyDescent="0.35">
      <c r="A80" s="1" t="s">
        <v>338</v>
      </c>
      <c r="B80" s="1">
        <v>2039</v>
      </c>
      <c r="C80" s="1">
        <v>175634.46799999999</v>
      </c>
    </row>
    <row r="81" spans="1:3" x14ac:dyDescent="0.35">
      <c r="A81" s="1" t="s">
        <v>192</v>
      </c>
      <c r="B81" s="1">
        <v>2039</v>
      </c>
      <c r="C81" s="1">
        <v>870383.95499999996</v>
      </c>
    </row>
    <row r="82" spans="1:3" x14ac:dyDescent="0.35">
      <c r="A82" s="1" t="s">
        <v>339</v>
      </c>
      <c r="B82" s="1">
        <v>2040</v>
      </c>
      <c r="C82" s="1">
        <v>190970.98680000001</v>
      </c>
    </row>
    <row r="83" spans="1:3" x14ac:dyDescent="0.35">
      <c r="A83" s="1" t="s">
        <v>337</v>
      </c>
      <c r="B83" s="1">
        <v>2040</v>
      </c>
      <c r="C83" s="1">
        <v>2646150.2910000002</v>
      </c>
    </row>
    <row r="84" spans="1:3" x14ac:dyDescent="0.35">
      <c r="A84" s="1" t="s">
        <v>338</v>
      </c>
      <c r="B84" s="1">
        <v>2040</v>
      </c>
      <c r="C84" s="1">
        <v>179230.97200000001</v>
      </c>
    </row>
    <row r="85" spans="1:3" x14ac:dyDescent="0.35">
      <c r="A85" s="1" t="s">
        <v>192</v>
      </c>
      <c r="B85" s="1">
        <v>2040</v>
      </c>
      <c r="C85" s="1">
        <v>861964.58</v>
      </c>
    </row>
    <row r="86" spans="1:3" x14ac:dyDescent="0.35">
      <c r="A86" s="1" t="s">
        <v>339</v>
      </c>
      <c r="B86" s="1">
        <v>2041</v>
      </c>
      <c r="C86" s="1">
        <v>191453.59779999999</v>
      </c>
    </row>
    <row r="87" spans="1:3" x14ac:dyDescent="0.35">
      <c r="A87" s="1" t="s">
        <v>337</v>
      </c>
      <c r="B87" s="1">
        <v>2041</v>
      </c>
      <c r="C87" s="1">
        <v>2674284.6540000001</v>
      </c>
    </row>
    <row r="88" spans="1:3" x14ac:dyDescent="0.35">
      <c r="A88" s="1" t="s">
        <v>338</v>
      </c>
      <c r="B88" s="1">
        <v>2041</v>
      </c>
      <c r="C88" s="1">
        <v>183064.33100000001</v>
      </c>
    </row>
    <row r="89" spans="1:3" x14ac:dyDescent="0.35">
      <c r="A89" s="1" t="s">
        <v>192</v>
      </c>
      <c r="B89" s="1">
        <v>2041</v>
      </c>
      <c r="C89" s="1">
        <v>855630.73400000005</v>
      </c>
    </row>
    <row r="90" spans="1:3" x14ac:dyDescent="0.35">
      <c r="A90" s="1" t="s">
        <v>339</v>
      </c>
      <c r="B90" s="1">
        <v>2042</v>
      </c>
      <c r="C90" s="1">
        <v>192054.36309999999</v>
      </c>
    </row>
    <row r="91" spans="1:3" x14ac:dyDescent="0.35">
      <c r="A91" s="1" t="s">
        <v>337</v>
      </c>
      <c r="B91" s="1">
        <v>2042</v>
      </c>
      <c r="C91" s="1">
        <v>2699678.19</v>
      </c>
    </row>
    <row r="92" spans="1:3" x14ac:dyDescent="0.35">
      <c r="A92" s="1" t="s">
        <v>338</v>
      </c>
      <c r="B92" s="1">
        <v>2042</v>
      </c>
      <c r="C92" s="1">
        <v>186996.95600000001</v>
      </c>
    </row>
    <row r="93" spans="1:3" x14ac:dyDescent="0.35">
      <c r="A93" s="1" t="s">
        <v>192</v>
      </c>
      <c r="B93" s="1">
        <v>2042</v>
      </c>
      <c r="C93" s="1">
        <v>850804.74699999997</v>
      </c>
    </row>
    <row r="94" spans="1:3" x14ac:dyDescent="0.35">
      <c r="A94" s="1" t="s">
        <v>339</v>
      </c>
      <c r="B94" s="1">
        <v>2043</v>
      </c>
      <c r="C94" s="1">
        <v>192587.74789999999</v>
      </c>
    </row>
    <row r="95" spans="1:3" x14ac:dyDescent="0.35">
      <c r="A95" s="1" t="s">
        <v>337</v>
      </c>
      <c r="B95" s="1">
        <v>2043</v>
      </c>
      <c r="C95" s="1">
        <v>2724653.0090000001</v>
      </c>
    </row>
    <row r="96" spans="1:3" x14ac:dyDescent="0.35">
      <c r="A96" s="1" t="s">
        <v>338</v>
      </c>
      <c r="B96" s="1">
        <v>2043</v>
      </c>
      <c r="C96" s="1">
        <v>190871.391</v>
      </c>
    </row>
    <row r="97" spans="1:3" x14ac:dyDescent="0.35">
      <c r="A97" s="1" t="s">
        <v>192</v>
      </c>
      <c r="B97" s="1">
        <v>2043</v>
      </c>
      <c r="C97" s="1">
        <v>847901.91799999995</v>
      </c>
    </row>
    <row r="98" spans="1:3" x14ac:dyDescent="0.35">
      <c r="A98" s="1" t="s">
        <v>339</v>
      </c>
      <c r="B98" s="1">
        <v>2044</v>
      </c>
      <c r="C98" s="1">
        <v>193047.80609999999</v>
      </c>
    </row>
    <row r="99" spans="1:3" x14ac:dyDescent="0.35">
      <c r="A99" s="1" t="s">
        <v>337</v>
      </c>
      <c r="B99" s="1">
        <v>2044</v>
      </c>
      <c r="C99" s="1">
        <v>2748073.8020000001</v>
      </c>
    </row>
    <row r="100" spans="1:3" x14ac:dyDescent="0.35">
      <c r="A100" s="1" t="s">
        <v>338</v>
      </c>
      <c r="B100" s="1">
        <v>2044</v>
      </c>
      <c r="C100" s="1">
        <v>194784.18700000001</v>
      </c>
    </row>
    <row r="101" spans="1:3" x14ac:dyDescent="0.35">
      <c r="A101" s="1" t="s">
        <v>192</v>
      </c>
      <c r="B101" s="1">
        <v>2044</v>
      </c>
      <c r="C101" s="1">
        <v>846015.01699999999</v>
      </c>
    </row>
    <row r="102" spans="1:3" x14ac:dyDescent="0.35">
      <c r="A102" s="1" t="s">
        <v>339</v>
      </c>
      <c r="B102" s="1">
        <v>2045</v>
      </c>
      <c r="C102" s="1">
        <v>193394.29629999999</v>
      </c>
    </row>
    <row r="103" spans="1:3" x14ac:dyDescent="0.35">
      <c r="A103" s="1" t="s">
        <v>337</v>
      </c>
      <c r="B103" s="1">
        <v>2045</v>
      </c>
      <c r="C103" s="1">
        <v>2770397.1660000002</v>
      </c>
    </row>
    <row r="104" spans="1:3" x14ac:dyDescent="0.35">
      <c r="A104" s="1" t="s">
        <v>338</v>
      </c>
      <c r="B104" s="1">
        <v>2045</v>
      </c>
      <c r="C104" s="1">
        <v>198765.693</v>
      </c>
    </row>
    <row r="105" spans="1:3" x14ac:dyDescent="0.35">
      <c r="A105" s="1" t="s">
        <v>192</v>
      </c>
      <c r="B105" s="1">
        <v>2045</v>
      </c>
      <c r="C105" s="1">
        <v>844884.71200000006</v>
      </c>
    </row>
    <row r="106" spans="1:3" x14ac:dyDescent="0.35">
      <c r="A106" s="1" t="s">
        <v>339</v>
      </c>
      <c r="B106" s="1">
        <v>2046</v>
      </c>
      <c r="C106" s="1">
        <v>193830.55290000001</v>
      </c>
    </row>
    <row r="107" spans="1:3" x14ac:dyDescent="0.35">
      <c r="A107" s="1" t="s">
        <v>337</v>
      </c>
      <c r="B107" s="1">
        <v>2046</v>
      </c>
      <c r="C107" s="1">
        <v>2793342.4109999998</v>
      </c>
    </row>
    <row r="108" spans="1:3" x14ac:dyDescent="0.35">
      <c r="A108" s="1" t="s">
        <v>338</v>
      </c>
      <c r="B108" s="1">
        <v>2046</v>
      </c>
      <c r="C108" s="1">
        <v>202974.114</v>
      </c>
    </row>
    <row r="109" spans="1:3" x14ac:dyDescent="0.35">
      <c r="A109" s="1" t="s">
        <v>192</v>
      </c>
      <c r="B109" s="1">
        <v>2046</v>
      </c>
      <c r="C109" s="1">
        <v>845135.25600000005</v>
      </c>
    </row>
    <row r="110" spans="1:3" x14ac:dyDescent="0.35">
      <c r="A110" s="1" t="s">
        <v>339</v>
      </c>
      <c r="B110" s="1">
        <v>2047</v>
      </c>
      <c r="C110" s="1">
        <v>193839.5312</v>
      </c>
    </row>
    <row r="111" spans="1:3" x14ac:dyDescent="0.35">
      <c r="A111" s="1" t="s">
        <v>337</v>
      </c>
      <c r="B111" s="1">
        <v>2047</v>
      </c>
      <c r="C111" s="1">
        <v>2817418.2620000001</v>
      </c>
    </row>
    <row r="112" spans="1:3" x14ac:dyDescent="0.35">
      <c r="A112" s="1" t="s">
        <v>338</v>
      </c>
      <c r="B112" s="1">
        <v>2047</v>
      </c>
      <c r="C112" s="1">
        <v>206951.79</v>
      </c>
    </row>
    <row r="113" spans="1:3" x14ac:dyDescent="0.35">
      <c r="A113" s="1" t="s">
        <v>192</v>
      </c>
      <c r="B113" s="1">
        <v>2047</v>
      </c>
      <c r="C113" s="1">
        <v>845825.82200000004</v>
      </c>
    </row>
    <row r="114" spans="1:3" x14ac:dyDescent="0.35">
      <c r="A114" s="1" t="s">
        <v>339</v>
      </c>
      <c r="B114" s="1">
        <v>2048</v>
      </c>
      <c r="C114" s="1">
        <v>193480.38269999999</v>
      </c>
    </row>
    <row r="115" spans="1:3" x14ac:dyDescent="0.35">
      <c r="A115" s="1" t="s">
        <v>337</v>
      </c>
      <c r="B115" s="1">
        <v>2048</v>
      </c>
      <c r="C115" s="1">
        <v>2841721.6919999998</v>
      </c>
    </row>
    <row r="116" spans="1:3" x14ac:dyDescent="0.35">
      <c r="A116" s="1" t="s">
        <v>338</v>
      </c>
      <c r="B116" s="1">
        <v>2048</v>
      </c>
      <c r="C116" s="1">
        <v>210744.30100000001</v>
      </c>
    </row>
    <row r="117" spans="1:3" x14ac:dyDescent="0.35">
      <c r="A117" s="1" t="s">
        <v>192</v>
      </c>
      <c r="B117" s="1">
        <v>2048</v>
      </c>
      <c r="C117" s="1">
        <v>846651.25100000005</v>
      </c>
    </row>
    <row r="118" spans="1:3" x14ac:dyDescent="0.35">
      <c r="A118" s="1" t="s">
        <v>339</v>
      </c>
      <c r="B118" s="1">
        <v>2049</v>
      </c>
      <c r="C118" s="1">
        <v>193608.07459999999</v>
      </c>
    </row>
    <row r="119" spans="1:3" x14ac:dyDescent="0.35">
      <c r="A119" s="1" t="s">
        <v>337</v>
      </c>
      <c r="B119" s="1">
        <v>2049</v>
      </c>
      <c r="C119" s="1">
        <v>2866483.3050000002</v>
      </c>
    </row>
    <row r="120" spans="1:3" x14ac:dyDescent="0.35">
      <c r="A120" s="1" t="s">
        <v>338</v>
      </c>
      <c r="B120" s="1">
        <v>2049</v>
      </c>
      <c r="C120" s="1">
        <v>215131.821</v>
      </c>
    </row>
    <row r="121" spans="1:3" x14ac:dyDescent="0.35">
      <c r="A121" s="1" t="s">
        <v>192</v>
      </c>
      <c r="B121" s="1">
        <v>2049</v>
      </c>
      <c r="C121" s="1">
        <v>847708.85499999998</v>
      </c>
    </row>
    <row r="122" spans="1:3" x14ac:dyDescent="0.35">
      <c r="A122" s="1" t="s">
        <v>339</v>
      </c>
      <c r="B122" s="1">
        <v>2050</v>
      </c>
      <c r="C122" s="1">
        <v>194188.55050000001</v>
      </c>
    </row>
    <row r="123" spans="1:3" x14ac:dyDescent="0.35">
      <c r="A123" s="1" t="s">
        <v>337</v>
      </c>
      <c r="B123" s="1">
        <v>2050</v>
      </c>
      <c r="C123" s="1">
        <v>2892942.5290000001</v>
      </c>
    </row>
    <row r="124" spans="1:3" x14ac:dyDescent="0.35">
      <c r="A124" s="1" t="s">
        <v>338</v>
      </c>
      <c r="B124" s="1">
        <v>2050</v>
      </c>
      <c r="C124" s="1">
        <v>220055.75599999999</v>
      </c>
    </row>
    <row r="125" spans="1:3" x14ac:dyDescent="0.35">
      <c r="A125" s="1" t="s">
        <v>192</v>
      </c>
      <c r="B125" s="1">
        <v>2050</v>
      </c>
      <c r="C125" s="1">
        <v>849019.72380000004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opLeftCell="A322" workbookViewId="0">
      <selection activeCell="D379" sqref="D379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H59" sqref="B59:H115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5">
      <c r="B2" s="29" t="s">
        <v>242</v>
      </c>
      <c r="C2" s="29"/>
      <c r="D2" s="29"/>
      <c r="E2" s="29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5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5">
      <c r="B59" s="5"/>
      <c r="C59" s="5"/>
      <c r="D59" s="5"/>
      <c r="E59" s="5"/>
      <c r="F59" s="5"/>
      <c r="G59" s="5"/>
      <c r="H59" s="5"/>
    </row>
    <row r="60" spans="1:18" x14ac:dyDescent="0.35">
      <c r="B60" s="5"/>
      <c r="C60" s="5"/>
      <c r="D60" s="5"/>
      <c r="E60" s="5"/>
      <c r="F60" s="5"/>
      <c r="G60" s="5"/>
      <c r="H60" s="5"/>
    </row>
    <row r="61" spans="1:18" x14ac:dyDescent="0.35">
      <c r="B61" s="5"/>
      <c r="C61" s="5"/>
      <c r="D61" s="5"/>
      <c r="E61" s="5"/>
      <c r="F61" s="5"/>
      <c r="G61" s="5"/>
      <c r="H61" s="5"/>
    </row>
    <row r="62" spans="1:18" x14ac:dyDescent="0.35">
      <c r="B62" s="5"/>
      <c r="C62" s="5"/>
      <c r="D62" s="5"/>
      <c r="E62" s="5"/>
      <c r="F62" s="5"/>
      <c r="G62" s="5"/>
      <c r="H62" s="5"/>
    </row>
    <row r="63" spans="1:18" x14ac:dyDescent="0.35">
      <c r="B63" s="5"/>
      <c r="C63" s="5"/>
      <c r="D63" s="5"/>
      <c r="E63" s="5"/>
      <c r="F63" s="5"/>
      <c r="G63" s="5"/>
      <c r="H63" s="5"/>
    </row>
    <row r="64" spans="1:18" x14ac:dyDescent="0.35">
      <c r="B64" s="5"/>
      <c r="C64" s="5"/>
      <c r="D64" s="5"/>
      <c r="E64" s="5"/>
      <c r="F64" s="5"/>
      <c r="G64" s="5"/>
      <c r="H64" s="5"/>
    </row>
    <row r="65" spans="2:8" x14ac:dyDescent="0.35">
      <c r="B65" s="5"/>
      <c r="C65" s="5"/>
      <c r="D65" s="5"/>
      <c r="E65" s="5"/>
      <c r="F65" s="5"/>
      <c r="G65" s="5"/>
      <c r="H65" s="5"/>
    </row>
    <row r="66" spans="2:8" x14ac:dyDescent="0.35">
      <c r="B66" s="5"/>
      <c r="C66" s="5"/>
      <c r="D66" s="5"/>
      <c r="E66" s="5"/>
      <c r="F66" s="5"/>
      <c r="G66" s="5"/>
      <c r="H66" s="5"/>
    </row>
    <row r="67" spans="2:8" x14ac:dyDescent="0.35">
      <c r="B67" s="5"/>
      <c r="C67" s="5"/>
      <c r="D67" s="5"/>
      <c r="E67" s="5"/>
      <c r="F67" s="5"/>
      <c r="G67" s="5"/>
      <c r="H67" s="5"/>
    </row>
    <row r="68" spans="2:8" x14ac:dyDescent="0.35">
      <c r="B68" s="5"/>
      <c r="C68" s="5"/>
      <c r="D68" s="5"/>
      <c r="E68" s="5"/>
      <c r="F68" s="5"/>
      <c r="G68" s="5"/>
      <c r="H68" s="5"/>
    </row>
    <row r="69" spans="2:8" x14ac:dyDescent="0.35">
      <c r="B69" s="5"/>
      <c r="C69" s="5"/>
      <c r="D69" s="5"/>
      <c r="E69" s="5"/>
      <c r="F69" s="5"/>
      <c r="G69" s="5"/>
      <c r="H69" s="5"/>
    </row>
    <row r="70" spans="2:8" x14ac:dyDescent="0.35">
      <c r="B70" s="5"/>
      <c r="C70" s="5"/>
      <c r="D70" s="5"/>
      <c r="E70" s="5"/>
      <c r="F70" s="5"/>
      <c r="G70" s="5"/>
      <c r="H70" s="5"/>
    </row>
    <row r="71" spans="2:8" x14ac:dyDescent="0.35">
      <c r="B71" s="5"/>
      <c r="C71" s="5"/>
      <c r="D71" s="5"/>
      <c r="E71" s="5"/>
      <c r="F71" s="5"/>
      <c r="G71" s="5"/>
      <c r="H71" s="5"/>
    </row>
    <row r="72" spans="2:8" x14ac:dyDescent="0.35">
      <c r="B72" s="5"/>
      <c r="C72" s="5"/>
      <c r="D72" s="5"/>
      <c r="E72" s="5"/>
      <c r="F72" s="5"/>
      <c r="G72" s="5"/>
      <c r="H72" s="5"/>
    </row>
    <row r="73" spans="2:8" x14ac:dyDescent="0.35">
      <c r="B73" s="5"/>
      <c r="C73" s="5"/>
      <c r="D73" s="5"/>
      <c r="E73" s="5"/>
      <c r="F73" s="5"/>
      <c r="G73" s="5"/>
      <c r="H73" s="5"/>
    </row>
    <row r="74" spans="2:8" x14ac:dyDescent="0.35">
      <c r="B74" s="5"/>
      <c r="C74" s="5"/>
      <c r="D74" s="5"/>
      <c r="E74" s="5"/>
      <c r="F74" s="5"/>
      <c r="G74" s="5"/>
      <c r="H74" s="5"/>
    </row>
    <row r="75" spans="2:8" x14ac:dyDescent="0.35">
      <c r="B75" s="5"/>
      <c r="C75" s="5"/>
      <c r="D75" s="5"/>
      <c r="E75" s="5"/>
      <c r="F75" s="5"/>
      <c r="G75" s="5"/>
      <c r="H75" s="5"/>
    </row>
    <row r="76" spans="2:8" x14ac:dyDescent="0.35">
      <c r="B76" s="5"/>
      <c r="C76" s="5"/>
      <c r="D76" s="5"/>
      <c r="E76" s="5"/>
      <c r="F76" s="5"/>
      <c r="G76" s="5"/>
      <c r="H76" s="5"/>
    </row>
    <row r="77" spans="2:8" x14ac:dyDescent="0.35">
      <c r="B77" s="5"/>
      <c r="C77" s="5"/>
      <c r="D77" s="5"/>
      <c r="E77" s="5"/>
      <c r="F77" s="5"/>
      <c r="G77" s="5"/>
      <c r="H77" s="5"/>
    </row>
    <row r="78" spans="2:8" x14ac:dyDescent="0.35">
      <c r="B78" s="5"/>
      <c r="C78" s="5"/>
      <c r="D78" s="5"/>
      <c r="E78" s="5"/>
      <c r="F78" s="5"/>
      <c r="G78" s="5"/>
      <c r="H78" s="5"/>
    </row>
    <row r="79" spans="2:8" x14ac:dyDescent="0.35">
      <c r="B79" s="5"/>
      <c r="C79" s="5"/>
      <c r="D79" s="5"/>
      <c r="E79" s="5"/>
      <c r="F79" s="5"/>
      <c r="G79" s="5"/>
      <c r="H79" s="5"/>
    </row>
    <row r="80" spans="2:8" x14ac:dyDescent="0.35">
      <c r="B80" s="5"/>
      <c r="C80" s="5"/>
      <c r="D80" s="5"/>
      <c r="E80" s="5"/>
      <c r="F80" s="5"/>
      <c r="G80" s="5"/>
      <c r="H80" s="5"/>
    </row>
    <row r="81" spans="2:8" x14ac:dyDescent="0.35">
      <c r="B81" s="5"/>
      <c r="C81" s="5"/>
      <c r="D81" s="5"/>
      <c r="E81" s="5"/>
      <c r="F81" s="5"/>
      <c r="G81" s="5"/>
      <c r="H81" s="5"/>
    </row>
    <row r="82" spans="2:8" x14ac:dyDescent="0.35">
      <c r="B82" s="5"/>
      <c r="C82" s="5"/>
      <c r="D82" s="5"/>
      <c r="E82" s="5"/>
      <c r="F82" s="5"/>
      <c r="G82" s="5"/>
      <c r="H82" s="5"/>
    </row>
    <row r="83" spans="2:8" x14ac:dyDescent="0.35">
      <c r="B83" s="5"/>
      <c r="C83" s="5"/>
      <c r="D83" s="5"/>
      <c r="E83" s="5"/>
      <c r="F83" s="5"/>
      <c r="G83" s="5"/>
      <c r="H83" s="5"/>
    </row>
    <row r="84" spans="2:8" x14ac:dyDescent="0.35">
      <c r="B84" s="5"/>
      <c r="C84" s="5"/>
      <c r="D84" s="5"/>
      <c r="E84" s="5"/>
      <c r="F84" s="5"/>
      <c r="G84" s="5"/>
      <c r="H84" s="5"/>
    </row>
    <row r="85" spans="2:8" x14ac:dyDescent="0.35">
      <c r="B85" s="5"/>
      <c r="C85" s="5"/>
      <c r="D85" s="5"/>
      <c r="E85" s="5"/>
      <c r="F85" s="5"/>
      <c r="G85" s="5"/>
      <c r="H85" s="5"/>
    </row>
    <row r="86" spans="2:8" x14ac:dyDescent="0.35">
      <c r="B86" s="5"/>
      <c r="C86" s="5"/>
      <c r="D86" s="5"/>
      <c r="E86" s="5"/>
      <c r="F86" s="5"/>
      <c r="G86" s="5"/>
      <c r="H86" s="5"/>
    </row>
    <row r="87" spans="2:8" x14ac:dyDescent="0.35">
      <c r="B87" s="5"/>
      <c r="C87" s="5"/>
      <c r="D87" s="5"/>
      <c r="E87" s="5"/>
      <c r="F87" s="5"/>
      <c r="G87" s="5"/>
      <c r="H87" s="5"/>
    </row>
    <row r="88" spans="2:8" x14ac:dyDescent="0.35">
      <c r="B88" s="5"/>
      <c r="C88" s="5"/>
      <c r="D88" s="5"/>
      <c r="E88" s="5"/>
      <c r="F88" s="5"/>
      <c r="G88" s="5"/>
      <c r="H88" s="5"/>
    </row>
    <row r="89" spans="2:8" x14ac:dyDescent="0.35">
      <c r="B89" s="5"/>
      <c r="C89" s="5"/>
      <c r="D89" s="5"/>
      <c r="E89" s="5"/>
      <c r="F89" s="5"/>
      <c r="G89" s="5"/>
      <c r="H89" s="5"/>
    </row>
    <row r="90" spans="2:8" x14ac:dyDescent="0.35">
      <c r="B90" s="5"/>
      <c r="C90" s="5"/>
      <c r="D90" s="5"/>
      <c r="E90" s="5"/>
      <c r="F90" s="5"/>
      <c r="G90" s="5"/>
      <c r="H90" s="5"/>
    </row>
    <row r="91" spans="2:8" x14ac:dyDescent="0.35">
      <c r="B91" s="5"/>
      <c r="C91" s="5"/>
      <c r="D91" s="5"/>
      <c r="E91" s="5"/>
      <c r="F91" s="5"/>
      <c r="G91" s="5"/>
      <c r="H91" s="5"/>
    </row>
    <row r="92" spans="2:8" x14ac:dyDescent="0.35">
      <c r="B92" s="5"/>
      <c r="C92" s="5"/>
      <c r="D92" s="5"/>
      <c r="E92" s="5"/>
      <c r="F92" s="5"/>
      <c r="G92" s="5"/>
      <c r="H92" s="5"/>
    </row>
    <row r="93" spans="2:8" x14ac:dyDescent="0.35">
      <c r="B93" s="5"/>
      <c r="C93" s="5"/>
      <c r="D93" s="5"/>
      <c r="E93" s="5"/>
      <c r="F93" s="5"/>
      <c r="G93" s="5"/>
      <c r="H93" s="5"/>
    </row>
    <row r="94" spans="2:8" x14ac:dyDescent="0.35">
      <c r="B94" s="5"/>
      <c r="C94" s="5"/>
      <c r="D94" s="5"/>
      <c r="E94" s="5"/>
      <c r="F94" s="5"/>
      <c r="G94" s="5"/>
      <c r="H94" s="5"/>
    </row>
    <row r="95" spans="2:8" x14ac:dyDescent="0.35">
      <c r="B95" s="5"/>
      <c r="C95" s="5"/>
      <c r="D95" s="5"/>
      <c r="E95" s="5"/>
      <c r="F95" s="5"/>
      <c r="G95" s="5"/>
      <c r="H95" s="5"/>
    </row>
    <row r="96" spans="2:8" x14ac:dyDescent="0.35">
      <c r="B96" s="5"/>
      <c r="C96" s="5"/>
      <c r="D96" s="5"/>
      <c r="E96" s="5"/>
      <c r="F96" s="5"/>
      <c r="G96" s="5"/>
      <c r="H96" s="5"/>
    </row>
    <row r="97" spans="2:8" x14ac:dyDescent="0.35">
      <c r="B97" s="5"/>
      <c r="C97" s="5"/>
      <c r="D97" s="5"/>
      <c r="E97" s="5"/>
      <c r="F97" s="5"/>
      <c r="G97" s="5"/>
      <c r="H97" s="5"/>
    </row>
    <row r="98" spans="2:8" x14ac:dyDescent="0.35">
      <c r="B98" s="5"/>
      <c r="C98" s="5"/>
      <c r="D98" s="5"/>
      <c r="E98" s="5"/>
      <c r="F98" s="5"/>
      <c r="G98" s="5"/>
      <c r="H98" s="5"/>
    </row>
    <row r="99" spans="2:8" x14ac:dyDescent="0.35">
      <c r="B99" s="5"/>
      <c r="C99" s="5"/>
      <c r="D99" s="5"/>
      <c r="E99" s="5"/>
      <c r="F99" s="5"/>
      <c r="G99" s="5"/>
      <c r="H99" s="5"/>
    </row>
    <row r="100" spans="2:8" x14ac:dyDescent="0.35">
      <c r="B100" s="5"/>
      <c r="C100" s="5"/>
      <c r="D100" s="5"/>
      <c r="E100" s="5"/>
      <c r="F100" s="5"/>
      <c r="G100" s="5"/>
      <c r="H100" s="5"/>
    </row>
    <row r="101" spans="2:8" x14ac:dyDescent="0.35">
      <c r="B101" s="5"/>
      <c r="C101" s="5"/>
      <c r="D101" s="5"/>
      <c r="E101" s="5"/>
      <c r="F101" s="5"/>
      <c r="G101" s="5"/>
      <c r="H101" s="5"/>
    </row>
    <row r="102" spans="2:8" x14ac:dyDescent="0.35">
      <c r="B102" s="5"/>
      <c r="C102" s="5"/>
      <c r="D102" s="5"/>
      <c r="E102" s="5"/>
      <c r="F102" s="5"/>
      <c r="G102" s="5"/>
      <c r="H102" s="5"/>
    </row>
    <row r="103" spans="2:8" x14ac:dyDescent="0.35">
      <c r="B103" s="5"/>
      <c r="C103" s="5"/>
      <c r="D103" s="5"/>
      <c r="E103" s="5"/>
      <c r="F103" s="5"/>
      <c r="G103" s="5"/>
      <c r="H103" s="5"/>
    </row>
    <row r="104" spans="2:8" x14ac:dyDescent="0.35">
      <c r="B104" s="5"/>
      <c r="C104" s="5"/>
      <c r="D104" s="5"/>
      <c r="E104" s="5"/>
      <c r="F104" s="5"/>
      <c r="G104" s="5"/>
      <c r="H104" s="5"/>
    </row>
    <row r="105" spans="2:8" x14ac:dyDescent="0.35">
      <c r="B105" s="5"/>
      <c r="C105" s="5"/>
      <c r="D105" s="5"/>
      <c r="E105" s="5"/>
      <c r="F105" s="5"/>
      <c r="G105" s="5"/>
      <c r="H105" s="5"/>
    </row>
    <row r="106" spans="2:8" x14ac:dyDescent="0.35">
      <c r="B106" s="5"/>
      <c r="C106" s="5"/>
      <c r="D106" s="5"/>
      <c r="E106" s="5"/>
      <c r="F106" s="5"/>
      <c r="G106" s="5"/>
      <c r="H106" s="5"/>
    </row>
    <row r="107" spans="2:8" x14ac:dyDescent="0.35">
      <c r="B107" s="5"/>
      <c r="C107" s="5"/>
      <c r="D107" s="5"/>
      <c r="E107" s="5"/>
      <c r="F107" s="5"/>
      <c r="G107" s="5"/>
      <c r="H107" s="5"/>
    </row>
    <row r="108" spans="2:8" x14ac:dyDescent="0.35">
      <c r="B108" s="5"/>
      <c r="C108" s="5"/>
      <c r="D108" s="5"/>
      <c r="E108" s="5"/>
      <c r="F108" s="5"/>
      <c r="G108" s="5"/>
      <c r="H108" s="5"/>
    </row>
    <row r="109" spans="2:8" x14ac:dyDescent="0.35">
      <c r="B109" s="5"/>
      <c r="C109" s="5"/>
      <c r="D109" s="5"/>
      <c r="E109" s="5"/>
      <c r="F109" s="5"/>
      <c r="G109" s="5"/>
      <c r="H109" s="5"/>
    </row>
    <row r="110" spans="2:8" x14ac:dyDescent="0.35">
      <c r="B110" s="5"/>
      <c r="C110" s="5"/>
      <c r="D110" s="5"/>
      <c r="E110" s="5"/>
      <c r="F110" s="5"/>
      <c r="G110" s="5"/>
      <c r="H110" s="5"/>
    </row>
    <row r="111" spans="2:8" x14ac:dyDescent="0.35">
      <c r="B111" s="5"/>
      <c r="C111" s="5"/>
      <c r="D111" s="5"/>
      <c r="E111" s="5"/>
      <c r="F111" s="5"/>
      <c r="G111" s="5"/>
      <c r="H111" s="5"/>
    </row>
    <row r="112" spans="2:8" x14ac:dyDescent="0.35">
      <c r="B112" s="5"/>
      <c r="C112" s="5"/>
      <c r="D112" s="5"/>
      <c r="E112" s="5"/>
      <c r="F112" s="5"/>
      <c r="G112" s="5"/>
      <c r="H112" s="5"/>
    </row>
    <row r="113" spans="2:8" x14ac:dyDescent="0.35">
      <c r="B113" s="5"/>
      <c r="C113" s="5"/>
      <c r="D113" s="5"/>
      <c r="E113" s="5"/>
      <c r="F113" s="5"/>
      <c r="G113" s="5"/>
      <c r="H113" s="5"/>
    </row>
    <row r="114" spans="2:8" x14ac:dyDescent="0.35">
      <c r="B114" s="5"/>
      <c r="C114" s="5"/>
      <c r="D114" s="5"/>
      <c r="E114" s="5"/>
      <c r="F114" s="5"/>
      <c r="G114" s="5"/>
      <c r="H114" s="5"/>
    </row>
    <row r="115" spans="2:8" x14ac:dyDescent="0.35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workbookViewId="0">
      <selection activeCell="D53" sqref="D53"/>
    </sheetView>
  </sheetViews>
  <sheetFormatPr defaultRowHeight="14.5" x14ac:dyDescent="0.35"/>
  <cols>
    <col min="2" max="2" width="18.453125" customWidth="1"/>
    <col min="3" max="3" width="17.7265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5">
      <c r="A2" t="s">
        <v>4</v>
      </c>
      <c r="B2">
        <v>2021</v>
      </c>
      <c r="C2" s="14">
        <v>925</v>
      </c>
      <c r="D2">
        <v>419.57259999999997</v>
      </c>
    </row>
    <row r="3" spans="1:5" x14ac:dyDescent="0.35">
      <c r="A3" t="s">
        <v>3</v>
      </c>
      <c r="B3">
        <v>2021</v>
      </c>
      <c r="C3" s="14">
        <v>754.5</v>
      </c>
      <c r="D3">
        <v>342.235164</v>
      </c>
    </row>
    <row r="4" spans="1:5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4">
        <v>727.6</v>
      </c>
      <c r="D5">
        <v>330.03353920000001</v>
      </c>
    </row>
    <row r="6" spans="1:5" x14ac:dyDescent="0.35">
      <c r="A6" t="s">
        <v>7</v>
      </c>
      <c r="B6">
        <v>2021</v>
      </c>
      <c r="C6" s="14">
        <v>480.5</v>
      </c>
      <c r="D6">
        <v>217.95095600000002</v>
      </c>
    </row>
    <row r="7" spans="1:5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4">
        <v>518.1</v>
      </c>
      <c r="D8">
        <v>235.00601520000001</v>
      </c>
    </row>
    <row r="9" spans="1:5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239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5">
      <c r="A53" t="s">
        <v>333</v>
      </c>
      <c r="B53" s="14">
        <v>2021</v>
      </c>
      <c r="C53" s="27">
        <v>852.3</v>
      </c>
      <c r="D53" s="14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A7" workbookViewId="0">
      <selection activeCell="H2" sqref="H2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5.36328125" customWidth="1"/>
    <col min="5" max="5" width="27.6328125" customWidth="1"/>
    <col min="6" max="6" width="20.08984375" customWidth="1"/>
    <col min="7" max="7" width="15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5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19">
        <f>SUMIF($C$2:$C$194,$C195,H$2:H$194)</f>
        <v>2471604408</v>
      </c>
    </row>
    <row r="196" spans="1:8" x14ac:dyDescent="0.35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f t="shared" ref="H196:H200" si="1">SUMIF($C$2:$C$194,$C196,H$2:H$194)</f>
        <v>1254850087</v>
      </c>
    </row>
    <row r="197" spans="1:8" x14ac:dyDescent="0.35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19">
        <f t="shared" si="1"/>
        <v>159162025</v>
      </c>
    </row>
    <row r="198" spans="1:8" x14ac:dyDescent="0.35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f t="shared" si="1"/>
        <v>124469090</v>
      </c>
    </row>
    <row r="199" spans="1:8" x14ac:dyDescent="0.35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9">
        <f t="shared" si="1"/>
        <v>93373230</v>
      </c>
    </row>
    <row r="200" spans="1:8" x14ac:dyDescent="0.35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f t="shared" si="1"/>
        <v>123717004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239</v>
      </c>
      <c r="B992">
        <v>2021</v>
      </c>
      <c r="C992">
        <v>117734</v>
      </c>
    </row>
    <row r="993" spans="1:3" x14ac:dyDescent="0.35">
      <c r="A993" t="s">
        <v>239</v>
      </c>
      <c r="B993">
        <v>2022</v>
      </c>
      <c r="C993">
        <v>118965.94291047599</v>
      </c>
    </row>
    <row r="994" spans="1:3" x14ac:dyDescent="0.35">
      <c r="A994" t="s">
        <v>239</v>
      </c>
      <c r="B994">
        <v>2023</v>
      </c>
      <c r="C994">
        <v>120197.88582095198</v>
      </c>
    </row>
    <row r="995" spans="1:3" x14ac:dyDescent="0.35">
      <c r="A995" t="s">
        <v>239</v>
      </c>
      <c r="B995">
        <v>2024</v>
      </c>
      <c r="C995">
        <v>121429.82873142799</v>
      </c>
    </row>
    <row r="996" spans="1:3" x14ac:dyDescent="0.35">
      <c r="A996" t="s">
        <v>239</v>
      </c>
      <c r="B996">
        <v>2025</v>
      </c>
      <c r="C996">
        <v>122661.77164190395</v>
      </c>
    </row>
    <row r="997" spans="1:3" x14ac:dyDescent="0.35">
      <c r="A997" t="s">
        <v>239</v>
      </c>
      <c r="B997">
        <v>2026</v>
      </c>
      <c r="C997">
        <v>123893.71455237994</v>
      </c>
    </row>
    <row r="998" spans="1:3" x14ac:dyDescent="0.35">
      <c r="A998" t="s">
        <v>239</v>
      </c>
      <c r="B998">
        <v>2027</v>
      </c>
      <c r="C998">
        <v>125125.65746285593</v>
      </c>
    </row>
    <row r="999" spans="1:3" x14ac:dyDescent="0.35">
      <c r="A999" t="s">
        <v>239</v>
      </c>
      <c r="B999">
        <v>2028</v>
      </c>
      <c r="C999">
        <v>126357.60037333192</v>
      </c>
    </row>
    <row r="1000" spans="1:3" x14ac:dyDescent="0.35">
      <c r="A1000" t="s">
        <v>239</v>
      </c>
      <c r="B1000">
        <v>2029</v>
      </c>
      <c r="C1000">
        <v>127589.54328380793</v>
      </c>
    </row>
    <row r="1001" spans="1:3" x14ac:dyDescent="0.35">
      <c r="A1001" t="s">
        <v>239</v>
      </c>
      <c r="B1001">
        <v>2030</v>
      </c>
      <c r="C1001">
        <v>128821.48619428392</v>
      </c>
    </row>
    <row r="1002" spans="1:3" x14ac:dyDescent="0.35">
      <c r="A1002" t="s">
        <v>239</v>
      </c>
      <c r="B1002">
        <v>2031</v>
      </c>
      <c r="C1002">
        <v>130053.42910475978</v>
      </c>
    </row>
    <row r="1003" spans="1:3" x14ac:dyDescent="0.35">
      <c r="A1003" t="s">
        <v>239</v>
      </c>
      <c r="B1003">
        <v>2032</v>
      </c>
      <c r="C1003">
        <v>131150.86294994285</v>
      </c>
    </row>
    <row r="1004" spans="1:3" x14ac:dyDescent="0.35">
      <c r="A1004" t="s">
        <v>239</v>
      </c>
      <c r="B1004">
        <v>2033</v>
      </c>
      <c r="C1004">
        <v>132248.29679512593</v>
      </c>
    </row>
    <row r="1005" spans="1:3" x14ac:dyDescent="0.35">
      <c r="A1005" t="s">
        <v>239</v>
      </c>
      <c r="B1005">
        <v>2034</v>
      </c>
      <c r="C1005">
        <v>133345.73064030899</v>
      </c>
    </row>
    <row r="1006" spans="1:3" x14ac:dyDescent="0.35">
      <c r="A1006" t="s">
        <v>239</v>
      </c>
      <c r="B1006">
        <v>2035</v>
      </c>
      <c r="C1006">
        <v>134443.16448549205</v>
      </c>
    </row>
    <row r="1007" spans="1:3" x14ac:dyDescent="0.35">
      <c r="A1007" t="s">
        <v>239</v>
      </c>
      <c r="B1007">
        <v>2036</v>
      </c>
      <c r="C1007">
        <v>135540.5983306751</v>
      </c>
    </row>
    <row r="1008" spans="1:3" x14ac:dyDescent="0.35">
      <c r="A1008" t="s">
        <v>239</v>
      </c>
      <c r="B1008">
        <v>2037</v>
      </c>
      <c r="C1008">
        <v>136638.03217585818</v>
      </c>
    </row>
    <row r="1009" spans="1:3" x14ac:dyDescent="0.35">
      <c r="A1009" t="s">
        <v>239</v>
      </c>
      <c r="B1009">
        <v>2038</v>
      </c>
      <c r="C1009">
        <v>137735.46602104124</v>
      </c>
    </row>
    <row r="1010" spans="1:3" x14ac:dyDescent="0.35">
      <c r="A1010" t="s">
        <v>239</v>
      </c>
      <c r="B1010">
        <v>2039</v>
      </c>
      <c r="C1010">
        <v>138832.89986622432</v>
      </c>
    </row>
    <row r="1011" spans="1:3" x14ac:dyDescent="0.35">
      <c r="A1011" t="s">
        <v>239</v>
      </c>
      <c r="B1011">
        <v>2040</v>
      </c>
      <c r="C1011">
        <v>139930.33371140735</v>
      </c>
    </row>
    <row r="1012" spans="1:3" x14ac:dyDescent="0.35">
      <c r="A1012" t="s">
        <v>239</v>
      </c>
      <c r="B1012">
        <v>2041</v>
      </c>
      <c r="C1012">
        <v>141027.76755659049</v>
      </c>
    </row>
    <row r="1013" spans="1:3" x14ac:dyDescent="0.35">
      <c r="A1013" t="s">
        <v>239</v>
      </c>
      <c r="B1013">
        <v>2042</v>
      </c>
      <c r="C1013">
        <v>142217.80649898967</v>
      </c>
    </row>
    <row r="1014" spans="1:3" x14ac:dyDescent="0.35">
      <c r="A1014" t="s">
        <v>239</v>
      </c>
      <c r="B1014">
        <v>2043</v>
      </c>
      <c r="C1014">
        <v>143407.84544138884</v>
      </c>
    </row>
    <row r="1015" spans="1:3" x14ac:dyDescent="0.35">
      <c r="A1015" t="s">
        <v>239</v>
      </c>
      <c r="B1015">
        <v>2044</v>
      </c>
      <c r="C1015">
        <v>144597.88438378801</v>
      </c>
    </row>
    <row r="1016" spans="1:3" x14ac:dyDescent="0.35">
      <c r="A1016" t="s">
        <v>239</v>
      </c>
      <c r="B1016">
        <v>2045</v>
      </c>
      <c r="C1016">
        <v>145787.92332618716</v>
      </c>
    </row>
    <row r="1017" spans="1:3" x14ac:dyDescent="0.35">
      <c r="A1017" t="s">
        <v>239</v>
      </c>
      <c r="B1017">
        <v>2046</v>
      </c>
      <c r="C1017">
        <v>146977.9622685863</v>
      </c>
    </row>
    <row r="1018" spans="1:3" x14ac:dyDescent="0.35">
      <c r="A1018" t="s">
        <v>239</v>
      </c>
      <c r="B1018">
        <v>2047</v>
      </c>
      <c r="C1018">
        <v>148168.00121098547</v>
      </c>
    </row>
    <row r="1019" spans="1:3" x14ac:dyDescent="0.35">
      <c r="A1019" t="s">
        <v>239</v>
      </c>
      <c r="B1019">
        <v>2048</v>
      </c>
      <c r="C1019">
        <v>149358.04015338465</v>
      </c>
    </row>
    <row r="1020" spans="1:3" x14ac:dyDescent="0.35">
      <c r="A1020" t="s">
        <v>239</v>
      </c>
      <c r="B1020">
        <v>2049</v>
      </c>
      <c r="C1020">
        <v>150548.07909578382</v>
      </c>
    </row>
    <row r="1021" spans="1:3" x14ac:dyDescent="0.35">
      <c r="A1021" t="s">
        <v>239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240</v>
      </c>
      <c r="B1202">
        <v>2021</v>
      </c>
      <c r="C1202">
        <v>57492</v>
      </c>
    </row>
    <row r="1203" spans="1:3" x14ac:dyDescent="0.35">
      <c r="A1203" t="s">
        <v>240</v>
      </c>
      <c r="B1203">
        <v>2022</v>
      </c>
      <c r="C1203">
        <v>58165.863726137752</v>
      </c>
    </row>
    <row r="1204" spans="1:3" x14ac:dyDescent="0.35">
      <c r="A1204" t="s">
        <v>240</v>
      </c>
      <c r="B1204">
        <v>2023</v>
      </c>
      <c r="C1204">
        <v>58839.727452275503</v>
      </c>
    </row>
    <row r="1205" spans="1:3" x14ac:dyDescent="0.35">
      <c r="A1205" t="s">
        <v>240</v>
      </c>
      <c r="B1205">
        <v>2024</v>
      </c>
      <c r="C1205">
        <v>59513.591178413255</v>
      </c>
    </row>
    <row r="1206" spans="1:3" x14ac:dyDescent="0.35">
      <c r="A1206" t="s">
        <v>240</v>
      </c>
      <c r="B1206">
        <v>2025</v>
      </c>
      <c r="C1206">
        <v>60187.454904551014</v>
      </c>
    </row>
    <row r="1207" spans="1:3" x14ac:dyDescent="0.35">
      <c r="A1207" t="s">
        <v>240</v>
      </c>
      <c r="B1207">
        <v>2026</v>
      </c>
      <c r="C1207">
        <v>60861.318630688766</v>
      </c>
    </row>
    <row r="1208" spans="1:3" x14ac:dyDescent="0.35">
      <c r="A1208" t="s">
        <v>240</v>
      </c>
      <c r="B1208">
        <v>2027</v>
      </c>
      <c r="C1208">
        <v>61535.182356826517</v>
      </c>
    </row>
    <row r="1209" spans="1:3" x14ac:dyDescent="0.35">
      <c r="A1209" t="s">
        <v>240</v>
      </c>
      <c r="B1209">
        <v>2028</v>
      </c>
      <c r="C1209">
        <v>62209.046082964269</v>
      </c>
    </row>
    <row r="1210" spans="1:3" x14ac:dyDescent="0.35">
      <c r="A1210" t="s">
        <v>240</v>
      </c>
      <c r="B1210">
        <v>2029</v>
      </c>
      <c r="C1210">
        <v>62882.909809102021</v>
      </c>
    </row>
    <row r="1211" spans="1:3" x14ac:dyDescent="0.35">
      <c r="A1211" t="s">
        <v>240</v>
      </c>
      <c r="B1211">
        <v>2030</v>
      </c>
      <c r="C1211">
        <v>63556.773535239772</v>
      </c>
    </row>
    <row r="1212" spans="1:3" x14ac:dyDescent="0.35">
      <c r="A1212" t="s">
        <v>240</v>
      </c>
      <c r="B1212">
        <v>2031</v>
      </c>
      <c r="C1212">
        <v>64230.637261377538</v>
      </c>
    </row>
    <row r="1213" spans="1:3" x14ac:dyDescent="0.35">
      <c r="A1213" t="s">
        <v>240</v>
      </c>
      <c r="B1213">
        <v>2032</v>
      </c>
      <c r="C1213">
        <v>64851.907869280156</v>
      </c>
    </row>
    <row r="1214" spans="1:3" x14ac:dyDescent="0.35">
      <c r="A1214" t="s">
        <v>240</v>
      </c>
      <c r="B1214">
        <v>2033</v>
      </c>
      <c r="C1214">
        <v>65473.178477182781</v>
      </c>
    </row>
    <row r="1215" spans="1:3" x14ac:dyDescent="0.35">
      <c r="A1215" t="s">
        <v>240</v>
      </c>
      <c r="B1215">
        <v>2034</v>
      </c>
      <c r="C1215">
        <v>66094.449085085391</v>
      </c>
    </row>
    <row r="1216" spans="1:3" x14ac:dyDescent="0.35">
      <c r="A1216" t="s">
        <v>240</v>
      </c>
      <c r="B1216">
        <v>2035</v>
      </c>
      <c r="C1216">
        <v>66715.719692988016</v>
      </c>
    </row>
    <row r="1217" spans="1:3" x14ac:dyDescent="0.35">
      <c r="A1217" t="s">
        <v>240</v>
      </c>
      <c r="B1217">
        <v>2036</v>
      </c>
      <c r="C1217">
        <v>67336.990300890626</v>
      </c>
    </row>
    <row r="1218" spans="1:3" x14ac:dyDescent="0.35">
      <c r="A1218" t="s">
        <v>240</v>
      </c>
      <c r="B1218">
        <v>2037</v>
      </c>
      <c r="C1218">
        <v>67958.260908793236</v>
      </c>
    </row>
    <row r="1219" spans="1:3" x14ac:dyDescent="0.35">
      <c r="A1219" t="s">
        <v>240</v>
      </c>
      <c r="B1219">
        <v>2038</v>
      </c>
      <c r="C1219">
        <v>68579.531516695846</v>
      </c>
    </row>
    <row r="1220" spans="1:3" x14ac:dyDescent="0.35">
      <c r="A1220" t="s">
        <v>240</v>
      </c>
      <c r="B1220">
        <v>2039</v>
      </c>
      <c r="C1220">
        <v>69200.802124598471</v>
      </c>
    </row>
    <row r="1221" spans="1:3" x14ac:dyDescent="0.35">
      <c r="A1221" t="s">
        <v>240</v>
      </c>
      <c r="B1221">
        <v>2040</v>
      </c>
      <c r="C1221">
        <v>69822.072732501096</v>
      </c>
    </row>
    <row r="1222" spans="1:3" x14ac:dyDescent="0.35">
      <c r="A1222" t="s">
        <v>240</v>
      </c>
      <c r="B1222">
        <v>2041</v>
      </c>
      <c r="C1222">
        <v>70443.343340403691</v>
      </c>
    </row>
    <row r="1223" spans="1:3" x14ac:dyDescent="0.35">
      <c r="A1223" t="s">
        <v>240</v>
      </c>
      <c r="B1223">
        <v>2042</v>
      </c>
      <c r="C1223">
        <v>71124.706325511448</v>
      </c>
    </row>
    <row r="1224" spans="1:3" x14ac:dyDescent="0.35">
      <c r="A1224" t="s">
        <v>240</v>
      </c>
      <c r="B1224">
        <v>2043</v>
      </c>
      <c r="C1224">
        <v>71806.069310619205</v>
      </c>
    </row>
    <row r="1225" spans="1:3" x14ac:dyDescent="0.35">
      <c r="A1225" t="s">
        <v>240</v>
      </c>
      <c r="B1225">
        <v>2044</v>
      </c>
      <c r="C1225">
        <v>72487.432295726961</v>
      </c>
    </row>
    <row r="1226" spans="1:3" x14ac:dyDescent="0.35">
      <c r="A1226" t="s">
        <v>240</v>
      </c>
      <c r="B1226">
        <v>2045</v>
      </c>
      <c r="C1226">
        <v>73168.795280834689</v>
      </c>
    </row>
    <row r="1227" spans="1:3" x14ac:dyDescent="0.35">
      <c r="A1227" t="s">
        <v>240</v>
      </c>
      <c r="B1227">
        <v>2046</v>
      </c>
      <c r="C1227">
        <v>73850.158265942446</v>
      </c>
    </row>
    <row r="1228" spans="1:3" x14ac:dyDescent="0.35">
      <c r="A1228" t="s">
        <v>240</v>
      </c>
      <c r="B1228">
        <v>2047</v>
      </c>
      <c r="C1228">
        <v>74531.521251050202</v>
      </c>
    </row>
    <row r="1229" spans="1:3" x14ac:dyDescent="0.35">
      <c r="A1229" t="s">
        <v>240</v>
      </c>
      <c r="B1229">
        <v>2048</v>
      </c>
      <c r="C1229">
        <v>75212.884236157945</v>
      </c>
    </row>
    <row r="1230" spans="1:3" x14ac:dyDescent="0.35">
      <c r="A1230" t="s">
        <v>240</v>
      </c>
      <c r="B1230">
        <v>2049</v>
      </c>
      <c r="C1230">
        <v>75894.247221265701</v>
      </c>
    </row>
    <row r="1231" spans="1:3" x14ac:dyDescent="0.35">
      <c r="A1231" t="s">
        <v>240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333</v>
      </c>
      <c r="B1534">
        <v>2023</v>
      </c>
      <c r="C1534">
        <f t="shared" si="0"/>
        <v>3188648.7815619218</v>
      </c>
    </row>
    <row r="1535" spans="1:3" x14ac:dyDescent="0.35">
      <c r="A1535" t="s">
        <v>333</v>
      </c>
      <c r="B1535">
        <v>2024</v>
      </c>
      <c r="C1535">
        <f t="shared" si="0"/>
        <v>3212928.1723428858</v>
      </c>
    </row>
    <row r="1536" spans="1:3" x14ac:dyDescent="0.35">
      <c r="A1536" t="s">
        <v>333</v>
      </c>
      <c r="B1536">
        <v>2025</v>
      </c>
      <c r="C1536">
        <f t="shared" si="0"/>
        <v>3237207.5631238469</v>
      </c>
    </row>
    <row r="1537" spans="1:3" x14ac:dyDescent="0.35">
      <c r="A1537" t="s">
        <v>333</v>
      </c>
      <c r="B1537">
        <v>2026</v>
      </c>
      <c r="C1537">
        <f t="shared" si="0"/>
        <v>3261486.9539048085</v>
      </c>
    </row>
    <row r="1538" spans="1:3" x14ac:dyDescent="0.35">
      <c r="A1538" t="s">
        <v>333</v>
      </c>
      <c r="B1538">
        <v>2027</v>
      </c>
      <c r="C1538">
        <f t="shared" si="0"/>
        <v>3285766.3446857701</v>
      </c>
    </row>
    <row r="1539" spans="1:3" x14ac:dyDescent="0.35">
      <c r="A1539" t="s">
        <v>333</v>
      </c>
      <c r="B1539">
        <v>2028</v>
      </c>
      <c r="C1539">
        <f t="shared" si="0"/>
        <v>3310045.7354667317</v>
      </c>
    </row>
    <row r="1540" spans="1:3" x14ac:dyDescent="0.35">
      <c r="A1540" t="s">
        <v>333</v>
      </c>
      <c r="B1540">
        <v>2029</v>
      </c>
      <c r="C1540">
        <f t="shared" si="0"/>
        <v>3334325.1262476938</v>
      </c>
    </row>
    <row r="1541" spans="1:3" x14ac:dyDescent="0.35">
      <c r="A1541" t="s">
        <v>333</v>
      </c>
      <c r="B1541">
        <v>2030</v>
      </c>
      <c r="C1541">
        <f t="shared" si="0"/>
        <v>3358604.5170286549</v>
      </c>
    </row>
    <row r="1542" spans="1:3" x14ac:dyDescent="0.35">
      <c r="A1542" t="s">
        <v>333</v>
      </c>
      <c r="B1542">
        <v>2031</v>
      </c>
      <c r="C1542">
        <f t="shared" si="0"/>
        <v>3382883.9078096175</v>
      </c>
    </row>
    <row r="1543" spans="1:3" x14ac:dyDescent="0.35">
      <c r="A1543" t="s">
        <v>333</v>
      </c>
      <c r="B1543">
        <v>2032</v>
      </c>
      <c r="C1543">
        <f t="shared" si="0"/>
        <v>3403381.9481576658</v>
      </c>
    </row>
    <row r="1544" spans="1:3" x14ac:dyDescent="0.35">
      <c r="A1544" t="s">
        <v>333</v>
      </c>
      <c r="B1544">
        <v>2033</v>
      </c>
      <c r="C1544">
        <f t="shared" si="0"/>
        <v>3423879.9885057146</v>
      </c>
    </row>
    <row r="1545" spans="1:3" x14ac:dyDescent="0.35">
      <c r="A1545" t="s">
        <v>333</v>
      </c>
      <c r="B1545">
        <v>2034</v>
      </c>
      <c r="C1545">
        <f t="shared" si="0"/>
        <v>3444378.0288537624</v>
      </c>
    </row>
    <row r="1546" spans="1:3" x14ac:dyDescent="0.35">
      <c r="A1546" t="s">
        <v>333</v>
      </c>
      <c r="B1546">
        <v>2035</v>
      </c>
      <c r="C1546">
        <f t="shared" si="0"/>
        <v>3464876.0692018117</v>
      </c>
    </row>
    <row r="1547" spans="1:3" x14ac:dyDescent="0.35">
      <c r="A1547" t="s">
        <v>333</v>
      </c>
      <c r="B1547">
        <v>2036</v>
      </c>
      <c r="C1547">
        <f t="shared" si="0"/>
        <v>3485374.1095498591</v>
      </c>
    </row>
    <row r="1548" spans="1:3" x14ac:dyDescent="0.35">
      <c r="A1548" t="s">
        <v>333</v>
      </c>
      <c r="B1548">
        <v>2037</v>
      </c>
      <c r="C1548">
        <f t="shared" si="0"/>
        <v>3505872.1498979069</v>
      </c>
    </row>
    <row r="1549" spans="1:3" x14ac:dyDescent="0.35">
      <c r="A1549" t="s">
        <v>333</v>
      </c>
      <c r="B1549">
        <v>2038</v>
      </c>
      <c r="C1549">
        <f t="shared" si="0"/>
        <v>3526370.1902459553</v>
      </c>
    </row>
    <row r="1550" spans="1:3" x14ac:dyDescent="0.35">
      <c r="A1550" t="s">
        <v>333</v>
      </c>
      <c r="B1550">
        <v>2039</v>
      </c>
      <c r="C1550">
        <f t="shared" si="0"/>
        <v>3546868.2305940031</v>
      </c>
    </row>
    <row r="1551" spans="1:3" x14ac:dyDescent="0.35">
      <c r="A1551" t="s">
        <v>333</v>
      </c>
      <c r="B1551">
        <v>2040</v>
      </c>
      <c r="C1551">
        <f t="shared" si="0"/>
        <v>3567366.2709420524</v>
      </c>
    </row>
    <row r="1552" spans="1:3" x14ac:dyDescent="0.35">
      <c r="A1552" t="s">
        <v>333</v>
      </c>
      <c r="B1552">
        <v>2041</v>
      </c>
      <c r="C1552">
        <f t="shared" si="0"/>
        <v>3587864.3112901007</v>
      </c>
    </row>
    <row r="1553" spans="1:3" x14ac:dyDescent="0.35">
      <c r="A1553" t="s">
        <v>333</v>
      </c>
      <c r="B1553">
        <v>2042</v>
      </c>
      <c r="C1553">
        <f t="shared" si="0"/>
        <v>3610702.773454316</v>
      </c>
    </row>
    <row r="1554" spans="1:3" x14ac:dyDescent="0.35">
      <c r="A1554" t="s">
        <v>333</v>
      </c>
      <c r="B1554">
        <v>2043</v>
      </c>
      <c r="C1554">
        <f t="shared" si="0"/>
        <v>3633541.2356185312</v>
      </c>
    </row>
    <row r="1555" spans="1:3" x14ac:dyDescent="0.35">
      <c r="A1555" t="s">
        <v>333</v>
      </c>
      <c r="B1555">
        <v>2044</v>
      </c>
      <c r="C1555">
        <f t="shared" si="0"/>
        <v>3656379.697782747</v>
      </c>
    </row>
    <row r="1556" spans="1:3" x14ac:dyDescent="0.35">
      <c r="A1556" t="s">
        <v>333</v>
      </c>
      <c r="B1556">
        <v>2045</v>
      </c>
      <c r="C1556">
        <f t="shared" si="0"/>
        <v>3679218.1599469618</v>
      </c>
    </row>
    <row r="1557" spans="1:3" x14ac:dyDescent="0.35">
      <c r="A1557" t="s">
        <v>333</v>
      </c>
      <c r="B1557">
        <v>2046</v>
      </c>
      <c r="C1557">
        <f t="shared" si="0"/>
        <v>3702056.6221111771</v>
      </c>
    </row>
    <row r="1558" spans="1:3" x14ac:dyDescent="0.35">
      <c r="A1558" t="s">
        <v>333</v>
      </c>
      <c r="B1558">
        <v>2047</v>
      </c>
      <c r="C1558">
        <f t="shared" si="0"/>
        <v>3724895.0842753923</v>
      </c>
    </row>
    <row r="1559" spans="1:3" x14ac:dyDescent="0.35">
      <c r="A1559" t="s">
        <v>333</v>
      </c>
      <c r="B1559">
        <v>2048</v>
      </c>
      <c r="C1559">
        <f t="shared" si="0"/>
        <v>3747733.5464396081</v>
      </c>
    </row>
    <row r="1560" spans="1:3" x14ac:dyDescent="0.35">
      <c r="A1560" t="s">
        <v>333</v>
      </c>
      <c r="B1560">
        <v>2049</v>
      </c>
      <c r="C1560">
        <f t="shared" si="0"/>
        <v>3770572.0086038234</v>
      </c>
    </row>
    <row r="1561" spans="1:3" x14ac:dyDescent="0.35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workbookViewId="0"/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5">
      <c r="A2" s="2" t="s">
        <v>93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93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93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93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93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93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93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93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93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93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93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93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93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93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93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93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93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93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93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93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93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93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93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93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93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93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93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93</v>
      </c>
      <c r="B29" s="2" t="s">
        <v>239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93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93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93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93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93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93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93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93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93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93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93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93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93</v>
      </c>
      <c r="B42" s="2" t="s">
        <v>240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93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93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93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93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93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93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93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93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93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93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  <row r="53" spans="1:10" x14ac:dyDescent="0.35">
      <c r="A53" s="2" t="s">
        <v>282</v>
      </c>
      <c r="B53" s="2" t="s">
        <v>333</v>
      </c>
      <c r="C53" s="3">
        <f>AVERAGE(C2:C52)</f>
        <v>3.5496078431372533</v>
      </c>
      <c r="D53" s="3">
        <f t="shared" ref="D53:G53" si="0">AVERAGE(D2:D52)</f>
        <v>3.9098039215686269</v>
      </c>
      <c r="E53" s="3">
        <f t="shared" si="0"/>
        <v>4.2462745098039223</v>
      </c>
      <c r="F53" s="3">
        <f t="shared" si="0"/>
        <v>4.0600000000000005</v>
      </c>
      <c r="G53" s="3">
        <f t="shared" si="0"/>
        <v>11.676078431372549</v>
      </c>
      <c r="H53" s="2">
        <f>SUM(H2:H52)</f>
        <v>1145861</v>
      </c>
      <c r="I53" s="2">
        <f t="shared" ref="I53:J53" si="1">SUM(I2:I52)</f>
        <v>4108302836</v>
      </c>
      <c r="J53" s="2">
        <f t="shared" si="1"/>
        <v>3805874253</v>
      </c>
    </row>
    <row r="55" spans="1:10" x14ac:dyDescent="0.35">
      <c r="C55" s="5"/>
      <c r="D55" s="5"/>
      <c r="E55" s="5"/>
      <c r="F55" s="5"/>
      <c r="G55" s="5"/>
      <c r="H55" s="5"/>
      <c r="I55" s="5"/>
      <c r="J55" s="5"/>
    </row>
    <row r="56" spans="1:10" x14ac:dyDescent="0.35">
      <c r="C56" s="5"/>
      <c r="D56" s="5"/>
      <c r="E56" s="5"/>
      <c r="F56" s="5"/>
      <c r="G56" s="5"/>
      <c r="H56" s="5"/>
      <c r="I56" s="5"/>
      <c r="J56" s="5"/>
    </row>
    <row r="57" spans="1:10" x14ac:dyDescent="0.35">
      <c r="C57" s="5"/>
      <c r="D57" s="5"/>
      <c r="E57" s="5"/>
      <c r="F57" s="5"/>
      <c r="G57" s="5"/>
      <c r="H57" s="5"/>
      <c r="I57" s="5"/>
      <c r="J57" s="5"/>
    </row>
    <row r="58" spans="1:10" x14ac:dyDescent="0.35">
      <c r="C58" s="5"/>
      <c r="D58" s="5"/>
      <c r="E58" s="5"/>
      <c r="F58" s="5"/>
      <c r="G58" s="5"/>
      <c r="H58" s="5"/>
      <c r="I58" s="5"/>
      <c r="J58" s="5"/>
    </row>
    <row r="59" spans="1:10" x14ac:dyDescent="0.35">
      <c r="C59" s="5"/>
      <c r="D59" s="5"/>
      <c r="E59" s="5"/>
      <c r="F59" s="5"/>
      <c r="G59" s="5"/>
      <c r="H59" s="5"/>
      <c r="I59" s="5"/>
      <c r="J59" s="5"/>
    </row>
    <row r="60" spans="1:10" x14ac:dyDescent="0.35">
      <c r="C60" s="5"/>
      <c r="D60" s="5"/>
      <c r="E60" s="5"/>
      <c r="F60" s="5"/>
      <c r="G60" s="5"/>
      <c r="H60" s="5"/>
      <c r="I60" s="5"/>
      <c r="J60" s="5"/>
    </row>
    <row r="61" spans="1:10" x14ac:dyDescent="0.35">
      <c r="C61" s="5"/>
      <c r="D61" s="5"/>
      <c r="E61" s="5"/>
      <c r="F61" s="5"/>
      <c r="G61" s="5"/>
      <c r="H61" s="5"/>
      <c r="I61" s="5"/>
      <c r="J61" s="5"/>
    </row>
    <row r="62" spans="1:10" x14ac:dyDescent="0.35">
      <c r="C62" s="5"/>
      <c r="D62" s="5"/>
      <c r="E62" s="5"/>
      <c r="F62" s="5"/>
      <c r="G62" s="5"/>
      <c r="H62" s="5"/>
      <c r="I62" s="5"/>
      <c r="J62" s="5"/>
    </row>
    <row r="63" spans="1:10" x14ac:dyDescent="0.35">
      <c r="C63" s="5"/>
      <c r="D63" s="5"/>
      <c r="E63" s="5"/>
      <c r="F63" s="5"/>
      <c r="G63" s="5"/>
      <c r="H63" s="5"/>
      <c r="I63" s="5"/>
      <c r="J63" s="5"/>
    </row>
    <row r="64" spans="1:10" x14ac:dyDescent="0.35">
      <c r="C64" s="5"/>
      <c r="D64" s="5"/>
      <c r="E64" s="5"/>
      <c r="F64" s="5"/>
      <c r="G64" s="5"/>
      <c r="H64" s="5"/>
      <c r="I64" s="5"/>
      <c r="J64" s="5"/>
    </row>
    <row r="65" spans="3:10" x14ac:dyDescent="0.35">
      <c r="C65" s="5"/>
      <c r="D65" s="5"/>
      <c r="E65" s="5"/>
      <c r="F65" s="5"/>
      <c r="G65" s="5"/>
      <c r="H65" s="5"/>
      <c r="I65" s="5"/>
      <c r="J65" s="5"/>
    </row>
    <row r="66" spans="3:10" x14ac:dyDescent="0.35">
      <c r="C66" s="5"/>
      <c r="D66" s="5"/>
      <c r="E66" s="5"/>
      <c r="F66" s="5"/>
      <c r="G66" s="5"/>
      <c r="H66" s="5"/>
      <c r="I66" s="5"/>
      <c r="J66" s="5"/>
    </row>
    <row r="67" spans="3:10" x14ac:dyDescent="0.35">
      <c r="C67" s="5"/>
      <c r="D67" s="5"/>
      <c r="E67" s="5"/>
      <c r="F67" s="5"/>
      <c r="G67" s="5"/>
      <c r="H67" s="5"/>
      <c r="I67" s="5"/>
      <c r="J67" s="5"/>
    </row>
    <row r="68" spans="3:10" x14ac:dyDescent="0.35">
      <c r="C68" s="5"/>
      <c r="D68" s="5"/>
      <c r="E68" s="5"/>
      <c r="F68" s="5"/>
      <c r="G68" s="5"/>
      <c r="H68" s="5"/>
      <c r="I68" s="5"/>
      <c r="J68" s="5"/>
    </row>
    <row r="69" spans="3:10" x14ac:dyDescent="0.35">
      <c r="C69" s="5"/>
      <c r="D69" s="5"/>
      <c r="E69" s="5"/>
      <c r="F69" s="5"/>
      <c r="G69" s="5"/>
      <c r="H69" s="5"/>
      <c r="I69" s="5"/>
      <c r="J69" s="5"/>
    </row>
    <row r="70" spans="3:10" x14ac:dyDescent="0.35">
      <c r="C70" s="5"/>
      <c r="D70" s="5"/>
      <c r="E70" s="5"/>
      <c r="F70" s="5"/>
      <c r="G70" s="5"/>
      <c r="H70" s="5"/>
      <c r="I70" s="5"/>
      <c r="J70" s="5"/>
    </row>
    <row r="71" spans="3:10" x14ac:dyDescent="0.35">
      <c r="C71" s="5"/>
      <c r="D71" s="5"/>
      <c r="E71" s="5"/>
      <c r="F71" s="5"/>
      <c r="G71" s="5"/>
      <c r="H71" s="5"/>
      <c r="I71" s="5"/>
      <c r="J71" s="5"/>
    </row>
    <row r="72" spans="3:10" x14ac:dyDescent="0.35">
      <c r="C72" s="5"/>
      <c r="D72" s="5"/>
      <c r="E72" s="5"/>
      <c r="F72" s="5"/>
      <c r="G72" s="5"/>
      <c r="H72" s="5"/>
      <c r="I72" s="5"/>
      <c r="J72" s="5"/>
    </row>
    <row r="73" spans="3:10" x14ac:dyDescent="0.35">
      <c r="C73" s="5"/>
      <c r="D73" s="5"/>
      <c r="E73" s="5"/>
      <c r="F73" s="5"/>
      <c r="G73" s="5"/>
      <c r="H73" s="5"/>
      <c r="I73" s="5"/>
      <c r="J73" s="5"/>
    </row>
    <row r="74" spans="3:10" x14ac:dyDescent="0.35">
      <c r="C74" s="5"/>
      <c r="D74" s="5"/>
      <c r="E74" s="5"/>
      <c r="F74" s="5"/>
      <c r="G74" s="5"/>
      <c r="H74" s="5"/>
      <c r="I74" s="5"/>
      <c r="J74" s="5"/>
    </row>
    <row r="75" spans="3:10" x14ac:dyDescent="0.35">
      <c r="C75" s="5"/>
      <c r="D75" s="5"/>
      <c r="E75" s="5"/>
      <c r="F75" s="5"/>
      <c r="G75" s="5"/>
      <c r="H75" s="5"/>
      <c r="I75" s="5"/>
      <c r="J75" s="5"/>
    </row>
    <row r="76" spans="3:10" x14ac:dyDescent="0.35">
      <c r="C76" s="5"/>
      <c r="D76" s="5"/>
      <c r="E76" s="5"/>
      <c r="F76" s="5"/>
      <c r="G76" s="5"/>
      <c r="H76" s="5"/>
      <c r="I76" s="5"/>
      <c r="J76" s="5"/>
    </row>
    <row r="77" spans="3:10" x14ac:dyDescent="0.35">
      <c r="C77" s="5"/>
      <c r="D77" s="5"/>
      <c r="E77" s="5"/>
      <c r="F77" s="5"/>
      <c r="G77" s="5"/>
      <c r="H77" s="5"/>
      <c r="I77" s="5"/>
      <c r="J77" s="5"/>
    </row>
    <row r="78" spans="3:10" x14ac:dyDescent="0.35">
      <c r="C78" s="5"/>
      <c r="D78" s="5"/>
      <c r="E78" s="5"/>
      <c r="F78" s="5"/>
      <c r="G78" s="5"/>
      <c r="H78" s="5"/>
      <c r="I78" s="5"/>
      <c r="J78" s="5"/>
    </row>
    <row r="79" spans="3:10" x14ac:dyDescent="0.35">
      <c r="C79" s="5"/>
      <c r="D79" s="5"/>
      <c r="E79" s="5"/>
      <c r="F79" s="5"/>
      <c r="G79" s="5"/>
      <c r="H79" s="5"/>
      <c r="I79" s="5"/>
      <c r="J79" s="5"/>
    </row>
    <row r="80" spans="3:10" x14ac:dyDescent="0.35">
      <c r="C80" s="5"/>
      <c r="D80" s="5"/>
      <c r="E80" s="5"/>
      <c r="F80" s="5"/>
      <c r="G80" s="5"/>
      <c r="H80" s="5"/>
      <c r="I80" s="5"/>
      <c r="J80" s="5"/>
    </row>
    <row r="81" spans="3:10" x14ac:dyDescent="0.35">
      <c r="C81" s="5"/>
      <c r="D81" s="5"/>
      <c r="E81" s="5"/>
      <c r="F81" s="5"/>
      <c r="G81" s="5"/>
      <c r="H81" s="5"/>
      <c r="I81" s="5"/>
      <c r="J81" s="5"/>
    </row>
    <row r="82" spans="3:10" x14ac:dyDescent="0.35">
      <c r="C82" s="5"/>
      <c r="D82" s="5"/>
      <c r="E82" s="5"/>
      <c r="F82" s="5"/>
      <c r="G82" s="5"/>
      <c r="H82" s="5"/>
      <c r="I82" s="5"/>
      <c r="J82" s="5"/>
    </row>
    <row r="83" spans="3:10" x14ac:dyDescent="0.35">
      <c r="C83" s="5"/>
      <c r="D83" s="5"/>
      <c r="E83" s="5"/>
      <c r="F83" s="5"/>
      <c r="G83" s="5"/>
      <c r="H83" s="5"/>
      <c r="I83" s="5"/>
      <c r="J83" s="5"/>
    </row>
    <row r="84" spans="3:10" x14ac:dyDescent="0.35">
      <c r="C84" s="5"/>
      <c r="D84" s="5"/>
      <c r="E84" s="5"/>
      <c r="F84" s="5"/>
      <c r="G84" s="5"/>
      <c r="H84" s="5"/>
      <c r="I84" s="5"/>
      <c r="J84" s="5"/>
    </row>
    <row r="85" spans="3:10" x14ac:dyDescent="0.35">
      <c r="C85" s="5"/>
      <c r="D85" s="5"/>
      <c r="E85" s="5"/>
      <c r="F85" s="5"/>
      <c r="G85" s="5"/>
      <c r="H85" s="5"/>
      <c r="I85" s="5"/>
      <c r="J85" s="5"/>
    </row>
    <row r="86" spans="3:10" x14ac:dyDescent="0.35">
      <c r="C86" s="5"/>
      <c r="D86" s="5"/>
      <c r="E86" s="5"/>
      <c r="F86" s="5"/>
      <c r="G86" s="5"/>
      <c r="H86" s="5"/>
      <c r="I86" s="5"/>
      <c r="J86" s="5"/>
    </row>
    <row r="87" spans="3:10" x14ac:dyDescent="0.35">
      <c r="C87" s="5"/>
      <c r="D87" s="5"/>
      <c r="E87" s="5"/>
      <c r="F87" s="5"/>
      <c r="G87" s="5"/>
      <c r="H87" s="5"/>
      <c r="I87" s="5"/>
      <c r="J87" s="5"/>
    </row>
    <row r="88" spans="3:10" x14ac:dyDescent="0.35">
      <c r="C88" s="5"/>
      <c r="D88" s="5"/>
      <c r="E88" s="5"/>
      <c r="F88" s="5"/>
      <c r="G88" s="5"/>
      <c r="H88" s="5"/>
      <c r="I88" s="5"/>
      <c r="J88" s="5"/>
    </row>
    <row r="89" spans="3:10" x14ac:dyDescent="0.35">
      <c r="C89" s="5"/>
      <c r="D89" s="5"/>
      <c r="E89" s="5"/>
      <c r="F89" s="5"/>
      <c r="G89" s="5"/>
      <c r="H89" s="5"/>
      <c r="I89" s="5"/>
      <c r="J89" s="5"/>
    </row>
    <row r="90" spans="3:10" x14ac:dyDescent="0.35">
      <c r="C90" s="5"/>
      <c r="D90" s="5"/>
      <c r="E90" s="5"/>
      <c r="F90" s="5"/>
      <c r="G90" s="5"/>
      <c r="H90" s="5"/>
      <c r="I90" s="5"/>
      <c r="J90" s="5"/>
    </row>
    <row r="91" spans="3:10" x14ac:dyDescent="0.35">
      <c r="C91" s="5"/>
      <c r="D91" s="5"/>
      <c r="E91" s="5"/>
      <c r="F91" s="5"/>
      <c r="G91" s="5"/>
      <c r="H91" s="5"/>
      <c r="I91" s="5"/>
      <c r="J91" s="5"/>
    </row>
    <row r="92" spans="3:10" x14ac:dyDescent="0.35">
      <c r="C92" s="5"/>
      <c r="D92" s="5"/>
      <c r="E92" s="5"/>
      <c r="F92" s="5"/>
      <c r="G92" s="5"/>
      <c r="H92" s="5"/>
      <c r="I92" s="5"/>
      <c r="J92" s="5"/>
    </row>
    <row r="93" spans="3:10" x14ac:dyDescent="0.35">
      <c r="C93" s="5"/>
      <c r="D93" s="5"/>
      <c r="E93" s="5"/>
      <c r="F93" s="5"/>
      <c r="G93" s="5"/>
      <c r="H93" s="5"/>
      <c r="I93" s="5"/>
      <c r="J93" s="5"/>
    </row>
    <row r="94" spans="3:10" x14ac:dyDescent="0.35">
      <c r="C94" s="5"/>
      <c r="D94" s="5"/>
      <c r="E94" s="5"/>
      <c r="F94" s="5"/>
      <c r="G94" s="5"/>
      <c r="H94" s="5"/>
      <c r="I94" s="5"/>
      <c r="J94" s="5"/>
    </row>
    <row r="95" spans="3:10" x14ac:dyDescent="0.35">
      <c r="C95" s="5"/>
      <c r="D95" s="5"/>
      <c r="E95" s="5"/>
      <c r="F95" s="5"/>
      <c r="G95" s="5"/>
      <c r="H95" s="5"/>
      <c r="I95" s="5"/>
      <c r="J95" s="5"/>
    </row>
    <row r="96" spans="3:10" x14ac:dyDescent="0.35">
      <c r="C96" s="5"/>
      <c r="D96" s="5"/>
      <c r="E96" s="5"/>
      <c r="F96" s="5"/>
      <c r="G96" s="5"/>
      <c r="H96" s="5"/>
      <c r="I96" s="5"/>
      <c r="J96" s="5"/>
    </row>
    <row r="97" spans="3:10" x14ac:dyDescent="0.35">
      <c r="C97" s="5"/>
      <c r="D97" s="5"/>
      <c r="E97" s="5"/>
      <c r="F97" s="5"/>
      <c r="G97" s="5"/>
      <c r="H97" s="5"/>
      <c r="I97" s="5"/>
      <c r="J97" s="5"/>
    </row>
    <row r="98" spans="3:10" x14ac:dyDescent="0.35">
      <c r="C98" s="5"/>
      <c r="D98" s="5"/>
      <c r="E98" s="5"/>
      <c r="F98" s="5"/>
      <c r="G98" s="5"/>
      <c r="H98" s="5"/>
      <c r="I98" s="5"/>
      <c r="J98" s="5"/>
    </row>
    <row r="99" spans="3:10" x14ac:dyDescent="0.35">
      <c r="C99" s="5"/>
      <c r="D99" s="5"/>
      <c r="E99" s="5"/>
      <c r="F99" s="5"/>
      <c r="G99" s="5"/>
      <c r="H99" s="5"/>
      <c r="I99" s="5"/>
      <c r="J99" s="5"/>
    </row>
    <row r="100" spans="3:10" x14ac:dyDescent="0.35">
      <c r="C100" s="5"/>
      <c r="D100" s="5"/>
      <c r="E100" s="5"/>
      <c r="F100" s="5"/>
      <c r="G100" s="5"/>
      <c r="H100" s="5"/>
      <c r="I100" s="5"/>
      <c r="J100" s="5"/>
    </row>
    <row r="101" spans="3:10" x14ac:dyDescent="0.35">
      <c r="C101" s="5"/>
      <c r="D101" s="5"/>
      <c r="E101" s="5"/>
      <c r="F101" s="5"/>
      <c r="G101" s="5"/>
      <c r="H101" s="5"/>
      <c r="I101" s="5"/>
      <c r="J101" s="5"/>
    </row>
    <row r="102" spans="3:10" x14ac:dyDescent="0.35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5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5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5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5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5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  <col min="16" max="16" width="11.1796875" bestFit="1" customWidth="1"/>
  </cols>
  <sheetData>
    <row r="1" spans="1:16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5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5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5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5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334</v>
      </c>
      <c r="C1" t="s">
        <v>335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B3" sqref="B3"/>
    </sheetView>
  </sheetViews>
  <sheetFormatPr defaultRowHeight="14.5" x14ac:dyDescent="0.35"/>
  <cols>
    <col min="1" max="1" width="19.453125" bestFit="1" customWidth="1"/>
    <col min="2" max="2" width="16.1796875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5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5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290</v>
      </c>
      <c r="C1" t="s">
        <v>291</v>
      </c>
    </row>
    <row r="2" spans="1:3" x14ac:dyDescent="0.35">
      <c r="A2" t="s">
        <v>172</v>
      </c>
      <c r="B2" t="s">
        <v>272</v>
      </c>
      <c r="C2" s="20">
        <v>7.94</v>
      </c>
    </row>
    <row r="3" spans="1:3" x14ac:dyDescent="0.35">
      <c r="A3" t="s">
        <v>155</v>
      </c>
      <c r="B3" t="s">
        <v>272</v>
      </c>
      <c r="C3">
        <v>9.4</v>
      </c>
    </row>
    <row r="4" spans="1:3" x14ac:dyDescent="0.35">
      <c r="A4" t="s">
        <v>66</v>
      </c>
      <c r="B4" t="s">
        <v>272</v>
      </c>
      <c r="C4">
        <v>5.4399999999999997E-2</v>
      </c>
    </row>
    <row r="5" spans="1:3" x14ac:dyDescent="0.35">
      <c r="A5" t="s">
        <v>292</v>
      </c>
      <c r="B5" t="s">
        <v>272</v>
      </c>
      <c r="C5">
        <v>5.72</v>
      </c>
    </row>
    <row r="6" spans="1:3" x14ac:dyDescent="0.35">
      <c r="A6" t="s">
        <v>172</v>
      </c>
      <c r="B6" t="s">
        <v>324</v>
      </c>
      <c r="C6">
        <v>0.24</v>
      </c>
    </row>
    <row r="7" spans="1:3" x14ac:dyDescent="0.35">
      <c r="A7" t="s">
        <v>155</v>
      </c>
      <c r="B7" t="s">
        <v>324</v>
      </c>
      <c r="C7">
        <v>0.21</v>
      </c>
    </row>
    <row r="8" spans="1:3" x14ac:dyDescent="0.35">
      <c r="A8" t="s">
        <v>66</v>
      </c>
      <c r="B8" t="s">
        <v>324</v>
      </c>
      <c r="C8">
        <v>0.28999999999999998</v>
      </c>
    </row>
    <row r="9" spans="1:3" x14ac:dyDescent="0.35">
      <c r="A9" t="s">
        <v>59</v>
      </c>
      <c r="B9" t="s">
        <v>324</v>
      </c>
      <c r="C9">
        <v>0</v>
      </c>
    </row>
    <row r="10" spans="1:3" x14ac:dyDescent="0.35">
      <c r="A10" t="s">
        <v>70</v>
      </c>
      <c r="B10" t="s">
        <v>324</v>
      </c>
      <c r="C10">
        <v>0</v>
      </c>
    </row>
    <row r="11" spans="1:3" x14ac:dyDescent="0.35">
      <c r="A11" t="s">
        <v>293</v>
      </c>
      <c r="B11" t="s">
        <v>324</v>
      </c>
      <c r="C11">
        <v>0</v>
      </c>
    </row>
    <row r="12" spans="1:3" x14ac:dyDescent="0.35">
      <c r="A12" t="s">
        <v>293</v>
      </c>
      <c r="B12" t="s">
        <v>294</v>
      </c>
      <c r="C12">
        <v>33.977738722905684</v>
      </c>
    </row>
    <row r="13" spans="1:3" x14ac:dyDescent="0.35">
      <c r="A13" t="s">
        <v>155</v>
      </c>
      <c r="B13" t="s">
        <v>294</v>
      </c>
      <c r="C13">
        <v>0.89285714285714279</v>
      </c>
    </row>
    <row r="14" spans="1:3" x14ac:dyDescent="0.35">
      <c r="A14" t="s">
        <v>292</v>
      </c>
      <c r="B14" t="s">
        <v>294</v>
      </c>
      <c r="C14">
        <v>1.3513513513513513</v>
      </c>
    </row>
    <row r="15" spans="1:3" x14ac:dyDescent="0.35">
      <c r="A15" t="s">
        <v>66</v>
      </c>
      <c r="B15" t="s">
        <v>294</v>
      </c>
      <c r="C15">
        <v>123.57</v>
      </c>
    </row>
    <row r="16" spans="1:3" x14ac:dyDescent="0.35">
      <c r="A16" t="s">
        <v>293</v>
      </c>
      <c r="B16" t="s">
        <v>295</v>
      </c>
      <c r="C16">
        <v>3414</v>
      </c>
    </row>
    <row r="17" spans="1:3" x14ac:dyDescent="0.35">
      <c r="A17" t="s">
        <v>172</v>
      </c>
      <c r="B17" t="s">
        <v>295</v>
      </c>
      <c r="C17">
        <v>116000</v>
      </c>
    </row>
    <row r="18" spans="1:3" x14ac:dyDescent="0.35">
      <c r="A18" t="s">
        <v>155</v>
      </c>
      <c r="B18" t="s">
        <v>295</v>
      </c>
      <c r="C18">
        <v>128500</v>
      </c>
    </row>
    <row r="19" spans="1:3" x14ac:dyDescent="0.35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abSelected="1" topLeftCell="A26" workbookViewId="0">
      <selection activeCell="C40" sqref="C40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x14ac:dyDescent="0.35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x14ac:dyDescent="0.35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x14ac:dyDescent="0.35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x14ac:dyDescent="0.35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x14ac:dyDescent="0.35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x14ac:dyDescent="0.35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5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x14ac:dyDescent="0.35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x14ac:dyDescent="0.35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x14ac:dyDescent="0.35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x14ac:dyDescent="0.35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x14ac:dyDescent="0.35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x14ac:dyDescent="0.35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x14ac:dyDescent="0.35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x14ac:dyDescent="0.35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x14ac:dyDescent="0.35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x14ac:dyDescent="0.35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5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x14ac:dyDescent="0.35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x14ac:dyDescent="0.35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x14ac:dyDescent="0.35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x14ac:dyDescent="0.35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x14ac:dyDescent="0.35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x14ac:dyDescent="0.35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5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x14ac:dyDescent="0.35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x14ac:dyDescent="0.35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x14ac:dyDescent="0.35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x14ac:dyDescent="0.35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x14ac:dyDescent="0.35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x14ac:dyDescent="0.35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x14ac:dyDescent="0.35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5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x14ac:dyDescent="0.35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x14ac:dyDescent="0.35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x14ac:dyDescent="0.35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x14ac:dyDescent="0.35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x14ac:dyDescent="0.35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5" x14ac:dyDescent="0.35"/>
  <cols>
    <col min="1" max="1" width="17.54296875" bestFit="1" customWidth="1"/>
    <col min="3" max="3" width="17.906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5">
      <c r="A2" t="s">
        <v>339</v>
      </c>
      <c r="B2">
        <v>2021</v>
      </c>
      <c r="C2" s="28">
        <v>1.7833599999999999E-4</v>
      </c>
      <c r="D2" s="28">
        <v>1.7833599999999999E-4</v>
      </c>
      <c r="E2" s="28">
        <v>1.7833599999999999E-4</v>
      </c>
      <c r="F2" s="28">
        <v>1.7833599999999999E-4</v>
      </c>
      <c r="G2" s="28">
        <v>1.7833599999999999E-4</v>
      </c>
    </row>
    <row r="3" spans="1:7" x14ac:dyDescent="0.35">
      <c r="A3" t="s">
        <v>339</v>
      </c>
      <c r="B3">
        <v>2022</v>
      </c>
      <c r="C3" s="28">
        <v>3.3397599999999999E-4</v>
      </c>
      <c r="D3" s="28">
        <v>3.3397599999999999E-4</v>
      </c>
      <c r="E3" s="28">
        <v>3.3397599999999999E-4</v>
      </c>
      <c r="F3" s="28">
        <v>3.3397599999999999E-4</v>
      </c>
      <c r="G3" s="28">
        <v>3.3397599999999999E-4</v>
      </c>
    </row>
    <row r="4" spans="1:7" x14ac:dyDescent="0.35">
      <c r="A4" t="s">
        <v>339</v>
      </c>
      <c r="B4">
        <v>2023</v>
      </c>
      <c r="C4" s="28">
        <v>4.9029200000000003E-4</v>
      </c>
      <c r="D4" s="28">
        <v>4.9029200000000003E-4</v>
      </c>
      <c r="E4" s="28">
        <v>4.9029200000000003E-4</v>
      </c>
      <c r="F4" s="28">
        <v>4.9029200000000003E-4</v>
      </c>
      <c r="G4" s="28">
        <v>4.9029200000000003E-4</v>
      </c>
    </row>
    <row r="5" spans="1:7" x14ac:dyDescent="0.35">
      <c r="A5" t="s">
        <v>339</v>
      </c>
      <c r="B5">
        <v>2024</v>
      </c>
      <c r="C5" s="28">
        <v>6.4432900000000002E-4</v>
      </c>
      <c r="D5" s="28">
        <v>6.4432900000000002E-4</v>
      </c>
      <c r="E5" s="28">
        <v>6.4432900000000002E-4</v>
      </c>
      <c r="F5" s="28">
        <v>2.8879320000000002E-3</v>
      </c>
      <c r="G5" s="28">
        <v>2.8879320000000002E-3</v>
      </c>
    </row>
    <row r="6" spans="1:7" x14ac:dyDescent="0.35">
      <c r="A6" t="s">
        <v>339</v>
      </c>
      <c r="B6">
        <v>2025</v>
      </c>
      <c r="C6" s="28">
        <v>7.96417E-4</v>
      </c>
      <c r="D6" s="28">
        <v>7.96417E-4</v>
      </c>
      <c r="E6" s="28">
        <v>7.96417E-4</v>
      </c>
      <c r="F6" s="28">
        <v>6.3800389999999997E-3</v>
      </c>
      <c r="G6" s="28">
        <v>6.3800389999999997E-3</v>
      </c>
    </row>
    <row r="7" spans="1:7" x14ac:dyDescent="0.35">
      <c r="A7" t="s">
        <v>339</v>
      </c>
      <c r="B7">
        <v>2026</v>
      </c>
      <c r="C7" s="28">
        <v>9.4634700000000005E-4</v>
      </c>
      <c r="D7" s="28">
        <v>9.4634700000000005E-4</v>
      </c>
      <c r="E7" s="28">
        <v>9.4634700000000005E-4</v>
      </c>
      <c r="F7" s="28">
        <v>1.0761928E-2</v>
      </c>
      <c r="G7" s="28">
        <v>1.0761928E-2</v>
      </c>
    </row>
    <row r="8" spans="1:7" x14ac:dyDescent="0.35">
      <c r="A8" t="s">
        <v>339</v>
      </c>
      <c r="B8">
        <v>2027</v>
      </c>
      <c r="C8" s="28">
        <v>1.0917800000000001E-3</v>
      </c>
      <c r="D8" s="28">
        <v>1.0917800000000001E-3</v>
      </c>
      <c r="E8" s="28">
        <v>1.0917800000000001E-3</v>
      </c>
      <c r="F8" s="28">
        <v>1.6864591000000002E-2</v>
      </c>
      <c r="G8" s="28">
        <v>1.6864591000000002E-2</v>
      </c>
    </row>
    <row r="9" spans="1:7" x14ac:dyDescent="0.35">
      <c r="A9" t="s">
        <v>339</v>
      </c>
      <c r="B9">
        <v>2028</v>
      </c>
      <c r="C9" s="28">
        <v>1.234576E-3</v>
      </c>
      <c r="D9" s="28">
        <v>1.234576E-3</v>
      </c>
      <c r="E9" s="28">
        <v>1.234576E-3</v>
      </c>
      <c r="F9" s="28">
        <v>2.5187912999999999E-2</v>
      </c>
      <c r="G9" s="28">
        <v>2.5187912999999999E-2</v>
      </c>
    </row>
    <row r="10" spans="1:7" x14ac:dyDescent="0.35">
      <c r="A10" t="s">
        <v>339</v>
      </c>
      <c r="B10">
        <v>2029</v>
      </c>
      <c r="C10" s="28">
        <v>1.377184E-3</v>
      </c>
      <c r="D10" s="28">
        <v>1.377184E-3</v>
      </c>
      <c r="E10" s="28">
        <v>1.377184E-3</v>
      </c>
      <c r="F10" s="28">
        <v>3.5627709E-2</v>
      </c>
      <c r="G10" s="28">
        <v>3.5627709E-2</v>
      </c>
    </row>
    <row r="11" spans="1:7" x14ac:dyDescent="0.35">
      <c r="A11" t="s">
        <v>339</v>
      </c>
      <c r="B11">
        <v>2030</v>
      </c>
      <c r="C11" s="28">
        <v>1.5188409999999999E-3</v>
      </c>
      <c r="D11" s="28">
        <v>1.5188409999999999E-3</v>
      </c>
      <c r="E11" s="28">
        <v>1.5188409999999999E-3</v>
      </c>
      <c r="F11" s="28">
        <v>4.7980977000000001E-2</v>
      </c>
      <c r="G11" s="28">
        <v>4.7980977000000001E-2</v>
      </c>
    </row>
    <row r="12" spans="1:7" x14ac:dyDescent="0.35">
      <c r="A12" t="s">
        <v>339</v>
      </c>
      <c r="B12">
        <v>2031</v>
      </c>
      <c r="C12" s="28">
        <v>1.6599869999999999E-3</v>
      </c>
      <c r="D12" s="28">
        <v>1.6599869999999999E-3</v>
      </c>
      <c r="E12" s="28">
        <v>1.6599869999999999E-3</v>
      </c>
      <c r="F12" s="28">
        <v>6.1868593999999999E-2</v>
      </c>
      <c r="G12" s="28">
        <v>6.1868593999999999E-2</v>
      </c>
    </row>
    <row r="13" spans="1:7" x14ac:dyDescent="0.35">
      <c r="A13" t="s">
        <v>339</v>
      </c>
      <c r="B13">
        <v>2032</v>
      </c>
      <c r="C13" s="28">
        <v>1.8000679999999999E-3</v>
      </c>
      <c r="D13" s="28">
        <v>1.8000679999999999E-3</v>
      </c>
      <c r="E13" s="28">
        <v>1.8000679999999999E-3</v>
      </c>
      <c r="F13" s="28">
        <v>7.6526794999999995E-2</v>
      </c>
      <c r="G13" s="28">
        <v>7.6526794999999995E-2</v>
      </c>
    </row>
    <row r="14" spans="1:7" x14ac:dyDescent="0.35">
      <c r="A14" t="s">
        <v>339</v>
      </c>
      <c r="B14">
        <v>2033</v>
      </c>
      <c r="C14" s="28">
        <v>1.9408330000000001E-3</v>
      </c>
      <c r="D14" s="28">
        <v>1.9408330000000001E-3</v>
      </c>
      <c r="E14" s="28">
        <v>1.9408330000000001E-3</v>
      </c>
      <c r="F14" s="28">
        <v>9.1638549E-2</v>
      </c>
      <c r="G14" s="28">
        <v>9.1638549E-2</v>
      </c>
    </row>
    <row r="15" spans="1:7" x14ac:dyDescent="0.35">
      <c r="A15" t="s">
        <v>339</v>
      </c>
      <c r="B15">
        <v>2034</v>
      </c>
      <c r="C15" s="28">
        <v>2.0840559999999999E-3</v>
      </c>
      <c r="D15" s="28">
        <v>2.0840559999999999E-3</v>
      </c>
      <c r="E15" s="28">
        <v>2.0840559999999999E-3</v>
      </c>
      <c r="F15" s="28">
        <v>0.106988207</v>
      </c>
      <c r="G15" s="28">
        <v>0.106988207</v>
      </c>
    </row>
    <row r="16" spans="1:7" x14ac:dyDescent="0.35">
      <c r="A16" t="s">
        <v>339</v>
      </c>
      <c r="B16">
        <v>2035</v>
      </c>
      <c r="C16" s="28">
        <v>2.2269479999999999E-3</v>
      </c>
      <c r="D16" s="28">
        <v>2.2269479999999999E-3</v>
      </c>
      <c r="E16" s="28">
        <v>2.2269479999999999E-3</v>
      </c>
      <c r="F16" s="28">
        <v>0.12328299600000001</v>
      </c>
      <c r="G16" s="28">
        <v>0.12328299600000001</v>
      </c>
    </row>
    <row r="17" spans="1:7" x14ac:dyDescent="0.35">
      <c r="A17" t="s">
        <v>339</v>
      </c>
      <c r="B17">
        <v>2036</v>
      </c>
      <c r="C17" s="28">
        <v>2.3683300000000001E-3</v>
      </c>
      <c r="D17" s="28">
        <v>2.3683300000000001E-3</v>
      </c>
      <c r="E17" s="28">
        <v>2.3683300000000001E-3</v>
      </c>
      <c r="F17" s="28">
        <v>0.13350161599999999</v>
      </c>
      <c r="G17" s="28">
        <v>0.13350161599999999</v>
      </c>
    </row>
    <row r="18" spans="1:7" x14ac:dyDescent="0.35">
      <c r="A18" t="s">
        <v>339</v>
      </c>
      <c r="B18">
        <v>2037</v>
      </c>
      <c r="C18" s="28">
        <v>2.5096810000000002E-3</v>
      </c>
      <c r="D18" s="28">
        <v>2.5096810000000002E-3</v>
      </c>
      <c r="E18" s="28">
        <v>2.5096810000000002E-3</v>
      </c>
      <c r="F18" s="28">
        <v>0.14717171300000001</v>
      </c>
      <c r="G18" s="28">
        <v>0.14717171300000001</v>
      </c>
    </row>
    <row r="19" spans="1:7" x14ac:dyDescent="0.35">
      <c r="A19" t="s">
        <v>339</v>
      </c>
      <c r="B19">
        <v>2038</v>
      </c>
      <c r="C19" s="28">
        <v>2.6516360000000002E-3</v>
      </c>
      <c r="D19" s="28">
        <v>2.6516360000000002E-3</v>
      </c>
      <c r="E19" s="28">
        <v>2.6516360000000002E-3</v>
      </c>
      <c r="F19" s="28">
        <v>0.159999847</v>
      </c>
      <c r="G19" s="28">
        <v>0.159999847</v>
      </c>
    </row>
    <row r="20" spans="1:7" x14ac:dyDescent="0.35">
      <c r="A20" t="s">
        <v>339</v>
      </c>
      <c r="B20">
        <v>2039</v>
      </c>
      <c r="C20" s="28">
        <v>2.7978980000000001E-3</v>
      </c>
      <c r="D20" s="28">
        <v>2.7978980000000001E-3</v>
      </c>
      <c r="E20" s="28">
        <v>2.7978980000000001E-3</v>
      </c>
      <c r="F20" s="28">
        <v>0.17197367399999999</v>
      </c>
      <c r="G20" s="28">
        <v>0.17197367399999999</v>
      </c>
    </row>
    <row r="21" spans="1:7" x14ac:dyDescent="0.35">
      <c r="A21" t="s">
        <v>339</v>
      </c>
      <c r="B21">
        <v>2040</v>
      </c>
      <c r="C21" s="28">
        <v>2.9475489999999998E-3</v>
      </c>
      <c r="D21" s="28">
        <v>2.9475489999999998E-3</v>
      </c>
      <c r="E21" s="28">
        <v>2.9475489999999998E-3</v>
      </c>
      <c r="F21" s="28">
        <v>0.18306308800000001</v>
      </c>
      <c r="G21" s="28">
        <v>0.18306308800000001</v>
      </c>
    </row>
    <row r="22" spans="1:7" x14ac:dyDescent="0.35">
      <c r="A22" t="s">
        <v>339</v>
      </c>
      <c r="B22">
        <v>2041</v>
      </c>
      <c r="C22" s="28">
        <v>3.1025660000000002E-3</v>
      </c>
      <c r="D22" s="28">
        <v>3.1025660000000002E-3</v>
      </c>
      <c r="E22" s="28">
        <v>3.1025660000000002E-3</v>
      </c>
      <c r="F22" s="28">
        <v>0.19322018599999999</v>
      </c>
      <c r="G22" s="28">
        <v>0.19322018599999999</v>
      </c>
    </row>
    <row r="23" spans="1:7" x14ac:dyDescent="0.35">
      <c r="A23" t="s">
        <v>339</v>
      </c>
      <c r="B23">
        <v>2042</v>
      </c>
      <c r="C23" s="28">
        <v>3.2548310000000001E-3</v>
      </c>
      <c r="D23" s="28">
        <v>3.2548310000000001E-3</v>
      </c>
      <c r="E23" s="28">
        <v>3.2548310000000001E-3</v>
      </c>
      <c r="F23" s="28">
        <v>0.20237197600000001</v>
      </c>
      <c r="G23" s="28">
        <v>0.20237197600000001</v>
      </c>
    </row>
    <row r="24" spans="1:7" x14ac:dyDescent="0.35">
      <c r="A24" t="s">
        <v>339</v>
      </c>
      <c r="B24">
        <v>2043</v>
      </c>
      <c r="C24" s="28">
        <v>3.4059329999999999E-3</v>
      </c>
      <c r="D24" s="28">
        <v>3.4059329999999999E-3</v>
      </c>
      <c r="E24" s="28">
        <v>3.4059329999999999E-3</v>
      </c>
      <c r="F24" s="28">
        <v>0.21056287000000001</v>
      </c>
      <c r="G24" s="28">
        <v>0.21056287000000001</v>
      </c>
    </row>
    <row r="25" spans="1:7" x14ac:dyDescent="0.35">
      <c r="A25" t="s">
        <v>339</v>
      </c>
      <c r="B25">
        <v>2044</v>
      </c>
      <c r="C25" s="28">
        <v>3.5547740000000001E-3</v>
      </c>
      <c r="D25" s="28">
        <v>3.5547740000000001E-3</v>
      </c>
      <c r="E25" s="28">
        <v>3.5547740000000001E-3</v>
      </c>
      <c r="F25" s="28">
        <v>0.21777566700000001</v>
      </c>
      <c r="G25" s="28">
        <v>0.21777566700000001</v>
      </c>
    </row>
    <row r="26" spans="1:7" x14ac:dyDescent="0.35">
      <c r="A26" t="s">
        <v>339</v>
      </c>
      <c r="B26">
        <v>2045</v>
      </c>
      <c r="C26" s="28">
        <v>3.702253E-3</v>
      </c>
      <c r="D26" s="28">
        <v>3.702253E-3</v>
      </c>
      <c r="E26" s="28">
        <v>3.702253E-3</v>
      </c>
      <c r="F26" s="28">
        <v>0.224084228</v>
      </c>
      <c r="G26" s="28">
        <v>0.224084228</v>
      </c>
    </row>
    <row r="27" spans="1:7" x14ac:dyDescent="0.35">
      <c r="A27" t="s">
        <v>339</v>
      </c>
      <c r="B27">
        <v>2046</v>
      </c>
      <c r="C27" s="28">
        <v>3.8532660000000002E-3</v>
      </c>
      <c r="D27" s="28">
        <v>3.8532660000000002E-3</v>
      </c>
      <c r="E27" s="28">
        <v>3.8532660000000002E-3</v>
      </c>
      <c r="F27" s="28">
        <v>0.229570676</v>
      </c>
      <c r="G27" s="28">
        <v>0.229570676</v>
      </c>
    </row>
    <row r="28" spans="1:7" x14ac:dyDescent="0.35">
      <c r="A28" t="s">
        <v>339</v>
      </c>
      <c r="B28">
        <v>2047</v>
      </c>
      <c r="C28" s="28">
        <v>4.0069169999999996E-3</v>
      </c>
      <c r="D28" s="28">
        <v>4.0069169999999996E-3</v>
      </c>
      <c r="E28" s="28">
        <v>4.0069169999999996E-3</v>
      </c>
      <c r="F28" s="28">
        <v>0.23429806</v>
      </c>
      <c r="G28" s="28">
        <v>0.23429806</v>
      </c>
    </row>
    <row r="29" spans="1:7" x14ac:dyDescent="0.35">
      <c r="A29" t="s">
        <v>339</v>
      </c>
      <c r="B29">
        <v>2048</v>
      </c>
      <c r="C29" s="28">
        <v>4.1629220000000003E-3</v>
      </c>
      <c r="D29" s="28">
        <v>4.1629220000000003E-3</v>
      </c>
      <c r="E29" s="28">
        <v>4.1629220000000003E-3</v>
      </c>
      <c r="F29" s="28">
        <v>0.23831492700000001</v>
      </c>
      <c r="G29" s="28">
        <v>0.23831492700000001</v>
      </c>
    </row>
    <row r="30" spans="1:7" x14ac:dyDescent="0.35">
      <c r="A30" t="s">
        <v>339</v>
      </c>
      <c r="B30">
        <v>2049</v>
      </c>
      <c r="C30" s="28">
        <v>4.3251549999999998E-3</v>
      </c>
      <c r="D30" s="28">
        <v>4.3251549999999998E-3</v>
      </c>
      <c r="E30" s="28">
        <v>4.3251549999999998E-3</v>
      </c>
      <c r="F30" s="28">
        <v>0.241681439</v>
      </c>
      <c r="G30" s="28">
        <v>0.241681439</v>
      </c>
    </row>
    <row r="31" spans="1:7" x14ac:dyDescent="0.35">
      <c r="A31" t="s">
        <v>339</v>
      </c>
      <c r="B31">
        <v>2050</v>
      </c>
      <c r="C31" s="28">
        <v>4.495321E-3</v>
      </c>
      <c r="D31" s="28">
        <v>4.495321E-3</v>
      </c>
      <c r="E31" s="28">
        <v>4.495321E-3</v>
      </c>
      <c r="F31" s="28">
        <v>0.24449030199999999</v>
      </c>
      <c r="G31" s="28">
        <v>0.24449030199999999</v>
      </c>
    </row>
    <row r="32" spans="1:7" x14ac:dyDescent="0.35">
      <c r="A32" t="s">
        <v>337</v>
      </c>
      <c r="B32">
        <v>2021</v>
      </c>
      <c r="C32" s="28">
        <v>2.7681490000000001E-3</v>
      </c>
      <c r="D32" s="28">
        <v>2.7681490000000001E-3</v>
      </c>
      <c r="E32" s="28">
        <v>2.7681490000000001E-3</v>
      </c>
      <c r="F32" s="28">
        <v>2.7681490000000001E-3</v>
      </c>
      <c r="G32" s="28">
        <v>2.7681490000000001E-3</v>
      </c>
    </row>
    <row r="33" spans="1:7" x14ac:dyDescent="0.35">
      <c r="A33" t="s">
        <v>337</v>
      </c>
      <c r="B33">
        <v>2022</v>
      </c>
      <c r="C33" s="28">
        <v>5.506319E-3</v>
      </c>
      <c r="D33" s="28">
        <v>8.2696799999999997E-3</v>
      </c>
      <c r="E33" s="28">
        <v>6.8879989999999997E-3</v>
      </c>
      <c r="F33" s="28">
        <v>6.8879989999999997E-3</v>
      </c>
      <c r="G33" s="28">
        <v>8.2696799999999997E-3</v>
      </c>
    </row>
    <row r="34" spans="1:7" x14ac:dyDescent="0.35">
      <c r="A34" t="s">
        <v>337</v>
      </c>
      <c r="B34">
        <v>2023</v>
      </c>
      <c r="C34" s="28">
        <v>8.604024E-3</v>
      </c>
      <c r="D34" s="28">
        <v>1.3771211E-2</v>
      </c>
      <c r="E34" s="28">
        <v>1.1187618E-2</v>
      </c>
      <c r="F34" s="28">
        <v>1.1187618E-2</v>
      </c>
      <c r="G34" s="28">
        <v>1.3771211E-2</v>
      </c>
    </row>
    <row r="35" spans="1:7" x14ac:dyDescent="0.35">
      <c r="A35" t="s">
        <v>337</v>
      </c>
      <c r="B35">
        <v>2024</v>
      </c>
      <c r="C35" s="28">
        <v>1.1780479999999999E-2</v>
      </c>
      <c r="D35" s="28">
        <v>1.9272741999999999E-2</v>
      </c>
      <c r="E35" s="28">
        <v>1.5526610999999999E-2</v>
      </c>
      <c r="F35" s="28">
        <v>1.5526610999999999E-2</v>
      </c>
      <c r="G35" s="28">
        <v>1.9272741999999999E-2</v>
      </c>
    </row>
    <row r="36" spans="1:7" x14ac:dyDescent="0.35">
      <c r="A36" t="s">
        <v>337</v>
      </c>
      <c r="B36">
        <v>2025</v>
      </c>
      <c r="C36" s="28">
        <v>1.4880427E-2</v>
      </c>
      <c r="D36" s="28">
        <v>2.4774272999999999E-2</v>
      </c>
      <c r="E36" s="28">
        <v>1.9827350000000001E-2</v>
      </c>
      <c r="F36" s="28">
        <v>1.9827350000000001E-2</v>
      </c>
      <c r="G36" s="28">
        <v>2.4774272999999999E-2</v>
      </c>
    </row>
    <row r="37" spans="1:7" x14ac:dyDescent="0.35">
      <c r="A37" t="s">
        <v>337</v>
      </c>
      <c r="B37">
        <v>2026</v>
      </c>
      <c r="C37" s="28">
        <v>1.7896786000000001E-2</v>
      </c>
      <c r="D37" s="28">
        <v>3.7774355000000003E-2</v>
      </c>
      <c r="E37" s="28">
        <v>2.783557E-2</v>
      </c>
      <c r="F37" s="28">
        <v>2.783557E-2</v>
      </c>
      <c r="G37" s="28">
        <v>3.7774355000000003E-2</v>
      </c>
    </row>
    <row r="38" spans="1:7" x14ac:dyDescent="0.35">
      <c r="A38" t="s">
        <v>337</v>
      </c>
      <c r="B38">
        <v>2027</v>
      </c>
      <c r="C38" s="28">
        <v>2.0805857000000001E-2</v>
      </c>
      <c r="D38" s="28">
        <v>5.7356055000000003E-2</v>
      </c>
      <c r="E38" s="28">
        <v>3.9080956E-2</v>
      </c>
      <c r="F38" s="28">
        <v>3.9080956E-2</v>
      </c>
      <c r="G38" s="28">
        <v>5.7356055000000003E-2</v>
      </c>
    </row>
    <row r="39" spans="1:7" x14ac:dyDescent="0.35">
      <c r="A39" t="s">
        <v>337</v>
      </c>
      <c r="B39">
        <v>2028</v>
      </c>
      <c r="C39" s="28">
        <v>2.3611013E-2</v>
      </c>
      <c r="D39" s="28">
        <v>8.4760910999999994E-2</v>
      </c>
      <c r="E39" s="28">
        <v>5.4185961999999997E-2</v>
      </c>
      <c r="F39" s="28">
        <v>5.4185961999999997E-2</v>
      </c>
      <c r="G39" s="28">
        <v>8.4760910999999994E-2</v>
      </c>
    </row>
    <row r="40" spans="1:7" x14ac:dyDescent="0.35">
      <c r="A40" t="s">
        <v>337</v>
      </c>
      <c r="B40">
        <v>2029</v>
      </c>
      <c r="C40" s="28">
        <v>2.6362935000000001E-2</v>
      </c>
      <c r="D40" s="28">
        <v>0.110267067</v>
      </c>
      <c r="E40" s="28">
        <v>6.8315001E-2</v>
      </c>
      <c r="F40" s="28">
        <v>6.8315001E-2</v>
      </c>
      <c r="G40" s="28">
        <v>0.110267067</v>
      </c>
    </row>
    <row r="41" spans="1:7" x14ac:dyDescent="0.35">
      <c r="A41" t="s">
        <v>337</v>
      </c>
      <c r="B41">
        <v>2030</v>
      </c>
      <c r="C41" s="28">
        <v>2.9098506E-2</v>
      </c>
      <c r="D41" s="28">
        <v>0.13976050100000001</v>
      </c>
      <c r="E41" s="28">
        <v>8.4429504000000002E-2</v>
      </c>
      <c r="F41" s="28">
        <v>8.4429504000000002E-2</v>
      </c>
      <c r="G41" s="28">
        <v>0.13976050100000001</v>
      </c>
    </row>
    <row r="42" spans="1:7" x14ac:dyDescent="0.35">
      <c r="A42" t="s">
        <v>337</v>
      </c>
      <c r="B42">
        <v>2031</v>
      </c>
      <c r="C42" s="28">
        <v>3.1850912000000002E-2</v>
      </c>
      <c r="D42" s="28">
        <v>0.16977555799999999</v>
      </c>
      <c r="E42" s="28">
        <v>0.100813235</v>
      </c>
      <c r="F42" s="28">
        <v>0.100813235</v>
      </c>
      <c r="G42" s="28">
        <v>0.16977555799999999</v>
      </c>
    </row>
    <row r="43" spans="1:7" x14ac:dyDescent="0.35">
      <c r="A43" t="s">
        <v>337</v>
      </c>
      <c r="B43">
        <v>2032</v>
      </c>
      <c r="C43" s="28">
        <v>3.4619206E-2</v>
      </c>
      <c r="D43" s="28">
        <v>0.20474008699999999</v>
      </c>
      <c r="E43" s="28">
        <v>0.119679647</v>
      </c>
      <c r="F43" s="28">
        <v>0.119679647</v>
      </c>
      <c r="G43" s="28">
        <v>0.20474008699999999</v>
      </c>
    </row>
    <row r="44" spans="1:7" x14ac:dyDescent="0.35">
      <c r="A44" t="s">
        <v>337</v>
      </c>
      <c r="B44">
        <v>2033</v>
      </c>
      <c r="C44" s="28">
        <v>3.7401094000000003E-2</v>
      </c>
      <c r="D44" s="28">
        <v>0.24537620900000001</v>
      </c>
      <c r="E44" s="28">
        <v>0.141388651</v>
      </c>
      <c r="F44" s="28">
        <v>0.141388651</v>
      </c>
      <c r="G44" s="28">
        <v>0.24537620900000001</v>
      </c>
    </row>
    <row r="45" spans="1:7" x14ac:dyDescent="0.35">
      <c r="A45" t="s">
        <v>337</v>
      </c>
      <c r="B45">
        <v>2034</v>
      </c>
      <c r="C45" s="28">
        <v>4.0196467999999999E-2</v>
      </c>
      <c r="D45" s="28">
        <v>0.292219018</v>
      </c>
      <c r="E45" s="28">
        <v>0.16620774299999999</v>
      </c>
      <c r="F45" s="28">
        <v>0.16620774299999999</v>
      </c>
      <c r="G45" s="28">
        <v>0.292219018</v>
      </c>
    </row>
    <row r="46" spans="1:7" x14ac:dyDescent="0.35">
      <c r="A46" t="s">
        <v>337</v>
      </c>
      <c r="B46">
        <v>2035</v>
      </c>
      <c r="C46" s="28">
        <v>4.2987719000000001E-2</v>
      </c>
      <c r="D46" s="28">
        <v>0.34549044600000001</v>
      </c>
      <c r="E46" s="28">
        <v>0.19423908200000001</v>
      </c>
      <c r="F46" s="28">
        <v>0.19423908200000001</v>
      </c>
      <c r="G46" s="28">
        <v>0.34549044600000001</v>
      </c>
    </row>
    <row r="47" spans="1:7" x14ac:dyDescent="0.35">
      <c r="A47" t="s">
        <v>337</v>
      </c>
      <c r="B47">
        <v>2036</v>
      </c>
      <c r="C47" s="28">
        <v>4.5770973E-2</v>
      </c>
      <c r="D47" s="28">
        <v>0.39619227099999998</v>
      </c>
      <c r="E47" s="28">
        <v>0.22098162199999999</v>
      </c>
      <c r="F47" s="28">
        <v>0.22098162199999999</v>
      </c>
      <c r="G47" s="28">
        <v>0.39619227099999998</v>
      </c>
    </row>
    <row r="48" spans="1:7" x14ac:dyDescent="0.35">
      <c r="A48" t="s">
        <v>337</v>
      </c>
      <c r="B48">
        <v>2037</v>
      </c>
      <c r="C48" s="28">
        <v>4.8543924000000002E-2</v>
      </c>
      <c r="D48" s="28">
        <v>0.444968113</v>
      </c>
      <c r="E48" s="28">
        <v>0.24675601899999999</v>
      </c>
      <c r="F48" s="28">
        <v>0.24675601899999999</v>
      </c>
      <c r="G48" s="28">
        <v>0.444968113</v>
      </c>
    </row>
    <row r="49" spans="1:7" x14ac:dyDescent="0.35">
      <c r="A49" t="s">
        <v>337</v>
      </c>
      <c r="B49">
        <v>2038</v>
      </c>
      <c r="C49" s="28">
        <v>5.1304790000000003E-2</v>
      </c>
      <c r="D49" s="28">
        <v>0.49169161900000002</v>
      </c>
      <c r="E49" s="28">
        <v>0.27149820400000002</v>
      </c>
      <c r="F49" s="28">
        <v>0.27149820400000002</v>
      </c>
      <c r="G49" s="28">
        <v>0.49169161900000002</v>
      </c>
    </row>
    <row r="50" spans="1:7" x14ac:dyDescent="0.35">
      <c r="A50" t="s">
        <v>337</v>
      </c>
      <c r="B50">
        <v>2039</v>
      </c>
      <c r="C50" s="28">
        <v>5.40186E-2</v>
      </c>
      <c r="D50" s="28">
        <v>0.53644918200000002</v>
      </c>
      <c r="E50" s="28">
        <v>0.29523389100000003</v>
      </c>
      <c r="F50" s="28">
        <v>0.29523389100000003</v>
      </c>
      <c r="G50" s="28">
        <v>0.53644918200000002</v>
      </c>
    </row>
    <row r="51" spans="1:7" x14ac:dyDescent="0.35">
      <c r="A51" t="s">
        <v>337</v>
      </c>
      <c r="B51">
        <v>2040</v>
      </c>
      <c r="C51" s="28">
        <v>5.6696666E-2</v>
      </c>
      <c r="D51" s="28">
        <v>0.57897244699999995</v>
      </c>
      <c r="E51" s="28">
        <v>0.31783455599999999</v>
      </c>
      <c r="F51" s="28">
        <v>0.31783455599999999</v>
      </c>
      <c r="G51" s="28">
        <v>0.57897244699999995</v>
      </c>
    </row>
    <row r="52" spans="1:7" x14ac:dyDescent="0.35">
      <c r="A52" t="s">
        <v>337</v>
      </c>
      <c r="B52">
        <v>2041</v>
      </c>
      <c r="C52" s="28">
        <v>5.9316059999999997E-2</v>
      </c>
      <c r="D52" s="28">
        <v>0.61912640799999996</v>
      </c>
      <c r="E52" s="28">
        <v>0.33922123399999998</v>
      </c>
      <c r="F52" s="28">
        <v>0.33922123399999998</v>
      </c>
      <c r="G52" s="28">
        <v>0.61912640799999996</v>
      </c>
    </row>
    <row r="53" spans="1:7" x14ac:dyDescent="0.35">
      <c r="A53" t="s">
        <v>337</v>
      </c>
      <c r="B53">
        <v>2042</v>
      </c>
      <c r="C53" s="28">
        <v>6.1865734999999998E-2</v>
      </c>
      <c r="D53" s="28">
        <v>0.657095557</v>
      </c>
      <c r="E53" s="28">
        <v>0.35948064600000001</v>
      </c>
      <c r="F53" s="28">
        <v>0.35948064600000001</v>
      </c>
      <c r="G53" s="28">
        <v>0.657095557</v>
      </c>
    </row>
    <row r="54" spans="1:7" x14ac:dyDescent="0.35">
      <c r="A54" t="s">
        <v>337</v>
      </c>
      <c r="B54">
        <v>2043</v>
      </c>
      <c r="C54" s="28">
        <v>6.4368699000000001E-2</v>
      </c>
      <c r="D54" s="28">
        <v>0.69262306100000004</v>
      </c>
      <c r="E54" s="28">
        <v>0.37849588000000001</v>
      </c>
      <c r="F54" s="28">
        <v>0.37849588000000001</v>
      </c>
      <c r="G54" s="28">
        <v>0.69262306100000004</v>
      </c>
    </row>
    <row r="55" spans="1:7" x14ac:dyDescent="0.35">
      <c r="A55" t="s">
        <v>337</v>
      </c>
      <c r="B55">
        <v>2044</v>
      </c>
      <c r="C55" s="28">
        <v>6.6828560999999995E-2</v>
      </c>
      <c r="D55" s="28">
        <v>0.72576428699999995</v>
      </c>
      <c r="E55" s="28">
        <v>0.39629642399999998</v>
      </c>
      <c r="F55" s="28">
        <v>0.39629642399999998</v>
      </c>
      <c r="G55" s="28">
        <v>0.72576428699999995</v>
      </c>
    </row>
    <row r="56" spans="1:7" x14ac:dyDescent="0.35">
      <c r="A56" t="s">
        <v>337</v>
      </c>
      <c r="B56">
        <v>2045</v>
      </c>
      <c r="C56" s="28">
        <v>6.9255160999999996E-2</v>
      </c>
      <c r="D56" s="28">
        <v>0.75643987199999996</v>
      </c>
      <c r="E56" s="28">
        <v>0.41284751600000003</v>
      </c>
      <c r="F56" s="28">
        <v>0.41284751600000003</v>
      </c>
      <c r="G56" s="28">
        <v>0.75643987199999996</v>
      </c>
    </row>
    <row r="57" spans="1:7" x14ac:dyDescent="0.35">
      <c r="A57" t="s">
        <v>337</v>
      </c>
      <c r="B57">
        <v>2046</v>
      </c>
      <c r="C57" s="28">
        <v>7.1660583E-2</v>
      </c>
      <c r="D57" s="28">
        <v>0.78459593599999999</v>
      </c>
      <c r="E57" s="28">
        <v>0.42812825900000001</v>
      </c>
      <c r="F57" s="28">
        <v>0.42812825900000001</v>
      </c>
      <c r="G57" s="28">
        <v>0.78459593599999999</v>
      </c>
    </row>
    <row r="58" spans="1:7" x14ac:dyDescent="0.35">
      <c r="A58" t="s">
        <v>337</v>
      </c>
      <c r="B58">
        <v>2047</v>
      </c>
      <c r="C58" s="28">
        <v>7.4023167000000001E-2</v>
      </c>
      <c r="D58" s="28">
        <v>0.81016510900000005</v>
      </c>
      <c r="E58" s="28">
        <v>0.44209413800000003</v>
      </c>
      <c r="F58" s="28">
        <v>0.44209413800000003</v>
      </c>
      <c r="G58" s="28">
        <v>0.81016510900000005</v>
      </c>
    </row>
    <row r="59" spans="1:7" x14ac:dyDescent="0.35">
      <c r="A59" t="s">
        <v>337</v>
      </c>
      <c r="B59">
        <v>2048</v>
      </c>
      <c r="C59" s="28">
        <v>7.6331019E-2</v>
      </c>
      <c r="D59" s="28">
        <v>0.83324370199999997</v>
      </c>
      <c r="E59" s="28">
        <v>0.454787361</v>
      </c>
      <c r="F59" s="28">
        <v>0.454787361</v>
      </c>
      <c r="G59" s="28">
        <v>0.83324370199999997</v>
      </c>
    </row>
    <row r="60" spans="1:7" x14ac:dyDescent="0.35">
      <c r="A60" t="s">
        <v>337</v>
      </c>
      <c r="B60">
        <v>2049</v>
      </c>
      <c r="C60" s="28">
        <v>7.8599206000000005E-2</v>
      </c>
      <c r="D60" s="28">
        <v>0.85401336000000005</v>
      </c>
      <c r="E60" s="28">
        <v>0.46630628299999999</v>
      </c>
      <c r="F60" s="28">
        <v>0.46630628299999999</v>
      </c>
      <c r="G60" s="28">
        <v>0.85401336000000005</v>
      </c>
    </row>
    <row r="61" spans="1:7" x14ac:dyDescent="0.35">
      <c r="A61" t="s">
        <v>337</v>
      </c>
      <c r="B61">
        <v>2050</v>
      </c>
      <c r="C61" s="28">
        <v>8.0826548999999998E-2</v>
      </c>
      <c r="D61" s="28">
        <v>0.87233277799999998</v>
      </c>
      <c r="E61" s="28">
        <v>0.47657966400000001</v>
      </c>
      <c r="F61" s="28">
        <v>0.47657966400000001</v>
      </c>
      <c r="G61" s="28">
        <v>0.87233277799999998</v>
      </c>
    </row>
    <row r="62" spans="1:7" x14ac:dyDescent="0.35">
      <c r="A62" t="s">
        <v>338</v>
      </c>
      <c r="B62">
        <v>2021</v>
      </c>
      <c r="C62" s="28">
        <v>2.69208E-4</v>
      </c>
      <c r="D62" s="28">
        <v>2.69208E-4</v>
      </c>
      <c r="E62" s="28">
        <v>2.69208E-4</v>
      </c>
      <c r="F62" s="28">
        <v>2.69208E-4</v>
      </c>
      <c r="G62" s="28">
        <v>2.69208E-4</v>
      </c>
    </row>
    <row r="63" spans="1:7" x14ac:dyDescent="0.35">
      <c r="A63" t="s">
        <v>338</v>
      </c>
      <c r="B63">
        <v>2022</v>
      </c>
      <c r="C63" s="28">
        <v>5.1113500000000002E-4</v>
      </c>
      <c r="D63" s="28">
        <v>5.1113500000000002E-4</v>
      </c>
      <c r="E63" s="28">
        <v>5.1113500000000002E-4</v>
      </c>
      <c r="F63" s="28">
        <v>5.1113500000000002E-4</v>
      </c>
      <c r="G63" s="28">
        <v>5.1113500000000002E-4</v>
      </c>
    </row>
    <row r="64" spans="1:7" x14ac:dyDescent="0.35">
      <c r="A64" t="s">
        <v>338</v>
      </c>
      <c r="B64">
        <v>2023</v>
      </c>
      <c r="C64" s="28">
        <v>7.5173000000000004E-4</v>
      </c>
      <c r="D64" s="28">
        <v>7.5173000000000004E-4</v>
      </c>
      <c r="E64" s="28">
        <v>7.5173000000000004E-4</v>
      </c>
      <c r="F64" s="28">
        <v>7.5173000000000004E-4</v>
      </c>
      <c r="G64" s="28">
        <v>7.5173000000000004E-4</v>
      </c>
    </row>
    <row r="65" spans="1:7" x14ac:dyDescent="0.35">
      <c r="A65" t="s">
        <v>338</v>
      </c>
      <c r="B65">
        <v>2024</v>
      </c>
      <c r="C65" s="28">
        <v>9.8721599999999996E-4</v>
      </c>
      <c r="D65" s="28">
        <v>9.8721599999999996E-4</v>
      </c>
      <c r="E65" s="28">
        <v>9.8721599999999996E-4</v>
      </c>
      <c r="F65" s="28">
        <v>2.2232290000000002E-3</v>
      </c>
      <c r="G65" s="28">
        <v>2.2232290000000002E-3</v>
      </c>
    </row>
    <row r="66" spans="1:7" x14ac:dyDescent="0.35">
      <c r="A66" t="s">
        <v>338</v>
      </c>
      <c r="B66">
        <v>2025</v>
      </c>
      <c r="C66" s="28">
        <v>1.2173970000000001E-3</v>
      </c>
      <c r="D66" s="28">
        <v>1.2173970000000001E-3</v>
      </c>
      <c r="E66" s="28">
        <v>1.2173970000000001E-3</v>
      </c>
      <c r="F66" s="28">
        <v>6.3453590000000001E-3</v>
      </c>
      <c r="G66" s="28">
        <v>6.3453590000000001E-3</v>
      </c>
    </row>
    <row r="67" spans="1:7" x14ac:dyDescent="0.35">
      <c r="A67" t="s">
        <v>338</v>
      </c>
      <c r="B67">
        <v>2026</v>
      </c>
      <c r="C67" s="28">
        <v>1.4441510000000001E-3</v>
      </c>
      <c r="D67" s="28">
        <v>1.4441510000000001E-3</v>
      </c>
      <c r="E67" s="28">
        <v>1.4441510000000001E-3</v>
      </c>
      <c r="F67" s="28">
        <v>1.1845461999999999E-2</v>
      </c>
      <c r="G67" s="28">
        <v>1.1845461999999999E-2</v>
      </c>
    </row>
    <row r="68" spans="1:7" x14ac:dyDescent="0.35">
      <c r="A68" t="s">
        <v>338</v>
      </c>
      <c r="B68">
        <v>2027</v>
      </c>
      <c r="C68" s="28">
        <v>1.664706E-3</v>
      </c>
      <c r="D68" s="28">
        <v>1.664706E-3</v>
      </c>
      <c r="E68" s="28">
        <v>1.664706E-3</v>
      </c>
      <c r="F68" s="28">
        <v>1.9948430999999999E-2</v>
      </c>
      <c r="G68" s="28">
        <v>1.9948430999999999E-2</v>
      </c>
    </row>
    <row r="69" spans="1:7" x14ac:dyDescent="0.35">
      <c r="A69" t="s">
        <v>338</v>
      </c>
      <c r="B69">
        <v>2028</v>
      </c>
      <c r="C69" s="28">
        <v>1.879225E-3</v>
      </c>
      <c r="D69" s="28">
        <v>1.879225E-3</v>
      </c>
      <c r="E69" s="28">
        <v>1.879225E-3</v>
      </c>
      <c r="F69" s="28">
        <v>3.1568299000000001E-2</v>
      </c>
      <c r="G69" s="28">
        <v>3.1568299000000001E-2</v>
      </c>
    </row>
    <row r="70" spans="1:7" x14ac:dyDescent="0.35">
      <c r="A70" t="s">
        <v>338</v>
      </c>
      <c r="B70">
        <v>2029</v>
      </c>
      <c r="C70" s="28">
        <v>2.0915529999999999E-3</v>
      </c>
      <c r="D70" s="28">
        <v>2.0915529999999999E-3</v>
      </c>
      <c r="E70" s="28">
        <v>2.0915529999999999E-3</v>
      </c>
      <c r="F70" s="28">
        <v>4.6924004999999998E-2</v>
      </c>
      <c r="G70" s="28">
        <v>4.6924004999999998E-2</v>
      </c>
    </row>
    <row r="71" spans="1:7" x14ac:dyDescent="0.35">
      <c r="A71" t="s">
        <v>338</v>
      </c>
      <c r="B71">
        <v>2030</v>
      </c>
      <c r="C71" s="28">
        <v>2.3018520000000001E-3</v>
      </c>
      <c r="D71" s="28">
        <v>2.3018520000000001E-3</v>
      </c>
      <c r="E71" s="28">
        <v>2.3018520000000001E-3</v>
      </c>
      <c r="F71" s="28">
        <v>6.5785700000000003E-2</v>
      </c>
      <c r="G71" s="28">
        <v>6.5785700000000003E-2</v>
      </c>
    </row>
    <row r="72" spans="1:7" x14ac:dyDescent="0.35">
      <c r="A72" t="s">
        <v>338</v>
      </c>
      <c r="B72">
        <v>2031</v>
      </c>
      <c r="C72" s="28">
        <v>2.5109339999999998E-3</v>
      </c>
      <c r="D72" s="28">
        <v>2.5109339999999998E-3</v>
      </c>
      <c r="E72" s="28">
        <v>2.5109339999999998E-3</v>
      </c>
      <c r="F72" s="28">
        <v>8.8363822999999994E-2</v>
      </c>
      <c r="G72" s="28">
        <v>8.8363822999999994E-2</v>
      </c>
    </row>
    <row r="73" spans="1:7" x14ac:dyDescent="0.35">
      <c r="A73" t="s">
        <v>338</v>
      </c>
      <c r="B73">
        <v>2032</v>
      </c>
      <c r="C73" s="28">
        <v>2.7175649999999999E-3</v>
      </c>
      <c r="D73" s="28">
        <v>2.7175649999999999E-3</v>
      </c>
      <c r="E73" s="28">
        <v>2.7175649999999999E-3</v>
      </c>
      <c r="F73" s="28">
        <v>0.112572854</v>
      </c>
      <c r="G73" s="28">
        <v>0.112572854</v>
      </c>
    </row>
    <row r="74" spans="1:7" x14ac:dyDescent="0.35">
      <c r="A74" t="s">
        <v>338</v>
      </c>
      <c r="B74">
        <v>2033</v>
      </c>
      <c r="C74" s="28">
        <v>2.927851E-3</v>
      </c>
      <c r="D74" s="28">
        <v>2.927851E-3</v>
      </c>
      <c r="E74" s="28">
        <v>2.927851E-3</v>
      </c>
      <c r="F74" s="28">
        <v>0.13861931199999999</v>
      </c>
      <c r="G74" s="28">
        <v>0.13861931199999999</v>
      </c>
    </row>
    <row r="75" spans="1:7" x14ac:dyDescent="0.35">
      <c r="A75" t="s">
        <v>338</v>
      </c>
      <c r="B75">
        <v>2034</v>
      </c>
      <c r="C75" s="28">
        <v>3.1403939999999999E-3</v>
      </c>
      <c r="D75" s="28">
        <v>3.1403939999999999E-3</v>
      </c>
      <c r="E75" s="28">
        <v>3.1403939999999999E-3</v>
      </c>
      <c r="F75" s="28">
        <v>0.16646481900000001</v>
      </c>
      <c r="G75" s="28">
        <v>0.16646481900000001</v>
      </c>
    </row>
    <row r="76" spans="1:7" x14ac:dyDescent="0.35">
      <c r="A76" t="s">
        <v>338</v>
      </c>
      <c r="B76">
        <v>2035</v>
      </c>
      <c r="C76" s="28">
        <v>3.3537770000000001E-3</v>
      </c>
      <c r="D76" s="28">
        <v>3.3537770000000001E-3</v>
      </c>
      <c r="E76" s="28">
        <v>3.3537770000000001E-3</v>
      </c>
      <c r="F76" s="28">
        <v>0.19560739399999999</v>
      </c>
      <c r="G76" s="28">
        <v>0.19560739399999999</v>
      </c>
    </row>
    <row r="77" spans="1:7" x14ac:dyDescent="0.35">
      <c r="A77" t="s">
        <v>338</v>
      </c>
      <c r="B77">
        <v>2036</v>
      </c>
      <c r="C77" s="28">
        <v>3.5669400000000002E-3</v>
      </c>
      <c r="D77" s="28">
        <v>3.5669400000000002E-3</v>
      </c>
      <c r="E77" s="28">
        <v>3.5669400000000002E-3</v>
      </c>
      <c r="F77" s="28">
        <v>0.224213724</v>
      </c>
      <c r="G77" s="28">
        <v>0.224213724</v>
      </c>
    </row>
    <row r="78" spans="1:7" x14ac:dyDescent="0.35">
      <c r="A78" t="s">
        <v>338</v>
      </c>
      <c r="B78">
        <v>2037</v>
      </c>
      <c r="C78" s="28">
        <v>3.7814290000000002E-3</v>
      </c>
      <c r="D78" s="28">
        <v>3.7814290000000002E-3</v>
      </c>
      <c r="E78" s="28">
        <v>3.7814290000000002E-3</v>
      </c>
      <c r="F78" s="28">
        <v>0.251758013</v>
      </c>
      <c r="G78" s="28">
        <v>0.251758013</v>
      </c>
    </row>
    <row r="79" spans="1:7" x14ac:dyDescent="0.35">
      <c r="A79" t="s">
        <v>338</v>
      </c>
      <c r="B79">
        <v>2038</v>
      </c>
      <c r="C79" s="28">
        <v>3.9981180000000002E-3</v>
      </c>
      <c r="D79" s="28">
        <v>3.9981180000000002E-3</v>
      </c>
      <c r="E79" s="28">
        <v>3.9981180000000002E-3</v>
      </c>
      <c r="F79" s="28">
        <v>0.27830375000000002</v>
      </c>
      <c r="G79" s="28">
        <v>0.27830375000000002</v>
      </c>
    </row>
    <row r="80" spans="1:7" x14ac:dyDescent="0.35">
      <c r="A80" t="s">
        <v>338</v>
      </c>
      <c r="B80">
        <v>2039</v>
      </c>
      <c r="C80" s="28">
        <v>4.2198260000000003E-3</v>
      </c>
      <c r="D80" s="28">
        <v>4.2198260000000003E-3</v>
      </c>
      <c r="E80" s="28">
        <v>4.2198260000000003E-3</v>
      </c>
      <c r="F80" s="28">
        <v>0.30357849199999998</v>
      </c>
      <c r="G80" s="28">
        <v>0.30357849199999998</v>
      </c>
    </row>
    <row r="81" spans="1:7" x14ac:dyDescent="0.35">
      <c r="A81" t="s">
        <v>338</v>
      </c>
      <c r="B81">
        <v>2040</v>
      </c>
      <c r="C81" s="28">
        <v>4.448624E-3</v>
      </c>
      <c r="D81" s="28">
        <v>4.448624E-3</v>
      </c>
      <c r="E81" s="28">
        <v>4.448624E-3</v>
      </c>
      <c r="F81" s="28">
        <v>0.32763684900000001</v>
      </c>
      <c r="G81" s="28">
        <v>0.32763684900000001</v>
      </c>
    </row>
    <row r="82" spans="1:7" x14ac:dyDescent="0.35">
      <c r="A82" t="s">
        <v>338</v>
      </c>
      <c r="B82">
        <v>2041</v>
      </c>
      <c r="C82" s="28">
        <v>4.678415E-3</v>
      </c>
      <c r="D82" s="28">
        <v>4.678415E-3</v>
      </c>
      <c r="E82" s="28">
        <v>4.678415E-3</v>
      </c>
      <c r="F82" s="28">
        <v>0.35042086</v>
      </c>
      <c r="G82" s="28">
        <v>0.35042086</v>
      </c>
    </row>
    <row r="83" spans="1:7" x14ac:dyDescent="0.35">
      <c r="A83" t="s">
        <v>338</v>
      </c>
      <c r="B83">
        <v>2042</v>
      </c>
      <c r="C83" s="28">
        <v>4.910925E-3</v>
      </c>
      <c r="D83" s="28">
        <v>4.910925E-3</v>
      </c>
      <c r="E83" s="28">
        <v>4.910925E-3</v>
      </c>
      <c r="F83" s="28">
        <v>0.371888357</v>
      </c>
      <c r="G83" s="28">
        <v>0.371888357</v>
      </c>
    </row>
    <row r="84" spans="1:7" x14ac:dyDescent="0.35">
      <c r="A84" t="s">
        <v>338</v>
      </c>
      <c r="B84">
        <v>2043</v>
      </c>
      <c r="C84" s="28">
        <v>5.1371760000000002E-3</v>
      </c>
      <c r="D84" s="28">
        <v>5.1371760000000002E-3</v>
      </c>
      <c r="E84" s="28">
        <v>5.1371760000000002E-3</v>
      </c>
      <c r="F84" s="28">
        <v>0.39163393099999999</v>
      </c>
      <c r="G84" s="28">
        <v>0.39163393099999999</v>
      </c>
    </row>
    <row r="85" spans="1:7" x14ac:dyDescent="0.35">
      <c r="A85" t="s">
        <v>338</v>
      </c>
      <c r="B85">
        <v>2044</v>
      </c>
      <c r="C85" s="28">
        <v>5.3573889999999997E-3</v>
      </c>
      <c r="D85" s="28">
        <v>5.3573889999999997E-3</v>
      </c>
      <c r="E85" s="28">
        <v>5.3573889999999997E-3</v>
      </c>
      <c r="F85" s="28">
        <v>0.41053531700000001</v>
      </c>
      <c r="G85" s="28">
        <v>0.41053531700000001</v>
      </c>
    </row>
    <row r="86" spans="1:7" x14ac:dyDescent="0.35">
      <c r="A86" t="s">
        <v>338</v>
      </c>
      <c r="B86">
        <v>2045</v>
      </c>
      <c r="C86" s="28">
        <v>5.5812450000000003E-3</v>
      </c>
      <c r="D86" s="28">
        <v>5.5812450000000003E-3</v>
      </c>
      <c r="E86" s="28">
        <v>5.5812450000000003E-3</v>
      </c>
      <c r="F86" s="28">
        <v>0.427685765</v>
      </c>
      <c r="G86" s="28">
        <v>0.427685765</v>
      </c>
    </row>
    <row r="87" spans="1:7" x14ac:dyDescent="0.35">
      <c r="A87" t="s">
        <v>338</v>
      </c>
      <c r="B87">
        <v>2046</v>
      </c>
      <c r="C87" s="28">
        <v>5.811709E-3</v>
      </c>
      <c r="D87" s="28">
        <v>5.811709E-3</v>
      </c>
      <c r="E87" s="28">
        <v>5.811709E-3</v>
      </c>
      <c r="F87" s="28">
        <v>0.443591191</v>
      </c>
      <c r="G87" s="28">
        <v>0.443591191</v>
      </c>
    </row>
    <row r="88" spans="1:7" x14ac:dyDescent="0.35">
      <c r="A88" t="s">
        <v>338</v>
      </c>
      <c r="B88">
        <v>2047</v>
      </c>
      <c r="C88" s="28">
        <v>6.0421320000000004E-3</v>
      </c>
      <c r="D88" s="28">
        <v>6.0421320000000004E-3</v>
      </c>
      <c r="E88" s="28">
        <v>6.0421320000000004E-3</v>
      </c>
      <c r="F88" s="28">
        <v>0.45792830099999998</v>
      </c>
      <c r="G88" s="28">
        <v>0.45792830099999998</v>
      </c>
    </row>
    <row r="89" spans="1:7" x14ac:dyDescent="0.35">
      <c r="A89" t="s">
        <v>338</v>
      </c>
      <c r="B89">
        <v>2048</v>
      </c>
      <c r="C89" s="28">
        <v>6.2732539999999998E-3</v>
      </c>
      <c r="D89" s="28">
        <v>6.2732539999999998E-3</v>
      </c>
      <c r="E89" s="28">
        <v>6.2732539999999998E-3</v>
      </c>
      <c r="F89" s="28">
        <v>0.47101606299999998</v>
      </c>
      <c r="G89" s="28">
        <v>0.47101606299999998</v>
      </c>
    </row>
    <row r="90" spans="1:7" x14ac:dyDescent="0.35">
      <c r="A90" t="s">
        <v>338</v>
      </c>
      <c r="B90">
        <v>2049</v>
      </c>
      <c r="C90" s="28">
        <v>6.5150909999999998E-3</v>
      </c>
      <c r="D90" s="28">
        <v>6.5150909999999998E-3</v>
      </c>
      <c r="E90" s="28">
        <v>6.5150909999999998E-3</v>
      </c>
      <c r="F90" s="28">
        <v>0.48289326799999999</v>
      </c>
      <c r="G90" s="28">
        <v>0.48289326799999999</v>
      </c>
    </row>
    <row r="91" spans="1:7" x14ac:dyDescent="0.35">
      <c r="A91" t="s">
        <v>338</v>
      </c>
      <c r="B91">
        <v>2050</v>
      </c>
      <c r="C91" s="28">
        <v>6.767019E-3</v>
      </c>
      <c r="D91" s="28">
        <v>6.767019E-3</v>
      </c>
      <c r="E91" s="28">
        <v>6.767019E-3</v>
      </c>
      <c r="F91" s="28">
        <v>0.49398055200000002</v>
      </c>
      <c r="G91" s="28">
        <v>0.49398055200000002</v>
      </c>
    </row>
    <row r="92" spans="1:7" x14ac:dyDescent="0.35">
      <c r="A92" t="s">
        <v>192</v>
      </c>
      <c r="B92">
        <v>2021</v>
      </c>
      <c r="C92" s="28">
        <v>1.2819571E-2</v>
      </c>
      <c r="D92" s="28">
        <v>1.2819571E-2</v>
      </c>
      <c r="E92" s="28">
        <v>1.2819571E-2</v>
      </c>
      <c r="F92" s="28">
        <v>1.2819571E-2</v>
      </c>
      <c r="G92" s="28">
        <v>1.2819571E-2</v>
      </c>
    </row>
    <row r="93" spans="1:7" x14ac:dyDescent="0.35">
      <c r="A93" t="s">
        <v>192</v>
      </c>
      <c r="B93">
        <v>2022</v>
      </c>
      <c r="C93" s="28">
        <v>1.4978317E-2</v>
      </c>
      <c r="D93" s="28">
        <v>3.2432076999999997E-2</v>
      </c>
      <c r="E93" s="28">
        <v>2.3705197000000001E-2</v>
      </c>
      <c r="F93" s="28">
        <v>2.3705197000000001E-2</v>
      </c>
      <c r="G93" s="28">
        <v>3.2432076999999997E-2</v>
      </c>
    </row>
    <row r="94" spans="1:7" x14ac:dyDescent="0.35">
      <c r="A94" t="s">
        <v>192</v>
      </c>
      <c r="B94">
        <v>2023</v>
      </c>
      <c r="C94" s="28">
        <v>1.7291666000000001E-2</v>
      </c>
      <c r="D94" s="28">
        <v>5.2044582999999998E-2</v>
      </c>
      <c r="E94" s="28">
        <v>3.4668124000000002E-2</v>
      </c>
      <c r="F94" s="28">
        <v>3.4668124000000002E-2</v>
      </c>
      <c r="G94" s="28">
        <v>5.2044582999999998E-2</v>
      </c>
    </row>
    <row r="95" spans="1:7" x14ac:dyDescent="0.35">
      <c r="A95" t="s">
        <v>192</v>
      </c>
      <c r="B95">
        <v>2024</v>
      </c>
      <c r="C95" s="28">
        <v>1.9724051999999999E-2</v>
      </c>
      <c r="D95" s="28">
        <v>7.1657088999999993E-2</v>
      </c>
      <c r="E95" s="28">
        <v>4.5690570999999999E-2</v>
      </c>
      <c r="F95" s="28">
        <v>4.5690570999999999E-2</v>
      </c>
      <c r="G95" s="28">
        <v>7.1657088999999993E-2</v>
      </c>
    </row>
    <row r="96" spans="1:7" x14ac:dyDescent="0.35">
      <c r="A96" t="s">
        <v>192</v>
      </c>
      <c r="B96">
        <v>2025</v>
      </c>
      <c r="C96" s="28">
        <v>2.2165526000000001E-2</v>
      </c>
      <c r="D96" s="28">
        <v>9.1269594999999995E-2</v>
      </c>
      <c r="E96" s="28">
        <v>5.671756E-2</v>
      </c>
      <c r="F96" s="28">
        <v>5.671756E-2</v>
      </c>
      <c r="G96" s="28">
        <v>9.1269594999999995E-2</v>
      </c>
    </row>
    <row r="97" spans="1:7" x14ac:dyDescent="0.35">
      <c r="A97" t="s">
        <v>192</v>
      </c>
      <c r="B97">
        <v>2026</v>
      </c>
      <c r="C97" s="28">
        <v>2.4657855999999999E-2</v>
      </c>
      <c r="D97" s="28">
        <v>0.12079788800000001</v>
      </c>
      <c r="E97" s="28">
        <v>7.2727871999999999E-2</v>
      </c>
      <c r="F97" s="28">
        <v>7.2727871999999999E-2</v>
      </c>
      <c r="G97" s="28">
        <v>0.12079788800000001</v>
      </c>
    </row>
    <row r="98" spans="1:7" x14ac:dyDescent="0.35">
      <c r="A98" t="s">
        <v>192</v>
      </c>
      <c r="B98">
        <v>2027</v>
      </c>
      <c r="C98" s="28">
        <v>2.7184686999999999E-2</v>
      </c>
      <c r="D98" s="28">
        <v>0.151904497</v>
      </c>
      <c r="E98" s="28">
        <v>8.9544592000000006E-2</v>
      </c>
      <c r="F98" s="28">
        <v>8.9544592000000006E-2</v>
      </c>
      <c r="G98" s="28">
        <v>0.151904497</v>
      </c>
    </row>
    <row r="99" spans="1:7" x14ac:dyDescent="0.35">
      <c r="A99" t="s">
        <v>192</v>
      </c>
      <c r="B99">
        <v>2028</v>
      </c>
      <c r="C99" s="28">
        <v>2.9742540000000001E-2</v>
      </c>
      <c r="D99" s="28">
        <v>0.18432768499999999</v>
      </c>
      <c r="E99" s="28">
        <v>0.107035112</v>
      </c>
      <c r="F99" s="28">
        <v>0.107035112</v>
      </c>
      <c r="G99" s="28">
        <v>0.18432768499999999</v>
      </c>
    </row>
    <row r="100" spans="1:7" x14ac:dyDescent="0.35">
      <c r="A100" t="s">
        <v>192</v>
      </c>
      <c r="B100">
        <v>2029</v>
      </c>
      <c r="C100" s="28">
        <v>3.2380491999999997E-2</v>
      </c>
      <c r="D100" s="28">
        <v>0.22622346600000001</v>
      </c>
      <c r="E100" s="28">
        <v>0.12930197900000001</v>
      </c>
      <c r="F100" s="28">
        <v>0.12930197900000001</v>
      </c>
      <c r="G100" s="28">
        <v>0.22622346600000001</v>
      </c>
    </row>
    <row r="101" spans="1:7" x14ac:dyDescent="0.35">
      <c r="A101" t="s">
        <v>192</v>
      </c>
      <c r="B101">
        <v>2030</v>
      </c>
      <c r="C101" s="28">
        <v>3.5179580000000002E-2</v>
      </c>
      <c r="D101" s="28">
        <v>0.27353129100000001</v>
      </c>
      <c r="E101" s="28">
        <v>0.15435543600000001</v>
      </c>
      <c r="F101" s="28">
        <v>0.15435543600000001</v>
      </c>
      <c r="G101" s="28">
        <v>0.27353129100000001</v>
      </c>
    </row>
    <row r="102" spans="1:7" x14ac:dyDescent="0.35">
      <c r="A102" t="s">
        <v>192</v>
      </c>
      <c r="B102">
        <v>2031</v>
      </c>
      <c r="C102" s="28">
        <v>3.8168565000000002E-2</v>
      </c>
      <c r="D102" s="28">
        <v>0.32771400000000001</v>
      </c>
      <c r="E102" s="28">
        <v>0.18294128300000001</v>
      </c>
      <c r="F102" s="28">
        <v>0.18294128300000001</v>
      </c>
      <c r="G102" s="28">
        <v>0.32771400000000001</v>
      </c>
    </row>
    <row r="103" spans="1:7" x14ac:dyDescent="0.35">
      <c r="A103" t="s">
        <v>192</v>
      </c>
      <c r="B103">
        <v>2032</v>
      </c>
      <c r="C103" s="28">
        <v>4.1333373999999999E-2</v>
      </c>
      <c r="D103" s="28">
        <v>0.38171043300000002</v>
      </c>
      <c r="E103" s="28">
        <v>0.21152190400000001</v>
      </c>
      <c r="F103" s="28">
        <v>0.21152190400000001</v>
      </c>
      <c r="G103" s="28">
        <v>0.38171043300000002</v>
      </c>
    </row>
    <row r="104" spans="1:7" x14ac:dyDescent="0.35">
      <c r="A104" t="s">
        <v>192</v>
      </c>
      <c r="B104">
        <v>2033</v>
      </c>
      <c r="C104" s="28">
        <v>4.4657994999999999E-2</v>
      </c>
      <c r="D104" s="28">
        <v>0.43484204300000001</v>
      </c>
      <c r="E104" s="28">
        <v>0.23975001900000001</v>
      </c>
      <c r="F104" s="28">
        <v>0.23975001900000001</v>
      </c>
      <c r="G104" s="28">
        <v>0.43484204300000001</v>
      </c>
    </row>
    <row r="105" spans="1:7" x14ac:dyDescent="0.35">
      <c r="A105" t="s">
        <v>192</v>
      </c>
      <c r="B105">
        <v>2034</v>
      </c>
      <c r="C105" s="28">
        <v>4.8126879999999997E-2</v>
      </c>
      <c r="D105" s="28">
        <v>0.48654755500000002</v>
      </c>
      <c r="E105" s="28">
        <v>0.26733721799999999</v>
      </c>
      <c r="F105" s="28">
        <v>0.26733721799999999</v>
      </c>
      <c r="G105" s="28">
        <v>0.48654755500000002</v>
      </c>
    </row>
    <row r="106" spans="1:7" x14ac:dyDescent="0.35">
      <c r="A106" t="s">
        <v>192</v>
      </c>
      <c r="B106">
        <v>2035</v>
      </c>
      <c r="C106" s="28">
        <v>5.1706859000000001E-2</v>
      </c>
      <c r="D106" s="28">
        <v>0.53597180700000002</v>
      </c>
      <c r="E106" s="28">
        <v>0.29383933299999998</v>
      </c>
      <c r="F106" s="28">
        <v>0.29383933299999998</v>
      </c>
      <c r="G106" s="28">
        <v>0.53597180700000002</v>
      </c>
    </row>
    <row r="107" spans="1:7" x14ac:dyDescent="0.35">
      <c r="A107" t="s">
        <v>192</v>
      </c>
      <c r="B107">
        <v>2036</v>
      </c>
      <c r="C107" s="28">
        <v>5.5368675999999999E-2</v>
      </c>
      <c r="D107" s="28">
        <v>0.58298080299999999</v>
      </c>
      <c r="E107" s="28">
        <v>0.31917473899999999</v>
      </c>
      <c r="F107" s="28">
        <v>0.31917473899999999</v>
      </c>
      <c r="G107" s="28">
        <v>0.58298080299999999</v>
      </c>
    </row>
    <row r="108" spans="1:7" x14ac:dyDescent="0.35">
      <c r="A108" t="s">
        <v>192</v>
      </c>
      <c r="B108">
        <v>2037</v>
      </c>
      <c r="C108" s="28">
        <v>5.9080055999999999E-2</v>
      </c>
      <c r="D108" s="28">
        <v>0.62722744100000005</v>
      </c>
      <c r="E108" s="28">
        <v>0.34315374799999998</v>
      </c>
      <c r="F108" s="28">
        <v>0.34315374799999998</v>
      </c>
      <c r="G108" s="28">
        <v>0.62722744100000005</v>
      </c>
    </row>
    <row r="109" spans="1:7" x14ac:dyDescent="0.35">
      <c r="A109" t="s">
        <v>192</v>
      </c>
      <c r="B109">
        <v>2038</v>
      </c>
      <c r="C109" s="28">
        <v>6.2828703E-2</v>
      </c>
      <c r="D109" s="28">
        <v>0.66866269899999997</v>
      </c>
      <c r="E109" s="28">
        <v>0.36574570099999998</v>
      </c>
      <c r="F109" s="28">
        <v>0.36574570099999998</v>
      </c>
      <c r="G109" s="28">
        <v>0.66866269899999997</v>
      </c>
    </row>
    <row r="110" spans="1:7" x14ac:dyDescent="0.35">
      <c r="A110" t="s">
        <v>192</v>
      </c>
      <c r="B110">
        <v>2039</v>
      </c>
      <c r="C110" s="28">
        <v>6.6573137000000004E-2</v>
      </c>
      <c r="D110" s="28">
        <v>0.70719917499999996</v>
      </c>
      <c r="E110" s="28">
        <v>0.38688615599999998</v>
      </c>
      <c r="F110" s="28">
        <v>0.38688615599999998</v>
      </c>
      <c r="G110" s="28">
        <v>0.70719917499999996</v>
      </c>
    </row>
    <row r="111" spans="1:7" x14ac:dyDescent="0.35">
      <c r="A111" t="s">
        <v>192</v>
      </c>
      <c r="B111">
        <v>2040</v>
      </c>
      <c r="C111" s="28">
        <v>7.0318973000000007E-2</v>
      </c>
      <c r="D111" s="28">
        <v>0.74286130100000003</v>
      </c>
      <c r="E111" s="28">
        <v>0.40659013700000002</v>
      </c>
      <c r="F111" s="28">
        <v>0.40659013700000002</v>
      </c>
      <c r="G111" s="28">
        <v>0.74286130100000003</v>
      </c>
    </row>
    <row r="112" spans="1:7" x14ac:dyDescent="0.35">
      <c r="A112" t="s">
        <v>192</v>
      </c>
      <c r="B112">
        <v>2041</v>
      </c>
      <c r="C112" s="28">
        <v>7.4044963000000005E-2</v>
      </c>
      <c r="D112" s="28">
        <v>0.77541419899999997</v>
      </c>
      <c r="E112" s="28">
        <v>0.42472958100000002</v>
      </c>
      <c r="F112" s="28">
        <v>0.42472958100000002</v>
      </c>
      <c r="G112" s="28">
        <v>0.77541419899999997</v>
      </c>
    </row>
    <row r="113" spans="1:7" x14ac:dyDescent="0.35">
      <c r="A113" t="s">
        <v>192</v>
      </c>
      <c r="B113">
        <v>2042</v>
      </c>
      <c r="C113" s="28">
        <v>7.7742975000000006E-2</v>
      </c>
      <c r="D113" s="28">
        <v>0.80508984299999997</v>
      </c>
      <c r="E113" s="28">
        <v>0.44141640900000001</v>
      </c>
      <c r="F113" s="28">
        <v>0.44141640900000001</v>
      </c>
      <c r="G113" s="28">
        <v>0.80508984299999997</v>
      </c>
    </row>
    <row r="114" spans="1:7" x14ac:dyDescent="0.35">
      <c r="A114" t="s">
        <v>192</v>
      </c>
      <c r="B114">
        <v>2043</v>
      </c>
      <c r="C114" s="28">
        <v>8.1487271E-2</v>
      </c>
      <c r="D114" s="28">
        <v>0.83183468400000005</v>
      </c>
      <c r="E114" s="28">
        <v>0.456660978</v>
      </c>
      <c r="F114" s="28">
        <v>0.456660978</v>
      </c>
      <c r="G114" s="28">
        <v>0.83183468400000005</v>
      </c>
    </row>
    <row r="115" spans="1:7" x14ac:dyDescent="0.35">
      <c r="A115" t="s">
        <v>192</v>
      </c>
      <c r="B115">
        <v>2044</v>
      </c>
      <c r="C115" s="28">
        <v>8.5272758000000004E-2</v>
      </c>
      <c r="D115" s="28">
        <v>0.85566570900000005</v>
      </c>
      <c r="E115" s="28">
        <v>0.47046923400000001</v>
      </c>
      <c r="F115" s="28">
        <v>0.47046923400000001</v>
      </c>
      <c r="G115" s="28">
        <v>0.85566570900000005</v>
      </c>
    </row>
    <row r="116" spans="1:7" x14ac:dyDescent="0.35">
      <c r="A116" t="s">
        <v>192</v>
      </c>
      <c r="B116">
        <v>2045</v>
      </c>
      <c r="C116" s="28">
        <v>8.9111153999999998E-2</v>
      </c>
      <c r="D116" s="28">
        <v>0.87680356800000003</v>
      </c>
      <c r="E116" s="28">
        <v>0.48295736099999997</v>
      </c>
      <c r="F116" s="28">
        <v>0.48295736099999997</v>
      </c>
      <c r="G116" s="28">
        <v>0.87680356800000003</v>
      </c>
    </row>
    <row r="117" spans="1:7" x14ac:dyDescent="0.35">
      <c r="A117" t="s">
        <v>192</v>
      </c>
      <c r="B117">
        <v>2046</v>
      </c>
      <c r="C117" s="28">
        <v>9.3001159E-2</v>
      </c>
      <c r="D117" s="28">
        <v>0.89522190400000001</v>
      </c>
      <c r="E117" s="28">
        <v>0.49411153099999999</v>
      </c>
      <c r="F117" s="28">
        <v>0.49411153099999999</v>
      </c>
      <c r="G117" s="28">
        <v>0.89522190400000001</v>
      </c>
    </row>
    <row r="118" spans="1:7" x14ac:dyDescent="0.35">
      <c r="A118" t="s">
        <v>192</v>
      </c>
      <c r="B118">
        <v>2047</v>
      </c>
      <c r="C118" s="28">
        <v>9.6893360999999997E-2</v>
      </c>
      <c r="D118" s="28">
        <v>0.91109814099999997</v>
      </c>
      <c r="E118" s="28">
        <v>0.50399575100000005</v>
      </c>
      <c r="F118" s="28">
        <v>0.50399575100000005</v>
      </c>
      <c r="G118" s="28">
        <v>0.91109814099999997</v>
      </c>
    </row>
    <row r="119" spans="1:7" x14ac:dyDescent="0.35">
      <c r="A119" t="s">
        <v>192</v>
      </c>
      <c r="B119">
        <v>2048</v>
      </c>
      <c r="C119" s="28">
        <v>0.100758687</v>
      </c>
      <c r="D119" s="28">
        <v>0.92468582899999996</v>
      </c>
      <c r="E119" s="28">
        <v>0.51272225800000004</v>
      </c>
      <c r="F119" s="28">
        <v>0.51272225800000004</v>
      </c>
      <c r="G119" s="28">
        <v>0.92468582899999996</v>
      </c>
    </row>
    <row r="120" spans="1:7" x14ac:dyDescent="0.35">
      <c r="A120" t="s">
        <v>192</v>
      </c>
      <c r="B120">
        <v>2049</v>
      </c>
      <c r="C120" s="28">
        <v>0.104609438</v>
      </c>
      <c r="D120" s="28">
        <v>0.93609858000000001</v>
      </c>
      <c r="E120" s="28">
        <v>0.52035400899999995</v>
      </c>
      <c r="F120" s="28">
        <v>0.52035400899999995</v>
      </c>
      <c r="G120" s="28">
        <v>0.93609858000000001</v>
      </c>
    </row>
    <row r="121" spans="1:7" x14ac:dyDescent="0.35">
      <c r="A121" t="s">
        <v>192</v>
      </c>
      <c r="B121">
        <v>2050</v>
      </c>
      <c r="C121" s="28">
        <v>0.108448247</v>
      </c>
      <c r="D121" s="28">
        <v>0.94575257999999995</v>
      </c>
      <c r="E121" s="28">
        <v>0.52710000000000001</v>
      </c>
      <c r="F121" s="28">
        <v>0.52710041399999996</v>
      </c>
      <c r="G121" s="28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workbookViewId="0">
      <selection activeCell="C53" sqref="C53:F5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333</v>
      </c>
      <c r="B53">
        <v>2019</v>
      </c>
      <c r="C53">
        <f>SUM(C2:C52)</f>
        <v>63360965</v>
      </c>
      <c r="D53">
        <f t="shared" ref="D53:F53" si="0">SUM(D2:D52)</f>
        <v>12707307116</v>
      </c>
      <c r="E53">
        <f t="shared" si="0"/>
        <v>17340181005</v>
      </c>
      <c r="F53">
        <f t="shared" si="0"/>
        <v>2493009013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311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239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240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  <row r="53" spans="1:3" x14ac:dyDescent="0.35">
      <c r="A53" t="s">
        <v>333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5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2025-07-14T19:09:35Z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