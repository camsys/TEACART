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530" documentId="13_ncr:1_{1FBCA57C-6DC9-49DB-92F9-9F72A168ADC6}" xr6:coauthVersionLast="47" xr6:coauthVersionMax="47" xr10:uidLastSave="{F03A19E8-ECF4-4511-BC49-D4F0864D7EF1}"/>
  <bookViews>
    <workbookView xWindow="29070" yWindow="-14715" windowWidth="16440" windowHeight="29040" tabRatio="955" firstSheet="18" activeTab="22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Transit_Costs" sheetId="16" r:id="rId8"/>
    <sheet name="VMT_State_Allocation" sheetId="9" r:id="rId9"/>
    <sheet name="State_Prices" sheetId="10" r:id="rId10"/>
    <sheet name="Bike_Ped" sheetId="5" r:id="rId11"/>
    <sheet name="NTD_Service" sheetId="12" r:id="rId12"/>
    <sheet name="Cost_TimeSeries" sheetId="30" r:id="rId13"/>
    <sheet name="Fuel_Factors" sheetId="14" r:id="rId14"/>
    <sheet name="Fuel_Factors_Weighted" sheetId="28" r:id="rId15"/>
    <sheet name="Fuel_Factors_Baselines" sheetId="23" r:id="rId16"/>
    <sheet name="Fuel_Factors_Revision" sheetId="22" r:id="rId17"/>
    <sheet name="Warming_Potential" sheetId="17" r:id="rId18"/>
    <sheet name="EV_Forecast" sheetId="24" r:id="rId19"/>
    <sheet name="Passenger_Rail_State_Mileage" sheetId="25" r:id="rId20"/>
    <sheet name="Passenger_Rail_FuelFactors" sheetId="26" r:id="rId21"/>
    <sheet name="Freight_Rail_Data" sheetId="27" r:id="rId22"/>
    <sheet name="Public_Transit_Mileage" sheetId="29" r:id="rId23"/>
  </sheets>
  <externalReferences>
    <externalReference r:id="rId24"/>
    <externalReference r:id="rId25"/>
  </externalReferences>
  <definedNames>
    <definedName name="_xlnm._FilterDatabase" localSheetId="3" hidden="1">AEO_VMT_Base!$A$1:$C$1</definedName>
    <definedName name="_xlnm._FilterDatabase" localSheetId="8" hidden="1">VMT_State_Allocation!$A$1:$C$1561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29" l="1"/>
  <c r="E57" i="29"/>
  <c r="C57" i="29"/>
  <c r="C53" i="27"/>
  <c r="D53" i="25"/>
  <c r="E53" i="25"/>
  <c r="F53" i="25"/>
  <c r="C53" i="25"/>
  <c r="I53" i="10"/>
  <c r="J53" i="10"/>
  <c r="H53" i="10"/>
  <c r="D53" i="10"/>
  <c r="E53" i="10"/>
  <c r="F53" i="10"/>
  <c r="G53" i="10"/>
  <c r="C53" i="10"/>
  <c r="C1533" i="9"/>
  <c r="C1534" i="9"/>
  <c r="C1535" i="9"/>
  <c r="C1536" i="9"/>
  <c r="C1537" i="9"/>
  <c r="C1538" i="9"/>
  <c r="C1539" i="9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C1552" i="9"/>
  <c r="C1553" i="9"/>
  <c r="C1554" i="9"/>
  <c r="C1555" i="9"/>
  <c r="C1556" i="9"/>
  <c r="C1557" i="9"/>
  <c r="C1558" i="9"/>
  <c r="C1559" i="9"/>
  <c r="C1560" i="9"/>
  <c r="C1561" i="9"/>
  <c r="C1532" i="9"/>
  <c r="D196" i="16"/>
  <c r="G196" i="16" s="1" a="1"/>
  <c r="G196" i="16" s="1"/>
  <c r="E196" i="16"/>
  <c r="F196" i="16"/>
  <c r="H196" i="16"/>
  <c r="D197" i="16"/>
  <c r="G197" i="16" s="1" a="1"/>
  <c r="G197" i="16" s="1"/>
  <c r="E197" i="16"/>
  <c r="F197" i="16"/>
  <c r="H197" i="16"/>
  <c r="D198" i="16"/>
  <c r="E198" i="16"/>
  <c r="F198" i="16"/>
  <c r="G198" i="16" a="1"/>
  <c r="G198" i="16"/>
  <c r="H198" i="16"/>
  <c r="D199" i="16"/>
  <c r="E199" i="16"/>
  <c r="F199" i="16"/>
  <c r="G199" i="16" a="1"/>
  <c r="G199" i="16" s="1"/>
  <c r="H199" i="16"/>
  <c r="D200" i="16"/>
  <c r="G200" i="16" s="1" a="1"/>
  <c r="G200" i="16" s="1"/>
  <c r="E200" i="16"/>
  <c r="F200" i="16"/>
  <c r="H200" i="16"/>
  <c r="D195" i="16"/>
  <c r="E195" i="16"/>
  <c r="F195" i="16"/>
  <c r="H195" i="16"/>
  <c r="H279" i="12"/>
  <c r="H280" i="12"/>
  <c r="H281" i="12"/>
  <c r="H282" i="12"/>
  <c r="H283" i="12"/>
  <c r="H284" i="12"/>
  <c r="H285" i="12"/>
  <c r="H286" i="12"/>
  <c r="H269" i="12"/>
  <c r="D9" i="28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G194" i="16" a="1"/>
  <c r="G194" i="16" s="1"/>
  <c r="G193" i="16" a="1"/>
  <c r="G193" i="16" s="1"/>
  <c r="G192" i="16" a="1"/>
  <c r="G192" i="16" s="1"/>
  <c r="G191" i="16" a="1"/>
  <c r="G191" i="16" s="1"/>
  <c r="G190" i="16" a="1"/>
  <c r="G190" i="16" s="1"/>
  <c r="G189" i="16" a="1"/>
  <c r="G189" i="16" s="1"/>
  <c r="G188" i="16" a="1"/>
  <c r="G188" i="16" s="1"/>
  <c r="G187" i="16" a="1"/>
  <c r="G187" i="16" s="1"/>
  <c r="G186" i="16" a="1"/>
  <c r="G186" i="16" s="1"/>
  <c r="G185" i="16" a="1"/>
  <c r="G185" i="16" s="1"/>
  <c r="G184" i="16" a="1"/>
  <c r="G184" i="16" s="1"/>
  <c r="G183" i="16" a="1"/>
  <c r="G183" i="16" s="1"/>
  <c r="G182" i="16" a="1"/>
  <c r="G182" i="16" s="1"/>
  <c r="G181" i="16" a="1"/>
  <c r="G181" i="16" s="1"/>
  <c r="G180" i="16" a="1"/>
  <c r="G180" i="16" s="1"/>
  <c r="G179" i="16" a="1"/>
  <c r="G179" i="16" s="1"/>
  <c r="G178" i="16" a="1"/>
  <c r="G178" i="16" s="1"/>
  <c r="G177" i="16" a="1"/>
  <c r="G177" i="16" s="1"/>
  <c r="G176" i="16" a="1"/>
  <c r="G176" i="16" s="1"/>
  <c r="G175" i="16" a="1"/>
  <c r="G175" i="16" s="1"/>
  <c r="G174" i="16" a="1"/>
  <c r="G174" i="16" s="1"/>
  <c r="G173" i="16" a="1"/>
  <c r="G173" i="16" s="1"/>
  <c r="G172" i="16" a="1"/>
  <c r="G172" i="16" s="1"/>
  <c r="G171" i="16" a="1"/>
  <c r="G171" i="16" s="1"/>
  <c r="G170" i="16" a="1"/>
  <c r="G170" i="16" s="1"/>
  <c r="G169" i="16" a="1"/>
  <c r="G169" i="16" s="1"/>
  <c r="G168" i="16" a="1"/>
  <c r="G168" i="16" s="1"/>
  <c r="G167" i="16" a="1"/>
  <c r="G167" i="16" s="1"/>
  <c r="G166" i="16" a="1"/>
  <c r="G166" i="16" s="1"/>
  <c r="G165" i="16" a="1"/>
  <c r="G165" i="16" s="1"/>
  <c r="G164" i="16" a="1"/>
  <c r="G164" i="16" s="1"/>
  <c r="G163" i="16" a="1"/>
  <c r="G163" i="16" s="1"/>
  <c r="G162" i="16" a="1"/>
  <c r="G162" i="16" s="1"/>
  <c r="G161" i="16" a="1"/>
  <c r="G161" i="16" s="1"/>
  <c r="G160" i="16" a="1"/>
  <c r="G160" i="16" s="1"/>
  <c r="G159" i="16" a="1"/>
  <c r="G159" i="16" s="1"/>
  <c r="G158" i="16" a="1"/>
  <c r="G158" i="16" s="1"/>
  <c r="G157" i="16" a="1"/>
  <c r="G157" i="16" s="1"/>
  <c r="G156" i="16" a="1"/>
  <c r="G156" i="16" s="1"/>
  <c r="G155" i="16" a="1"/>
  <c r="G155" i="16" s="1"/>
  <c r="G154" i="16" a="1"/>
  <c r="G154" i="16" s="1"/>
  <c r="G153" i="16" a="1"/>
  <c r="G153" i="16" s="1"/>
  <c r="G152" i="16" a="1"/>
  <c r="G152" i="16" s="1"/>
  <c r="G151" i="16" a="1"/>
  <c r="G151" i="16" s="1"/>
  <c r="G150" i="16" a="1"/>
  <c r="G150" i="16" s="1"/>
  <c r="G149" i="16" a="1"/>
  <c r="G149" i="16" s="1"/>
  <c r="G148" i="16" a="1"/>
  <c r="G148" i="16" s="1"/>
  <c r="G147" i="16" a="1"/>
  <c r="G147" i="16" s="1"/>
  <c r="G146" i="16" a="1"/>
  <c r="G146" i="16" s="1"/>
  <c r="G145" i="16" a="1"/>
  <c r="G145" i="16" s="1"/>
  <c r="G144" i="16" a="1"/>
  <c r="G144" i="16" s="1"/>
  <c r="G143" i="16" a="1"/>
  <c r="G143" i="16" s="1"/>
  <c r="G142" i="16" a="1"/>
  <c r="G142" i="16" s="1"/>
  <c r="G141" i="16" a="1"/>
  <c r="G141" i="16" s="1"/>
  <c r="G140" i="16" a="1"/>
  <c r="G140" i="16" s="1"/>
  <c r="G139" i="16" a="1"/>
  <c r="G139" i="16" s="1"/>
  <c r="G138" i="16" a="1"/>
  <c r="G138" i="16" s="1"/>
  <c r="G137" i="16" a="1"/>
  <c r="G137" i="16" s="1"/>
  <c r="G136" i="16" a="1"/>
  <c r="G136" i="16" s="1"/>
  <c r="G135" i="16" a="1"/>
  <c r="G135" i="16" s="1"/>
  <c r="G134" i="16" a="1"/>
  <c r="G134" i="16" s="1"/>
  <c r="G133" i="16" a="1"/>
  <c r="G133" i="16" s="1"/>
  <c r="G132" i="16" a="1"/>
  <c r="G132" i="16" s="1"/>
  <c r="G131" i="16" a="1"/>
  <c r="G131" i="16" s="1"/>
  <c r="G130" i="16" a="1"/>
  <c r="G130" i="16" s="1"/>
  <c r="G129" i="16" a="1"/>
  <c r="G129" i="16" s="1"/>
  <c r="G128" i="16" a="1"/>
  <c r="G128" i="16" s="1"/>
  <c r="G127" i="16" a="1"/>
  <c r="G127" i="16" s="1"/>
  <c r="G126" i="16" a="1"/>
  <c r="G126" i="16" s="1"/>
  <c r="G125" i="16" a="1"/>
  <c r="G125" i="16" s="1"/>
  <c r="G124" i="16" a="1"/>
  <c r="G124" i="16" s="1"/>
  <c r="G123" i="16" a="1"/>
  <c r="G123" i="16" s="1"/>
  <c r="G122" i="16" a="1"/>
  <c r="G122" i="16" s="1"/>
  <c r="G121" i="16" a="1"/>
  <c r="G121" i="16" s="1"/>
  <c r="G120" i="16" a="1"/>
  <c r="G120" i="16" s="1"/>
  <c r="G119" i="16" a="1"/>
  <c r="G119" i="16" s="1"/>
  <c r="G118" i="16" a="1"/>
  <c r="G118" i="16" s="1"/>
  <c r="G117" i="16" a="1"/>
  <c r="G117" i="16" s="1"/>
  <c r="G116" i="16" a="1"/>
  <c r="G116" i="16" s="1"/>
  <c r="G115" i="16" a="1"/>
  <c r="G115" i="16" s="1"/>
  <c r="G114" i="16" a="1"/>
  <c r="G114" i="16" s="1"/>
  <c r="G113" i="16" a="1"/>
  <c r="G113" i="16" s="1"/>
  <c r="G112" i="16" a="1"/>
  <c r="G112" i="16" s="1"/>
  <c r="G111" i="16" a="1"/>
  <c r="G111" i="16" s="1"/>
  <c r="G110" i="16" a="1"/>
  <c r="G110" i="16" s="1"/>
  <c r="G109" i="16" a="1"/>
  <c r="G109" i="16" s="1"/>
  <c r="G108" i="16" a="1"/>
  <c r="G108" i="16" s="1"/>
  <c r="G107" i="16" a="1"/>
  <c r="G107" i="16" s="1"/>
  <c r="G106" i="16" a="1"/>
  <c r="G106" i="16" s="1"/>
  <c r="G105" i="16" a="1"/>
  <c r="G105" i="16" s="1"/>
  <c r="G104" i="16" a="1"/>
  <c r="G104" i="16" s="1"/>
  <c r="G103" i="16" a="1"/>
  <c r="G103" i="16" s="1"/>
  <c r="G102" i="16" a="1"/>
  <c r="G102" i="16" s="1"/>
  <c r="G101" i="16" a="1"/>
  <c r="G101" i="16" s="1"/>
  <c r="G100" i="16" a="1"/>
  <c r="G100" i="16" s="1"/>
  <c r="G99" i="16" a="1"/>
  <c r="G99" i="16" s="1"/>
  <c r="G98" i="16" a="1"/>
  <c r="G98" i="16" s="1"/>
  <c r="G97" i="16" a="1"/>
  <c r="G97" i="16" s="1"/>
  <c r="G96" i="16" a="1"/>
  <c r="G96" i="16" s="1"/>
  <c r="G95" i="16" a="1"/>
  <c r="G95" i="16" s="1"/>
  <c r="G94" i="16" a="1"/>
  <c r="G94" i="16" s="1"/>
  <c r="G93" i="16" a="1"/>
  <c r="G93" i="16" s="1"/>
  <c r="G92" i="16" a="1"/>
  <c r="G92" i="16" s="1"/>
  <c r="G91" i="16" a="1"/>
  <c r="G91" i="16" s="1"/>
  <c r="G90" i="16" a="1"/>
  <c r="G90" i="16" s="1"/>
  <c r="G89" i="16" a="1"/>
  <c r="G89" i="16" s="1"/>
  <c r="G88" i="16" a="1"/>
  <c r="G88" i="16" s="1"/>
  <c r="G87" i="16" a="1"/>
  <c r="G87" i="16" s="1"/>
  <c r="G86" i="16" a="1"/>
  <c r="G86" i="16" s="1"/>
  <c r="G85" i="16" a="1"/>
  <c r="G85" i="16" s="1"/>
  <c r="G84" i="16" a="1"/>
  <c r="G84" i="16" s="1"/>
  <c r="G83" i="16" a="1"/>
  <c r="G83" i="16" s="1"/>
  <c r="G82" i="16" a="1"/>
  <c r="G82" i="16" s="1"/>
  <c r="G81" i="16" a="1"/>
  <c r="G81" i="16" s="1"/>
  <c r="G80" i="16" a="1"/>
  <c r="G80" i="16" s="1"/>
  <c r="G79" i="16" a="1"/>
  <c r="G79" i="16" s="1"/>
  <c r="G78" i="16" a="1"/>
  <c r="G78" i="16" s="1"/>
  <c r="G77" i="16" a="1"/>
  <c r="G77" i="16" s="1"/>
  <c r="G76" i="16" a="1"/>
  <c r="G76" i="16" s="1"/>
  <c r="G75" i="16" a="1"/>
  <c r="G75" i="16" s="1"/>
  <c r="G74" i="16" a="1"/>
  <c r="G74" i="16" s="1"/>
  <c r="G73" i="16" a="1"/>
  <c r="G73" i="16" s="1"/>
  <c r="G72" i="16" a="1"/>
  <c r="G72" i="16" s="1"/>
  <c r="G71" i="16" a="1"/>
  <c r="G71" i="16" s="1"/>
  <c r="G70" i="16" a="1"/>
  <c r="G70" i="16" s="1"/>
  <c r="G69" i="16" a="1"/>
  <c r="G69" i="16" s="1"/>
  <c r="G68" i="16" a="1"/>
  <c r="G68" i="16" s="1"/>
  <c r="G67" i="16" a="1"/>
  <c r="G67" i="16" s="1"/>
  <c r="G66" i="16" a="1"/>
  <c r="G66" i="16" s="1"/>
  <c r="G65" i="16" a="1"/>
  <c r="G65" i="16" s="1"/>
  <c r="G64" i="16" a="1"/>
  <c r="G64" i="16" s="1"/>
  <c r="G63" i="16" a="1"/>
  <c r="G63" i="16" s="1"/>
  <c r="G62" i="16" a="1"/>
  <c r="G62" i="16" s="1"/>
  <c r="G61" i="16" a="1"/>
  <c r="G61" i="16" s="1"/>
  <c r="G60" i="16" a="1"/>
  <c r="G60" i="16" s="1"/>
  <c r="G59" i="16" a="1"/>
  <c r="G59" i="16" s="1"/>
  <c r="G58" i="16" a="1"/>
  <c r="G58" i="16" s="1"/>
  <c r="G57" i="16" a="1"/>
  <c r="G57" i="16" s="1"/>
  <c r="G56" i="16" a="1"/>
  <c r="G56" i="16" s="1"/>
  <c r="G55" i="16" a="1"/>
  <c r="G55" i="16" s="1"/>
  <c r="G54" i="16" a="1"/>
  <c r="G54" i="16" s="1"/>
  <c r="G53" i="16" a="1"/>
  <c r="G53" i="16" s="1"/>
  <c r="G52" i="16" a="1"/>
  <c r="G52" i="16" s="1"/>
  <c r="G51" i="16" a="1"/>
  <c r="G51" i="16" s="1"/>
  <c r="G50" i="16" a="1"/>
  <c r="G50" i="16" s="1"/>
  <c r="G49" i="16" a="1"/>
  <c r="G49" i="16" s="1"/>
  <c r="G48" i="16" a="1"/>
  <c r="G48" i="16" s="1"/>
  <c r="G47" i="16" a="1"/>
  <c r="G47" i="16" s="1"/>
  <c r="G46" i="16" a="1"/>
  <c r="G46" i="16" s="1"/>
  <c r="G45" i="16" a="1"/>
  <c r="G45" i="16" s="1"/>
  <c r="G44" i="16" a="1"/>
  <c r="G44" i="16" s="1"/>
  <c r="G43" i="16" a="1"/>
  <c r="G43" i="16" s="1"/>
  <c r="G42" i="16" a="1"/>
  <c r="G42" i="16" s="1"/>
  <c r="G41" i="16" a="1"/>
  <c r="G41" i="16" s="1"/>
  <c r="G40" i="16" a="1"/>
  <c r="G40" i="16" s="1"/>
  <c r="G39" i="16" a="1"/>
  <c r="G39" i="16" s="1"/>
  <c r="G38" i="16" a="1"/>
  <c r="G38" i="16" s="1"/>
  <c r="G37" i="16" a="1"/>
  <c r="G37" i="16" s="1"/>
  <c r="G36" i="16" a="1"/>
  <c r="G36" i="16" s="1"/>
  <c r="G35" i="16" a="1"/>
  <c r="G35" i="16" s="1"/>
  <c r="G34" i="16" a="1"/>
  <c r="G34" i="16" s="1"/>
  <c r="G33" i="16" a="1"/>
  <c r="G33" i="16" s="1"/>
  <c r="G32" i="16" a="1"/>
  <c r="G32" i="16" s="1"/>
  <c r="G31" i="16" a="1"/>
  <c r="G31" i="16" s="1"/>
  <c r="G30" i="16" a="1"/>
  <c r="G30" i="16" s="1"/>
  <c r="G29" i="16" a="1"/>
  <c r="G29" i="16" s="1"/>
  <c r="G28" i="16" a="1"/>
  <c r="G28" i="16" s="1"/>
  <c r="G27" i="16" a="1"/>
  <c r="G27" i="16" s="1"/>
  <c r="G26" i="16" a="1"/>
  <c r="G26" i="16" s="1"/>
  <c r="G25" i="16" a="1"/>
  <c r="G25" i="16" s="1"/>
  <c r="G24" i="16" a="1"/>
  <c r="G24" i="16" s="1"/>
  <c r="G23" i="16" a="1"/>
  <c r="G23" i="16" s="1"/>
  <c r="G22" i="16" a="1"/>
  <c r="G22" i="16" s="1"/>
  <c r="G21" i="16" a="1"/>
  <c r="G21" i="16" s="1"/>
  <c r="G20" i="16" a="1"/>
  <c r="G20" i="16" s="1"/>
  <c r="G19" i="16" a="1"/>
  <c r="G19" i="16" s="1"/>
  <c r="G18" i="16" a="1"/>
  <c r="G18" i="16" s="1"/>
  <c r="G17" i="16" a="1"/>
  <c r="G17" i="16" s="1"/>
  <c r="G16" i="16" a="1"/>
  <c r="G16" i="16" s="1"/>
  <c r="G15" i="16" a="1"/>
  <c r="G15" i="16" s="1"/>
  <c r="G14" i="16" a="1"/>
  <c r="G14" i="16" s="1"/>
  <c r="G13" i="16" a="1"/>
  <c r="G13" i="16" s="1"/>
  <c r="G12" i="16" a="1"/>
  <c r="G12" i="16" s="1"/>
  <c r="G11" i="16" a="1"/>
  <c r="G11" i="16" s="1"/>
  <c r="G10" i="16" a="1"/>
  <c r="G10" i="16" s="1"/>
  <c r="G9" i="16" a="1"/>
  <c r="G9" i="16" s="1"/>
  <c r="G8" i="16" a="1"/>
  <c r="G8" i="16" s="1"/>
  <c r="G7" i="16" a="1"/>
  <c r="G7" i="16" s="1"/>
  <c r="G6" i="16" a="1"/>
  <c r="G6" i="16" s="1"/>
  <c r="G5" i="16" a="1"/>
  <c r="G5" i="16" s="1"/>
  <c r="G4" i="16" a="1"/>
  <c r="G4" i="16" s="1"/>
  <c r="G3" i="16" a="1"/>
  <c r="G3" i="16" s="1"/>
  <c r="G2" i="16" a="1"/>
  <c r="G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K200" i="12" s="1"/>
  <c r="H52" i="12"/>
  <c r="K51" i="12"/>
  <c r="K199" i="12" s="1"/>
  <c r="H51" i="12"/>
  <c r="K50" i="12"/>
  <c r="K198" i="12" s="1"/>
  <c r="H50" i="12"/>
  <c r="K49" i="12"/>
  <c r="K197" i="12" s="1"/>
  <c r="H49" i="12"/>
  <c r="K48" i="12"/>
  <c r="K196" i="12" s="1"/>
  <c r="H48" i="12"/>
  <c r="K47" i="12"/>
  <c r="H47" i="12"/>
  <c r="K46" i="12"/>
  <c r="K194" i="12" s="1"/>
  <c r="H46" i="12"/>
  <c r="K45" i="12"/>
  <c r="K193" i="12" s="1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K188" i="12" s="1"/>
  <c r="H38" i="12"/>
  <c r="K37" i="12"/>
  <c r="H37" i="12"/>
  <c r="K36" i="12"/>
  <c r="K186" i="12" s="1"/>
  <c r="H36" i="12"/>
  <c r="K35" i="12"/>
  <c r="K185" i="12" s="1"/>
  <c r="H35" i="12"/>
  <c r="K34" i="12"/>
  <c r="K184" i="12" s="1"/>
  <c r="H34" i="12"/>
  <c r="K33" i="12"/>
  <c r="H33" i="12"/>
  <c r="K32" i="12"/>
  <c r="H32" i="12"/>
  <c r="K31" i="12"/>
  <c r="H31" i="12"/>
  <c r="K30" i="12"/>
  <c r="K180" i="12" s="1"/>
  <c r="H30" i="12"/>
  <c r="K29" i="12"/>
  <c r="H29" i="12"/>
  <c r="K28" i="12"/>
  <c r="H28" i="12"/>
  <c r="K27" i="12"/>
  <c r="K177" i="12" s="1"/>
  <c r="H27" i="12"/>
  <c r="K26" i="12"/>
  <c r="K176" i="12" s="1"/>
  <c r="H26" i="12"/>
  <c r="K25" i="12"/>
  <c r="H25" i="12"/>
  <c r="K24" i="12"/>
  <c r="K174" i="12" s="1"/>
  <c r="H24" i="12"/>
  <c r="K23" i="12"/>
  <c r="H23" i="12"/>
  <c r="K22" i="12"/>
  <c r="K172" i="12" s="1"/>
  <c r="H22" i="12"/>
  <c r="K21" i="12"/>
  <c r="K171" i="12" s="1"/>
  <c r="H21" i="12"/>
  <c r="K20" i="12"/>
  <c r="H20" i="12"/>
  <c r="K19" i="12"/>
  <c r="H19" i="12"/>
  <c r="K18" i="12"/>
  <c r="K169" i="12" s="1"/>
  <c r="H18" i="12"/>
  <c r="K17" i="12"/>
  <c r="K168" i="12" s="1"/>
  <c r="H17" i="12"/>
  <c r="K16" i="12"/>
  <c r="K167" i="12" s="1"/>
  <c r="H16" i="12"/>
  <c r="K15" i="12"/>
  <c r="H15" i="12"/>
  <c r="K14" i="12"/>
  <c r="K165" i="12" s="1"/>
  <c r="H14" i="12"/>
  <c r="K13" i="12"/>
  <c r="K164" i="12" s="1"/>
  <c r="H13" i="12"/>
  <c r="K12" i="12"/>
  <c r="H12" i="12"/>
  <c r="K11" i="12"/>
  <c r="K162" i="12" s="1"/>
  <c r="H11" i="12"/>
  <c r="K10" i="12"/>
  <c r="H10" i="12"/>
  <c r="K9" i="12"/>
  <c r="H9" i="12"/>
  <c r="K8" i="12"/>
  <c r="K161" i="12" s="1"/>
  <c r="I161" i="12" s="1"/>
  <c r="J161" i="12" s="1"/>
  <c r="H8" i="12"/>
  <c r="K7" i="12"/>
  <c r="K160" i="12" s="1"/>
  <c r="I160" i="12" s="1"/>
  <c r="J160" i="12" s="1"/>
  <c r="H7" i="12"/>
  <c r="K6" i="12"/>
  <c r="K159" i="12" s="1"/>
  <c r="I159" i="12" s="1"/>
  <c r="J159" i="12" s="1"/>
  <c r="H6" i="12"/>
  <c r="K5" i="12"/>
  <c r="K158" i="12" s="1"/>
  <c r="I158" i="12" s="1"/>
  <c r="J158" i="12" s="1"/>
  <c r="H5" i="12"/>
  <c r="K4" i="12"/>
  <c r="K157" i="12" s="1"/>
  <c r="I157" i="12" s="1"/>
  <c r="J157" i="12" s="1"/>
  <c r="H4" i="12"/>
  <c r="K3" i="12"/>
  <c r="K156" i="12" s="1"/>
  <c r="I156" i="12" s="1"/>
  <c r="J156" i="12" s="1"/>
  <c r="H3" i="12"/>
  <c r="K2" i="12"/>
  <c r="J2" i="12"/>
  <c r="H2" i="12"/>
  <c r="K103" i="12"/>
  <c r="K153" i="12" s="1"/>
  <c r="H103" i="12"/>
  <c r="K102" i="12"/>
  <c r="K152" i="12" s="1"/>
  <c r="I152" i="12" s="1"/>
  <c r="J152" i="12" s="1"/>
  <c r="H102" i="12"/>
  <c r="K101" i="12"/>
  <c r="K151" i="12" s="1"/>
  <c r="H101" i="12"/>
  <c r="K100" i="12"/>
  <c r="H100" i="12"/>
  <c r="K99" i="12"/>
  <c r="H99" i="12"/>
  <c r="K98" i="12"/>
  <c r="K148" i="12" s="1"/>
  <c r="H98" i="12"/>
  <c r="K97" i="12"/>
  <c r="K147" i="12" s="1"/>
  <c r="H97" i="12"/>
  <c r="K96" i="12"/>
  <c r="H96" i="12"/>
  <c r="K95" i="12"/>
  <c r="H95" i="12"/>
  <c r="K94" i="12"/>
  <c r="K144" i="12" s="1"/>
  <c r="H94" i="12"/>
  <c r="K93" i="12"/>
  <c r="H93" i="12"/>
  <c r="K92" i="12"/>
  <c r="K143" i="12" s="1"/>
  <c r="I143" i="12" s="1"/>
  <c r="J143" i="12" s="1"/>
  <c r="H92" i="12"/>
  <c r="K91" i="12"/>
  <c r="K142" i="12" s="1"/>
  <c r="I142" i="12" s="1"/>
  <c r="J142" i="12" s="1"/>
  <c r="H91" i="12"/>
  <c r="K90" i="12"/>
  <c r="K141" i="12" s="1"/>
  <c r="I141" i="12" s="1"/>
  <c r="J141" i="12" s="1"/>
  <c r="H90" i="12"/>
  <c r="K89" i="12"/>
  <c r="K140" i="12" s="1"/>
  <c r="I140" i="12" s="1"/>
  <c r="J140" i="12" s="1"/>
  <c r="H89" i="12"/>
  <c r="K88" i="12"/>
  <c r="K139" i="12" s="1"/>
  <c r="I139" i="12" s="1"/>
  <c r="J139" i="12" s="1"/>
  <c r="H88" i="12"/>
  <c r="K87" i="12"/>
  <c r="K138" i="12" s="1"/>
  <c r="I138" i="12" s="1"/>
  <c r="J138" i="12" s="1"/>
  <c r="H87" i="12"/>
  <c r="K86" i="12"/>
  <c r="K137" i="12" s="1"/>
  <c r="I137" i="12" s="1"/>
  <c r="J137" i="12" s="1"/>
  <c r="H86" i="12"/>
  <c r="K85" i="12"/>
  <c r="K136" i="12" s="1"/>
  <c r="I136" i="12" s="1"/>
  <c r="J136" i="12" s="1"/>
  <c r="H85" i="12"/>
  <c r="K84" i="12"/>
  <c r="K135" i="12" s="1"/>
  <c r="I135" i="12" s="1"/>
  <c r="J135" i="12" s="1"/>
  <c r="H84" i="12"/>
  <c r="K83" i="12"/>
  <c r="K134" i="12" s="1"/>
  <c r="I134" i="12" s="1"/>
  <c r="J134" i="12" s="1"/>
  <c r="H83" i="12"/>
  <c r="K82" i="12"/>
  <c r="K133" i="12" s="1"/>
  <c r="I133" i="12" s="1"/>
  <c r="J133" i="12" s="1"/>
  <c r="H82" i="12"/>
  <c r="K81" i="12"/>
  <c r="K132" i="12" s="1"/>
  <c r="I132" i="12" s="1"/>
  <c r="J132" i="12" s="1"/>
  <c r="H81" i="12"/>
  <c r="K80" i="12"/>
  <c r="K131" i="12" s="1"/>
  <c r="I131" i="12" s="1"/>
  <c r="J131" i="12" s="1"/>
  <c r="H80" i="12"/>
  <c r="K79" i="12"/>
  <c r="K130" i="12" s="1"/>
  <c r="I130" i="12" s="1"/>
  <c r="J130" i="12" s="1"/>
  <c r="H79" i="12"/>
  <c r="K78" i="12"/>
  <c r="K129" i="12" s="1"/>
  <c r="I129" i="12" s="1"/>
  <c r="J129" i="12" s="1"/>
  <c r="H78" i="12"/>
  <c r="K77" i="12"/>
  <c r="K128" i="12" s="1"/>
  <c r="I128" i="12" s="1"/>
  <c r="J128" i="12" s="1"/>
  <c r="H77" i="12"/>
  <c r="K76" i="12"/>
  <c r="K127" i="12" s="1"/>
  <c r="I127" i="12" s="1"/>
  <c r="J127" i="12" s="1"/>
  <c r="H76" i="12"/>
  <c r="K75" i="12"/>
  <c r="K126" i="12" s="1"/>
  <c r="I126" i="12" s="1"/>
  <c r="J126" i="12" s="1"/>
  <c r="H75" i="12"/>
  <c r="K74" i="12"/>
  <c r="K125" i="12" s="1"/>
  <c r="I125" i="12" s="1"/>
  <c r="J125" i="12" s="1"/>
  <c r="H74" i="12"/>
  <c r="K73" i="12"/>
  <c r="K124" i="12" s="1"/>
  <c r="I124" i="12" s="1"/>
  <c r="J124" i="12" s="1"/>
  <c r="H73" i="12"/>
  <c r="K72" i="12"/>
  <c r="K123" i="12" s="1"/>
  <c r="I123" i="12" s="1"/>
  <c r="J123" i="12" s="1"/>
  <c r="H72" i="12"/>
  <c r="K71" i="12"/>
  <c r="K122" i="12" s="1"/>
  <c r="I122" i="12" s="1"/>
  <c r="J122" i="12" s="1"/>
  <c r="H71" i="12"/>
  <c r="K70" i="12"/>
  <c r="K121" i="12" s="1"/>
  <c r="I121" i="12" s="1"/>
  <c r="J121" i="12" s="1"/>
  <c r="H70" i="12"/>
  <c r="K69" i="12"/>
  <c r="K120" i="12" s="1"/>
  <c r="I120" i="12" s="1"/>
  <c r="J120" i="12" s="1"/>
  <c r="H69" i="12"/>
  <c r="K68" i="12"/>
  <c r="K119" i="12" s="1"/>
  <c r="I119" i="12" s="1"/>
  <c r="J119" i="12" s="1"/>
  <c r="H68" i="12"/>
  <c r="K67" i="12"/>
  <c r="K118" i="12" s="1"/>
  <c r="I118" i="12" s="1"/>
  <c r="J118" i="12" s="1"/>
  <c r="H67" i="12"/>
  <c r="K66" i="12"/>
  <c r="K117" i="12" s="1"/>
  <c r="I117" i="12" s="1"/>
  <c r="J117" i="12" s="1"/>
  <c r="H66" i="12"/>
  <c r="K65" i="12"/>
  <c r="K116" i="12" s="1"/>
  <c r="I116" i="12" s="1"/>
  <c r="J116" i="12" s="1"/>
  <c r="H65" i="12"/>
  <c r="K64" i="12"/>
  <c r="K115" i="12" s="1"/>
  <c r="H64" i="12"/>
  <c r="K63" i="12"/>
  <c r="K113" i="12" s="1"/>
  <c r="H63" i="12"/>
  <c r="K62" i="12"/>
  <c r="H62" i="12"/>
  <c r="K61" i="12"/>
  <c r="H61" i="12"/>
  <c r="K60" i="12"/>
  <c r="H60" i="12"/>
  <c r="K59" i="12"/>
  <c r="H59" i="12"/>
  <c r="K58" i="12"/>
  <c r="H58" i="12"/>
  <c r="K57" i="12"/>
  <c r="K109" i="12" s="1"/>
  <c r="H57" i="12"/>
  <c r="K56" i="12"/>
  <c r="K108" i="12" s="1"/>
  <c r="H56" i="12"/>
  <c r="K55" i="12"/>
  <c r="K106" i="12" s="1"/>
  <c r="I106" i="12" s="1"/>
  <c r="J106" i="12" s="1"/>
  <c r="H55" i="12"/>
  <c r="K54" i="12"/>
  <c r="K105" i="12" s="1"/>
  <c r="I105" i="12" s="1"/>
  <c r="J105" i="12" s="1"/>
  <c r="H54" i="12"/>
  <c r="K53" i="12"/>
  <c r="K104" i="12" s="1"/>
  <c r="I104" i="12" s="1"/>
  <c r="J104" i="12" s="1"/>
  <c r="H53" i="12"/>
  <c r="K155" i="12" l="1"/>
  <c r="I155" i="12" s="1"/>
  <c r="J155" i="12" s="1"/>
  <c r="G195" i="16" a="1"/>
  <c r="G195" i="16" s="1"/>
  <c r="I113" i="12"/>
  <c r="J113" i="12" s="1"/>
  <c r="I165" i="12"/>
  <c r="J165" i="12" s="1"/>
  <c r="I185" i="12"/>
  <c r="J185" i="12" s="1"/>
  <c r="I193" i="12"/>
  <c r="J193" i="12" s="1"/>
  <c r="K178" i="12"/>
  <c r="I178" i="12" s="1"/>
  <c r="J178" i="12" s="1"/>
  <c r="I186" i="12"/>
  <c r="J186" i="12" s="1"/>
  <c r="I198" i="12"/>
  <c r="J198" i="12" s="1"/>
  <c r="K145" i="12"/>
  <c r="I145" i="12" s="1"/>
  <c r="J145" i="12" s="1"/>
  <c r="I153" i="12"/>
  <c r="J153" i="12" s="1"/>
  <c r="I194" i="12"/>
  <c r="J194" i="12" s="1"/>
  <c r="I115" i="12"/>
  <c r="J115" i="12" s="1"/>
  <c r="I147" i="12"/>
  <c r="J147" i="12" s="1"/>
  <c r="I151" i="12"/>
  <c r="J151" i="12" s="1"/>
  <c r="K146" i="12"/>
  <c r="I146" i="12" s="1"/>
  <c r="J146" i="12" s="1"/>
  <c r="I109" i="12"/>
  <c r="J109" i="12" s="1"/>
  <c r="K111" i="12"/>
  <c r="I111" i="12" s="1"/>
  <c r="J111" i="12" s="1"/>
  <c r="K191" i="12"/>
  <c r="I191" i="12" s="1"/>
  <c r="J191" i="12" s="1"/>
  <c r="K183" i="12"/>
  <c r="I183" i="12" s="1"/>
  <c r="J183" i="12" s="1"/>
  <c r="K175" i="12"/>
  <c r="I175" i="12" s="1"/>
  <c r="J175" i="12" s="1"/>
  <c r="I174" i="12"/>
  <c r="J174" i="12" s="1"/>
  <c r="I144" i="12"/>
  <c r="J144" i="12" s="1"/>
  <c r="I148" i="12"/>
  <c r="J148" i="12" s="1"/>
  <c r="K110" i="12"/>
  <c r="I110" i="12" s="1"/>
  <c r="J110" i="12" s="1"/>
  <c r="K190" i="12"/>
  <c r="I190" i="12" s="1"/>
  <c r="J190" i="12" s="1"/>
  <c r="K182" i="12"/>
  <c r="I182" i="12" s="1"/>
  <c r="J182" i="12" s="1"/>
  <c r="I164" i="12"/>
  <c r="J164" i="12" s="1"/>
  <c r="I168" i="12"/>
  <c r="J168" i="12" s="1"/>
  <c r="I172" i="12"/>
  <c r="J172" i="12" s="1"/>
  <c r="I176" i="12"/>
  <c r="J176" i="12" s="1"/>
  <c r="I180" i="12"/>
  <c r="J180" i="12" s="1"/>
  <c r="I184" i="12"/>
  <c r="J184" i="12" s="1"/>
  <c r="I188" i="12"/>
  <c r="J188" i="12" s="1"/>
  <c r="I196" i="12"/>
  <c r="J196" i="12" s="1"/>
  <c r="I200" i="12"/>
  <c r="J200" i="12" s="1"/>
  <c r="K149" i="12"/>
  <c r="I149" i="12" s="1"/>
  <c r="J149" i="12" s="1"/>
  <c r="K166" i="12"/>
  <c r="I166" i="12" s="1"/>
  <c r="J166" i="12" s="1"/>
  <c r="K189" i="12"/>
  <c r="I189" i="12" s="1"/>
  <c r="J189" i="12" s="1"/>
  <c r="K181" i="12"/>
  <c r="I181" i="12" s="1"/>
  <c r="J181" i="12" s="1"/>
  <c r="K173" i="12"/>
  <c r="I173" i="12" s="1"/>
  <c r="J173" i="12" s="1"/>
  <c r="K112" i="12"/>
  <c r="I112" i="12" s="1"/>
  <c r="J112" i="12" s="1"/>
  <c r="K150" i="12"/>
  <c r="I150" i="12" s="1"/>
  <c r="J150" i="12" s="1"/>
  <c r="K170" i="12"/>
  <c r="I170" i="12" s="1"/>
  <c r="J170" i="12" s="1"/>
  <c r="K195" i="12"/>
  <c r="I195" i="12" s="1"/>
  <c r="J195" i="12" s="1"/>
  <c r="I169" i="12"/>
  <c r="J169" i="12" s="1"/>
  <c r="I177" i="12"/>
  <c r="J177" i="12" s="1"/>
  <c r="I197" i="12"/>
  <c r="J197" i="12" s="1"/>
  <c r="K187" i="12"/>
  <c r="I187" i="12" s="1"/>
  <c r="J187" i="12" s="1"/>
  <c r="K179" i="12"/>
  <c r="I179" i="12" s="1"/>
  <c r="J179" i="12" s="1"/>
  <c r="K192" i="12"/>
  <c r="I192" i="12" s="1"/>
  <c r="J192" i="12" s="1"/>
  <c r="I167" i="12"/>
  <c r="J167" i="12" s="1"/>
  <c r="I199" i="12"/>
  <c r="J199" i="12" s="1"/>
  <c r="I171" i="12"/>
  <c r="J171" i="12" s="1"/>
  <c r="I162" i="12"/>
  <c r="J162" i="12" s="1"/>
  <c r="I108" i="12"/>
  <c r="J108" i="12" s="1"/>
  <c r="G54" i="19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<sst xmlns="http://schemas.openxmlformats.org/spreadsheetml/2006/main" count="9114" uniqueCount="340">
  <si>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</si>
  <si>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</si>
  <si>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</si>
  <si>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</si>
  <si>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</si>
  <si>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</si>
  <si>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</si>
  <si>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</si>
  <si>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</si>
  <si>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</si>
  <si>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</si>
  <si>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</si>
  <si>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</si>
  <si>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</si>
  <si>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</si>
  <si>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</si>
  <si>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</si>
  <si>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</si>
  <si>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</si>
  <si>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</si>
  <si>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</si>
  <si>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</si>
  <si>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</si>
  <si>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</si>
  <si>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</si>
  <si>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</si>
  <si>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</si>
  <si>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</si>
  <si>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</si>
  <si>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</si>
  <si>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</si>
  <si>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</si>
  <si>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</si>
  <si>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</si>
  <si>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</si>
  <si>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</si>
  <si>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</si>
  <si>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</si>
  <si>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</si>
  <si>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</si>
  <si>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</si>
  <si>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</si>
  <si>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</si>
  <si>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</si>
  <si>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</si>
  <si>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</si>
  <si>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</si>
  <si>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</si>
  <si>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</si>
  <si>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</si>
  <si>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</si>
  <si>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</si>
  <si>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</si>
  <si>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</si>
  <si>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</si>
  <si>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</si>
  <si>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</si>
  <si>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</si>
  <si>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</si>
  <si>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</si>
  <si>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</si>
  <si>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</si>
  <si>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</si>
  <si>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</si>
  <si>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</si>
  <si>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</si>
  <si>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</si>
  <si>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</si>
  <si>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</si>
  <si>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</si>
  <si>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</si>
  <si>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</si>
  <si>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</si>
  <si>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</si>
  <si>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</si>
  <si>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</si>
  <si>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</si>
  <si>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</si>
  <si>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</si>
  <si>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</si>
  <si>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</si>
  <si>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</si>
  <si>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</si>
  <si>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</si>
  <si>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</si>
  <si>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</si>
  <si>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</si>
  <si>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</si>
  <si>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</si>
  <si>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</si>
  <si>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</si>
  <si>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</si>
  <si>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</si>
  <si>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</si>
  <si>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</si>
  <si>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</si>
  <si>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</si>
  <si>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</si>
  <si>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</si>
  <si>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</si>
  <si>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</si>
  <si>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</si>
  <si>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</si>
  <si>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</si>
  <si>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</si>
  <si>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</si>
  <si>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</si>
  <si>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</si>
  <si>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</si>
  <si>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</si>
  <si>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</si>
  <si>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</si>
  <si>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</si>
  <si>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</si>
  <si>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</si>
  <si>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</si>
  <si>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</si>
  <si>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</si>
  <si>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</si>
  <si>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</si>
  <si>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</si>
  <si>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</si>
  <si>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</si>
  <si>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</si>
  <si>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</si>
  <si>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</si>
  <si>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</si>
  <si>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</si>
  <si>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</si>
  <si>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</si>
  <si>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</si>
  <si>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</si>
  <si>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</si>
  <si>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</si>
  <si>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</si>
  <si>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</si>
  <si>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</si>
  <si>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</si>
  <si>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</si>
  <si>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</si>
  <si>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</si>
  <si>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</si>
  <si>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</si>
  <si>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</si>
  <si>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</si>
  <si>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</si>
  <si>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</si>
  <si>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</si>
  <si>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</si>
  <si>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</si>
  <si>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</si>
  <si>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</si>
  <si>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</si>
  <si>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</si>
  <si>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</si>
  <si>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</si>
  <si>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</si>
  <si>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</si>
  <si>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</si>
  <si>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</si>
  <si>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</si>
  <si>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</si>
  <si>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</si>
  <si>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</si>
  <si>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</si>
  <si>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</si>
  <si>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</si>
  <si>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</si>
  <si>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</si>
  <si>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</si>
  <si>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</si>
  <si>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</si>
  <si>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</si>
  <si>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</si>
  <si>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</si>
  <si>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</si>
  <si>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</si>
  <si>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</si>
  <si>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</si>
  <si>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</si>
  <si>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</si>
  <si>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</si>
  <si>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</si>
  <si>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</si>
  <si>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</si>
  <si>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</si>
  <si>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</si>
  <si>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</si>
  <si>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</si>
  <si>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</si>
  <si>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</si>
  <si>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</si>
  <si>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</si>
  <si>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</si>
  <si>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</si>
  <si>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</si>
  <si>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</si>
  <si>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</si>
  <si>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</si>
  <si>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</si>
  <si>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</si>
  <si>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</si>
  <si>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</si>
  <si>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</si>
  <si>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</si>
  <si>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</si>
  <si>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</si>
  <si>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</si>
  <si>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</si>
  <si>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</si>
  <si>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</si>
  <si>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</si>
  <si>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</si>
  <si>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</si>
  <si>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</si>
  <si>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</si>
  <si>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</si>
  <si>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</si>
  <si>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</si>
  <si>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</si>
  <si>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</si>
  <si>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</si>
  <si>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</si>
  <si>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</si>
  <si>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</si>
  <si>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</si>
  <si>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</si>
  <si>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</si>
  <si>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</si>
  <si>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</si>
  <si>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</si>
  <si>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</si>
  <si>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</si>
  <si>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</si>
  <si>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</si>
  <si>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</si>
  <si>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</si>
  <si>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</si>
  <si>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</si>
  <si>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</si>
  <si>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</si>
  <si>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</si>
  <si>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</si>
  <si>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</si>
  <si>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</si>
  <si>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</si>
  <si>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</si>
  <si>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</si>
  <si>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</si>
  <si>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</si>
  <si>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</si>
  <si>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</si>
  <si>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</si>
  <si>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</si>
  <si>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</si>
  <si>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</si>
  <si>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</si>
  <si>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</si>
  <si>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</si>
  <si>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</si>
  <si>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</si>
  <si>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</si>
  <si>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</si>
  <si>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</si>
  <si>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</si>
  <si>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</si>
  <si>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</si>
  <si>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</si>
  <si>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</si>
  <si>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</si>
  <si>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</si>
  <si>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</si>
  <si>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</si>
  <si>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</si>
  <si>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</si>
  <si>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</si>
  <si>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</si>
  <si>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</si>
  <si>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</si>
  <si>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</si>
  <si>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</si>
  <si>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</si>
  <si>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</si>
  <si>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</si>
  <si>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</si>
  <si>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</si>
  <si>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</si>
  <si>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</si>
  <si>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</si>
  <si>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</si>
  <si>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</si>
  <si>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</si>
  <si>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</si>
  <si>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</si>
  <si>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</si>
  <si>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</si>
  <si>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</si>
  <si>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</si>
  <si>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</si>
  <si>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</si>
  <si>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</si>
  <si>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</si>
  <si>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</si>
  <si>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</si>
  <si>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</si>
  <si>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</si>
  <si>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</si>
  <si>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</si>
  <si>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</si>
  <si>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</si>
  <si>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</si>
  <si>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</si>
  <si>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</si>
  <si>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</si>
  <si>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</si>
  <si>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</si>
  <si>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</si>
  <si>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</si>
  <si>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</si>
  <si>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</si>
  <si>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</si>
  <si>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</si>
  <si>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</si>
  <si>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</si>
  <si>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</si>
  <si>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</si>
  <si>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</si>
  <si>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</si>
  <si>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</si>
  <si>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</si>
  <si>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</si>
  <si>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</si>
  <si>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</si>
  <si>
    <t>veh_rev_miles</t>
  </si>
  <si>
    <t>All</t>
  </si>
  <si>
    <t>US</t>
  </si>
  <si>
    <t>United States</t>
  </si>
  <si>
    <t>incentive_per_inc_EV</t>
  </si>
  <si>
    <t>cumulative_avg</t>
  </si>
  <si>
    <t>Population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</si>
</sst>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</numFmts>
  <fonts count="1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9" fillId="0" borderId="1" xfId="0" applyFont="1" applyBorder="1"/>
    <xf numFmtId="168" fontId="0" fillId="4" borderId="0" xfId="0" applyNumberFormat="1" applyFill="1"/>
    <xf numFmtId="0" fontId="0" fillId="3" borderId="0" xfId="0" applyFill="1" applyAlignment="1">
      <alignment horizontal="center"/>
    </xf>
    <xf numFmtId="0" fontId="0" fillId="0" borderId="0" xfId="2" applyNumberFormat="1" applyFont="1"/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10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6" formatCode="_(* #,##0_);_(* \(#,##0\);_(* &quot;-&quot;??_);_(@_)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ustom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7" totalsRowShown="0" headerRowDxfId="100" dataDxfId="99">
  <autoFilter ref="A1:C157" xr:uid="{ADE72E7A-0DB0-4383-8DA6-330004A96BD0}"/>
  <tableColumns count="3">
    <tableColumn id="1" xr3:uid="{F73397ED-6858-4813-B93E-2A498EEFD6E3}" name="state" dataDxfId="98"/>
    <tableColumn id="2" xr3:uid="{EAD47E40-4750-4C1A-A537-F6E5EF6A8690}" name="year" dataDxfId="97"/>
    <tableColumn id="3" xr3:uid="{4E1E205E-B487-4A34-A35C-C243A187E68E}" name="population" dataDxfId="9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95" dataDxfId="94">
  <autoFilter ref="A1:D1141" xr:uid="{582D4DAA-0A5B-4D25-ABF1-823CB17290ED}"/>
  <tableColumns count="4">
    <tableColumn id="2" xr3:uid="{A9C8722C-57C5-40ED-81D2-F9D452B57E3E}" name="veh_type" dataDxfId="93"/>
    <tableColumn id="1" xr3:uid="{3C2D67BB-3546-42C7-9841-AE339E1104FD}" name="veh_subtype" dataDxfId="92"/>
    <tableColumn id="3" xr3:uid="{0DD6F3F8-56C6-4110-A8A5-7C8CD018E715}" name="year" dataDxfId="91"/>
    <tableColumn id="4" xr3:uid="{753CDE3B-EF5E-47F8-951F-924B91E92EDB}" name="mpg_gasoline_eq" dataDxfId="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9"/>
    <tableColumn id="3" xr3:uid="{5494E6D8-5555-4D07-A136-D2F095F89A0D}" name="2021" dataDxfId="88"/>
    <tableColumn id="4" xr3:uid="{CB4CDFAB-90E2-419E-8EE6-8088731A718B}" name="2022" dataDxfId="87"/>
    <tableColumn id="5" xr3:uid="{BC7EE75F-AFCD-4529-B49D-65B37D50E18B}" name="2023" dataDxfId="86"/>
    <tableColumn id="6" xr3:uid="{2623A818-04D3-4CB7-9536-20CF33F0B445}" name="2024" dataDxfId="85"/>
    <tableColumn id="7" xr3:uid="{C39B458D-DADB-4DC8-8072-5961431A9CC2}" name="2025" dataDxfId="84"/>
    <tableColumn id="8" xr3:uid="{948F76BF-D2B4-4121-B3D8-5EDC8BE89BBD}" name="2026" dataDxfId="83"/>
    <tableColumn id="9" xr3:uid="{86DCCC54-C9B2-482B-A28E-FB136851756A}" name="2027" dataDxfId="82"/>
    <tableColumn id="10" xr3:uid="{1F24E1A2-102B-4F50-B2EF-531364FD506A}" name="2028" dataDxfId="81"/>
    <tableColumn id="11" xr3:uid="{B5BD79DC-374C-41E2-BBE0-C4FA5CA7266B}" name="2029" dataDxfId="80"/>
    <tableColumn id="12" xr3:uid="{6040F6C0-728F-4F56-82FA-8F335B346240}" name="2030" dataDxfId="79"/>
    <tableColumn id="13" xr3:uid="{777D8B44-0C5D-412C-83B4-00F03632ECF9}" name="2031" dataDxfId="78"/>
    <tableColumn id="14" xr3:uid="{9EC73B4B-E136-4AB8-B77D-C1FE60128A72}" name="2032" dataDxfId="77"/>
    <tableColumn id="15" xr3:uid="{87DBED95-4E40-4F35-AC1E-B196183A1426}" name="2033" dataDxfId="76"/>
    <tableColumn id="16" xr3:uid="{F1439027-BBF2-49AA-A591-3632F24804A1}" name="2034" dataDxfId="75"/>
    <tableColumn id="17" xr3:uid="{F7968730-192F-404F-9B45-308DDE081907}" name="2035" dataDxfId="74"/>
    <tableColumn id="18" xr3:uid="{7A7C733C-F5A6-49A9-BFF2-A495AEEB66C2}" name="2036" dataDxfId="73"/>
    <tableColumn id="19" xr3:uid="{58026119-8B8F-4A3D-83CA-4C8B006005FF}" name="2037" dataDxfId="72"/>
    <tableColumn id="20" xr3:uid="{0DC2964A-45E1-4675-9A45-6F69DA155672}" name="2038" dataDxfId="71"/>
    <tableColumn id="21" xr3:uid="{84BBC27E-E152-41D2-9036-587EF7DB9FF2}" name="2039" dataDxfId="70"/>
    <tableColumn id="22" xr3:uid="{3807A9C4-C050-4A3A-952A-5859AD2AE874}" name="2040" dataDxfId="69"/>
    <tableColumn id="23" xr3:uid="{FF9A5B48-C7D9-4B91-84E5-63297F2C4FEC}" name="2041" dataDxfId="68"/>
    <tableColumn id="24" xr3:uid="{8B5085CD-A302-4A03-B5EA-F22DABEA8C34}" name="2042" dataDxfId="67"/>
    <tableColumn id="25" xr3:uid="{136F35CC-46CA-4CB2-AA82-25188F53F90B}" name="2043" dataDxfId="66"/>
    <tableColumn id="26" xr3:uid="{D9C87554-6CC8-4B3B-873C-8198436EB206}" name="2044" dataDxfId="65"/>
    <tableColumn id="27" xr3:uid="{A5A1C6D2-F476-404B-8688-89130BE3DF0D}" name="2045" dataDxfId="64"/>
    <tableColumn id="28" xr3:uid="{88296D41-DBE1-4E61-96BF-AEF8FC13BE35}" name="2046" dataDxfId="63"/>
    <tableColumn id="29" xr3:uid="{CE07A51A-2B10-4EA2-ACE8-6F4BE2476DCE}" name="2047" dataDxfId="62"/>
    <tableColumn id="30" xr3:uid="{1DAC48BA-1924-498D-8FC3-861C248885FC}" name="2048" dataDxfId="61"/>
    <tableColumn id="31" xr3:uid="{B688E9DA-A549-42F4-AB8B-FDE0EFCB9009}" name="2049" dataDxfId="60"/>
    <tableColumn id="32" xr3:uid="{24389340-B3AB-4C24-8D9C-A0BD7675F042}" name="2050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8" dataDxfId="57">
  <autoFilter ref="A1:C125" xr:uid="{3CAC199F-1E44-400D-AE49-2DF031458F28}"/>
  <tableColumns count="3">
    <tableColumn id="1" xr3:uid="{51DE3611-329C-41B0-A4DB-52AE83C97AC8}" name="veh_type" dataDxfId="56"/>
    <tableColumn id="2" xr3:uid="{591F901E-48BF-4AA2-83C5-3ABFD077C4E7}" name="year" dataDxfId="55"/>
    <tableColumn id="3" xr3:uid="{68ED531E-CBD1-4FD0-B6FE-39DCA60A2D35}" name="VMT_AEO" dataDxfId="5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53" dataDxfId="52">
  <autoFilter ref="A1:H743" xr:uid="{1316E024-4D78-4E5E-A3BE-D1D66BF710F0}"/>
  <tableColumns count="8">
    <tableColumn id="1" xr3:uid="{8197FE9A-A39C-4187-B5AC-62137B98FA8C}" name="state" dataDxfId="51"/>
    <tableColumn id="2" xr3:uid="{33E598CD-870F-42AB-891F-120C293216E4}" name="road_class" dataDxfId="50"/>
    <tableColumn id="8" xr3:uid="{497DF0FF-D0A2-4A0F-AFE6-132C97C1B5AD}" name="area_type" dataDxfId="49"/>
    <tableColumn id="3" xr3:uid="{776B704E-54DA-4B36-942C-A38CD577374B}" name="VMT" dataDxfId="48"/>
    <tableColumn id="4" xr3:uid="{BDC6225D-BEFD-46A2-B173-8338BF6CD1D9}" name="ln_mile" dataDxfId="47"/>
    <tableColumn id="5" xr3:uid="{24DAA4FA-2524-49F1-8BF5-F7D985D4CF64}" name="cntrln_mile" dataDxfId="46"/>
    <tableColumn id="6" xr3:uid="{08E78B07-AE22-4A69-BADE-9D39986335D3}" name="AADT" dataDxfId="45"/>
    <tableColumn id="7" xr3:uid="{863F524C-50D9-4550-847E-504CEE40EC23}" name="VMT_perln" dataDxfId="4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E53" totalsRowShown="0">
  <autoFilter ref="A1:E53" xr:uid="{AF7C35B9-8FE5-4041-A7B8-E1A84CB12C3D}"/>
  <tableColumns count="5">
    <tableColumn id="1" xr3:uid="{45CA7A43-AA6B-4C86-8B4D-AAB410C7E1C6}" name="state"/>
    <tableColumn id="2" xr3:uid="{5CF42C05-08A7-42B5-BC47-0AEEE4AC6C72}" name="year" dataDxfId="43"/>
    <tableColumn id="3" xr3:uid="{FEC27B6E-BBC0-45E0-8D54-901A00210403}" name="CO2eq_lbs_MWh" dataDxfId="42"/>
    <tableColumn id="4" xr3:uid="{2895651D-5EC8-4717-945D-3D007960FE15}" name="CO2eq_g_kWh"/>
    <tableColumn id="5" xr3:uid="{9794E56C-8A2E-4DB4-8B6E-E6CBDF287C48}" name="Popula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H200" totalsRowShown="0" headerRowDxfId="41" headerRowCellStyle="Percent">
  <autoFilter ref="A1:H200" xr:uid="{B4795AAF-4610-425F-8F68-4147C1C92E9B}"/>
  <tableColumns count="8">
    <tableColumn id="1" xr3:uid="{3700977E-9911-44C0-B2F1-15979A419435}" name="state_code"/>
    <tableColumn id="7" xr3:uid="{7C8DAB23-51FE-4A13-8DCD-6753290565DE}" name="state" dataDxfId="40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SUM(D2:E2-F2)</calculatedColumnFormula>
    </tableColumn>
    <tableColumn id="8" xr3:uid="{08960974-0017-48CF-A97D-94844F1405E5}" name="veh_rev_miles" dataDxfId="39" dataCellStyle="Comm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61" totalsRowShown="0" headerRowDxfId="38">
  <autoFilter ref="A1:C156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3" totalsRowShown="0" headerRowDxfId="37" dataDxfId="36">
  <autoFilter ref="A1:J53" xr:uid="{8F71A607-355D-4561-B371-DF64A33BAB60}"/>
  <tableColumns count="10">
    <tableColumn id="1" xr3:uid="{FCA1C28F-7FB1-4E75-ABE4-772AFC6C788B}" name="source" dataDxfId="35"/>
    <tableColumn id="2" xr3:uid="{8F610959-9FEF-4037-AD50-D15004FDEC97}" name="state" dataDxfId="34"/>
    <tableColumn id="3" xr3:uid="{DC14385D-FE79-4EBC-B031-AAF6DF063175}" name="gas_regular" dataDxfId="33"/>
    <tableColumn id="4" xr3:uid="{30495008-5280-426E-A40F-3CBF7D9B9A92}" name="gas_mid" dataDxfId="32"/>
    <tableColumn id="5" xr3:uid="{66FA34E8-985C-461A-9962-D27A2E7BC3B6}" name="gas_premium" dataDxfId="31"/>
    <tableColumn id="6" xr3:uid="{9B04AF70-034B-4C94-AFF3-98D10D1FD236}" name="gas_diesel" dataDxfId="30"/>
    <tableColumn id="7" xr3:uid="{2118497B-7145-40BC-9331-03F557AA7959}" name="electricity_retail_avg" dataDxfId="29"/>
    <tableColumn id="8" xr3:uid="{ACAB8D01-5214-4549-830E-B7BF39440F10}" name="electricity_summer_capacity" dataDxfId="28"/>
    <tableColumn id="9" xr3:uid="{E2BC6161-14F8-44FD-9F20-BBB936BC725E}" name="electricity_net_generation" dataDxfId="27"/>
    <tableColumn id="10" xr3:uid="{EBA42203-1B14-46B5-AF40-8E9C9B3EBA3C}" name="electricity_retail_sales" dataDxfId="2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5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86" totalsRowShown="0">
  <autoFilter ref="A1:K286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24">
      <calculatedColumnFormula>F2/E2</calculatedColumnFormula>
    </tableColumn>
    <tableColumn id="8" xr3:uid="{D8D93C7A-8CA9-4D72-844F-B335D2C20C19}" name="total_pass_miles" dataDxfId="23"/>
    <tableColumn id="10" xr3:uid="{F5AEBFD2-08D8-4868-BAFE-9688429964B0}" name="load_factor" dataDxfId="22"/>
    <tableColumn id="11" xr3:uid="{05EF0C75-B302-4BAB-8F15-9D21DC18BA9D}" name="avg_trip_length" dataDxfId="2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20"/>
    <tableColumn id="6" xr3:uid="{E24522AC-FEF6-4CF1-A652-CD1CACE1519C}" name="GWP_N20_g_per_mi" dataDxfId="19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8"/>
    <tableColumn id="10" xr3:uid="{236B1E85-CD34-4728-A85A-22981CBD37AD}" name="GWP_N20_g_per_gallon" dataDxfId="17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 dataDxfId="4" dataCellStyle="Percent"/>
    <tableColumn id="4" xr3:uid="{90B22AB7-09D3-478F-9332-A43F01153923}" name="percEVstock_ACCII" dataDxfId="3" dataCellStyle="Percent"/>
    <tableColumn id="5" xr3:uid="{9E74B659-0BA6-49D3-B2D3-90597DD2EC69}" name="percEVstock_ACC" dataDxfId="2" dataCellStyle="Percent"/>
    <tableColumn id="6" xr3:uid="{F1F34D16-9DBA-4424-8131-17A6341BA4B9}" name="percEVstock_ACCACT" dataDxfId="1" dataCellStyle="Percent"/>
    <tableColumn id="7" xr3:uid="{E3E867C6-D263-4410-8FD8-E556B08C116B}" name="percEVstock_ACCIIACT" dataDxfId="0" dataCellStyle="Percen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3" totalsRowShown="0">
  <autoFilter ref="A1:F53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6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5"/>
    <tableColumn id="3" xr3:uid="{E65C9314-C120-4F4A-B346-84C59D802685}" name="CR_Energy_Intensity_BTUPerPaxMil" dataDxfId="14"/>
    <tableColumn id="4" xr3:uid="{425B37B1-3EA8-495D-91F4-852DA9CC3D68}" name="HR_Energy_Intensity_BTUPerPaxMil" dataDxfId="13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C53" totalsRowShown="0">
  <autoFilter ref="A1:C53" xr:uid="{FFD503C7-EE91-4149-BC32-F6515A12FA18}"/>
  <tableColumns count="3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1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7" totalsRowShown="0" headerRowDxfId="11" dataDxfId="10">
  <autoFilter ref="A1:E57" xr:uid="{C901F22A-A043-4FE0-8C77-891B5FA3758C}"/>
  <tableColumns count="5">
    <tableColumn id="2" xr3:uid="{F5A4F286-87E2-4E79-8A9B-680A1C2FAED3}" name="State" dataDxfId="9"/>
    <tableColumn id="1" xr3:uid="{933F9A1A-A0A7-4F3E-8987-E1DBBEA5652B}" name="year" dataDxfId="8"/>
    <tableColumn id="3" xr3:uid="{180BA1B0-69F9-4548-A8B9-F87BA72BD396}" name="CB" dataDxfId="7"/>
    <tableColumn id="4" xr3:uid="{8161DDC3-4000-4841-89A1-08C8420F7E4E}" name="DR" dataDxfId="6"/>
    <tableColumn id="5" xr3:uid="{9E575DE0-C23F-4F23-AC43-20D0423FD10F}" name="MB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7"/>
  <sheetViews>
    <sheetView workbookViewId="0">
      <selection activeCell="D2" sqref="D2:E157"/>
    </sheetView>
  </sheetViews>
  <sheetFormatPr defaultRowHeight="14.5" x14ac:dyDescent="0.35"/>
  <cols>
    <col min="1" max="1" width="17.36328125" bestFit="1" customWidth="1"/>
    <col min="3" max="3" width="12" customWidth="1"/>
    <col min="4" max="4" width="9.81640625" bestFit="1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242</v>
      </c>
      <c r="B68" s="1">
        <v>2020</v>
      </c>
      <c r="C68" s="1">
        <v>10568032.77</v>
      </c>
    </row>
    <row r="69" spans="1:3" x14ac:dyDescent="0.35">
      <c r="A69" s="1" t="s">
        <v>242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243</v>
      </c>
      <c r="B82" s="1">
        <v>2020</v>
      </c>
      <c r="C82" s="1">
        <v>5184564.4369999999</v>
      </c>
    </row>
    <row r="83" spans="1:3" x14ac:dyDescent="0.35">
      <c r="A83" s="1" t="s">
        <v>243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242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243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  <row r="155" spans="1:3" ht="15" thickBot="1" x14ac:dyDescent="0.4">
      <c r="A155" s="1" t="s">
        <v>336</v>
      </c>
      <c r="B155">
        <v>2020</v>
      </c>
      <c r="C155">
        <v>332527547.99790001</v>
      </c>
    </row>
    <row r="156" spans="1:3" ht="15.5" thickTop="1" thickBot="1" x14ac:dyDescent="0.4">
      <c r="A156" s="26" t="s">
        <v>336</v>
      </c>
      <c r="B156">
        <v>2030</v>
      </c>
      <c r="C156">
        <v>357975718.83530015</v>
      </c>
    </row>
    <row r="157" spans="1:3" ht="15" thickTop="1" x14ac:dyDescent="0.35">
      <c r="A157" s="26" t="s">
        <v>336</v>
      </c>
      <c r="B157">
        <v>2040</v>
      </c>
      <c r="C157">
        <v>379392778.53070009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workbookViewId="0">
      <selection activeCell="E106" sqref="E1:E1048576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206</v>
      </c>
      <c r="C1" s="9" t="s">
        <v>1</v>
      </c>
      <c r="D1" s="9" t="s">
        <v>54</v>
      </c>
    </row>
    <row r="2" spans="1:4" x14ac:dyDescent="0.35">
      <c r="A2" s="1" t="s">
        <v>194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194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194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194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194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194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194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194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194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194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194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194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194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194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194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194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194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194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194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194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194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194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194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194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194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194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194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194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194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194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194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194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194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194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194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194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194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194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194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194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194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194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194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194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194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194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194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194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194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194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194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194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194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194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194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194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194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194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194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194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194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194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194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194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194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194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194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194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194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194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194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194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194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194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194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194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194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194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194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194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194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194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194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194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194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194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194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194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194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194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194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194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194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194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194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194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194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194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194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194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194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194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194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194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194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194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194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194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194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194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194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194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194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194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194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194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194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194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194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194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194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194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194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194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194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194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194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194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194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194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194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194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194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194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194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194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194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194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194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194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194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194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194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194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194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194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194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194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194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194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194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194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194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194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194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194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194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194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194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194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194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194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194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194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194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194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194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194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194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194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194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194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194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194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194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194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194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194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194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194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194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194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194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194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194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194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194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194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194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194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194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194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194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194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194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194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194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194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194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194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194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194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194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194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194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194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194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194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194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194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194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194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194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194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194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194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194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194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194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194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194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194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194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194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194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194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194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194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194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194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194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194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194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194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194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194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194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194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194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194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194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194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194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194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194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194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194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194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194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194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194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194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194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194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194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194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194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194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194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194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194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194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194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194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194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194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194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194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194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194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194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194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194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194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194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194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194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194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194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194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194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194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194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194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194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194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194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194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194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194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194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194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194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194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194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194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194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194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194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194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194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194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194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194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194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194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194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194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194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194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194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194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194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194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194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194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194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194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194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194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194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194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194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194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194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194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194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194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194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194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182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182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182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182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182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182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182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182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182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182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182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182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182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182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182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182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182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182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182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182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182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182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182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182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182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182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182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182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182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182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182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182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182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182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182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182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182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182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182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182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182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182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182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182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182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182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182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182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182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182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182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182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182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182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182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182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182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182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182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182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182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182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182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182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182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182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182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182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182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182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182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182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182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182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182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182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182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182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182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182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182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182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182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182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182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182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182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182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182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182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182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182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182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182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182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182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182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182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182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182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182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182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182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182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182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182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182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182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182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182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182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182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182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182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182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182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182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182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182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182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182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182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182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182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182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182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182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182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182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182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182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182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182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182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182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182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182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182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182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182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182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182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182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182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182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182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182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182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182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182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182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182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182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182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182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182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182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182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182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182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182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182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182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182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182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182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182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182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182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182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182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182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182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182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182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182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182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182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182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182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182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182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182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182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182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182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182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182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182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182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182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182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182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182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182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182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182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182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182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182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182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182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182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182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182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182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182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182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182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182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182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182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182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182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182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182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182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182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182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182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182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182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182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182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182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182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182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182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182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182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182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182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182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182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182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182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182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182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182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182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182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182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182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182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182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182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182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182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182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182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182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182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182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182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182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182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182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182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182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182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182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182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182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182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182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182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182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182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182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182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182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182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182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182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182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182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182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182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182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182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182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182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182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182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182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182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182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182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182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182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182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182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182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182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182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182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182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182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182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182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182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182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182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182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182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182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182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182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182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182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182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182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182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182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182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182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182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182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182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182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182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182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182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182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182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182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182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182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182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182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208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208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208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208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208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208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208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208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208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208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208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208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208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208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208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208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208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208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208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208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208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208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208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208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208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208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208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208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208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208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208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208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208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208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208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208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208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208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208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208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208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208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208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208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208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208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208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208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208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208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208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208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208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208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208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208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208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208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208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208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208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208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208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208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208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208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208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208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208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208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208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208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208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208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208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208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208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208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208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208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208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208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208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208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208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208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208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208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208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208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208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208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208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208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208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208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208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208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208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208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208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208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208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208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208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208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208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208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208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208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208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208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208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208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208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208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208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208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208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208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208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208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208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208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208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208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208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208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208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208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208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208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208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208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208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208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208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208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208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208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208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208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208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208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208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208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208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208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208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208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208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208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208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208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208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208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208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208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208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208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208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208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208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208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208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208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208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208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208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208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208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208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208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208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208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208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208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208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208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208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208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208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208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208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208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208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208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208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208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208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208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208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208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208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208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208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208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208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208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208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208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208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208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208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208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208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208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208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208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208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208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208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208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208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208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208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208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208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208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208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208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208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208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208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208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208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208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208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208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208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208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208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208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208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208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208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208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208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208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208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183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183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183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183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183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183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183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183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183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183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183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183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183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183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183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183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183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183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183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183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183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183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183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183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183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183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183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183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183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183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183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183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183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183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183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183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183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183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183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183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183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183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183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183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183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183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183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183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183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183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183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183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183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183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183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183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183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183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183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183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183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183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183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183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183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183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183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183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183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183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183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183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183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183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183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183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183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183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183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183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183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183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183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183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183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183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183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183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183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183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183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183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183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183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183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183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183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183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183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183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183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183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183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183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183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183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183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183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183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183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183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183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183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183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183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183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183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183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183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183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183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183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183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183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183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183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183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183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183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183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183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183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183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183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183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183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183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183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183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183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183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183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183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183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183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183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183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183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183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183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183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183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183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183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183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183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183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183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183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183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183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183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183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183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183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183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183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183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183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183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183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183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183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183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183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183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183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183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183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183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183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183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183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183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183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183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183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183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183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183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183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183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183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183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183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183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183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183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183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183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183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183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183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183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183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183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183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183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183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183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183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183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183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183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183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183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183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183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183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183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183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183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183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183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183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183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183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183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183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183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183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183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183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183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183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183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183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183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183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183</v>
      </c>
      <c r="B1141" s="1" t="s">
        <v>65</v>
      </c>
      <c r="C1141" s="1">
        <v>2050</v>
      </c>
      <c r="D1141" s="1">
        <v>6.7443520000000001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71"/>
  <sheetViews>
    <sheetView topLeftCell="A13" workbookViewId="0">
      <selection activeCell="C71" sqref="C41:XFD71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206</v>
      </c>
      <c r="C1" t="s">
        <v>209</v>
      </c>
      <c r="D1" t="s">
        <v>210</v>
      </c>
      <c r="E1" t="s">
        <v>211</v>
      </c>
      <c r="F1" t="s">
        <v>212</v>
      </c>
      <c r="G1" t="s">
        <v>213</v>
      </c>
      <c r="H1" t="s">
        <v>214</v>
      </c>
      <c r="I1" t="s">
        <v>215</v>
      </c>
      <c r="J1" t="s">
        <v>216</v>
      </c>
      <c r="K1" t="s">
        <v>217</v>
      </c>
      <c r="L1" t="s">
        <v>218</v>
      </c>
      <c r="M1" t="s">
        <v>219</v>
      </c>
      <c r="N1" t="s">
        <v>220</v>
      </c>
      <c r="O1" t="s">
        <v>221</v>
      </c>
      <c r="P1" t="s">
        <v>222</v>
      </c>
      <c r="Q1" t="s">
        <v>223</v>
      </c>
      <c r="R1" t="s">
        <v>224</v>
      </c>
      <c r="S1" t="s">
        <v>225</v>
      </c>
      <c r="T1" t="s">
        <v>226</v>
      </c>
      <c r="U1" t="s">
        <v>227</v>
      </c>
      <c r="V1" t="s">
        <v>228</v>
      </c>
      <c r="W1" t="s">
        <v>229</v>
      </c>
      <c r="X1" t="s">
        <v>230</v>
      </c>
      <c r="Y1" t="s">
        <v>231</v>
      </c>
      <c r="Z1" t="s">
        <v>232</v>
      </c>
      <c r="AA1" t="s">
        <v>233</v>
      </c>
      <c r="AB1" t="s">
        <v>234</v>
      </c>
      <c r="AC1" t="s">
        <v>235</v>
      </c>
      <c r="AD1" t="s">
        <v>236</v>
      </c>
      <c r="AE1" t="s">
        <v>237</v>
      </c>
      <c r="AF1" t="s">
        <v>238</v>
      </c>
    </row>
    <row r="2" spans="1:32" x14ac:dyDescent="0.35">
      <c r="A2" t="s">
        <v>194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194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194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194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194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194</v>
      </c>
      <c r="B7" s="16" t="s">
        <v>207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194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194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194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194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194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182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182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182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182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182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182</v>
      </c>
      <c r="B18" s="16" t="s">
        <v>207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182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182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182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182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182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208</v>
      </c>
      <c r="B24" s="16" t="s">
        <v>207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208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208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208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208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208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208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208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183</v>
      </c>
      <c r="B32" s="16" t="s">
        <v>207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183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183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183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183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183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183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183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  <row r="41" spans="1:32" x14ac:dyDescent="0.35"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 spans="1:32" x14ac:dyDescent="0.35"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 spans="1:32" x14ac:dyDescent="0.35"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 spans="1:32" x14ac:dyDescent="0.35"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 spans="1:32" x14ac:dyDescent="0.35"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 spans="1:32" x14ac:dyDescent="0.35"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 spans="1:32" x14ac:dyDescent="0.35"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 spans="1:32" x14ac:dyDescent="0.35"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 spans="3:32" x14ac:dyDescent="0.35"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 spans="3:32" x14ac:dyDescent="0.35"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</row>
    <row r="51" spans="3:32" x14ac:dyDescent="0.35"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 spans="3:32" x14ac:dyDescent="0.35"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 spans="3:32" x14ac:dyDescent="0.35"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 spans="3:32" x14ac:dyDescent="0.35"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 spans="3:32" x14ac:dyDescent="0.35"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</row>
    <row r="56" spans="3:32" x14ac:dyDescent="0.35"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</row>
    <row r="57" spans="3:32" x14ac:dyDescent="0.35"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</row>
    <row r="58" spans="3:32" x14ac:dyDescent="0.35"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</row>
    <row r="59" spans="3:32" x14ac:dyDescent="0.35"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</row>
    <row r="60" spans="3:32" x14ac:dyDescent="0.35"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</row>
    <row r="61" spans="3:32" x14ac:dyDescent="0.35"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</row>
    <row r="62" spans="3:32" x14ac:dyDescent="0.35"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</row>
    <row r="63" spans="3:32" x14ac:dyDescent="0.35"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</row>
    <row r="64" spans="3:32" x14ac:dyDescent="0.35"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</row>
    <row r="65" spans="3:32" x14ac:dyDescent="0.35"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</row>
    <row r="66" spans="3:32" x14ac:dyDescent="0.35"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</row>
    <row r="67" spans="3:32" x14ac:dyDescent="0.35"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</row>
    <row r="68" spans="3:32" x14ac:dyDescent="0.35"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</row>
    <row r="69" spans="3:32" x14ac:dyDescent="0.35"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</row>
    <row r="70" spans="3:32" x14ac:dyDescent="0.35"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</row>
    <row r="71" spans="3:32" x14ac:dyDescent="0.35">
      <c r="C71" s="1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topLeftCell="A55" workbookViewId="0">
      <selection activeCell="D55" sqref="D1:D1048576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183</v>
      </c>
      <c r="B2" s="1">
        <v>2020</v>
      </c>
      <c r="C2" s="1">
        <v>0</v>
      </c>
    </row>
    <row r="3" spans="1:3" x14ac:dyDescent="0.35">
      <c r="A3" s="1" t="s">
        <v>182</v>
      </c>
      <c r="B3" s="1">
        <v>2020</v>
      </c>
      <c r="C3" s="1">
        <v>0</v>
      </c>
    </row>
    <row r="4" spans="1:3" x14ac:dyDescent="0.35">
      <c r="A4" s="1" t="s">
        <v>208</v>
      </c>
      <c r="B4" s="1">
        <v>2020</v>
      </c>
      <c r="C4" s="1">
        <v>0</v>
      </c>
    </row>
    <row r="5" spans="1:3" x14ac:dyDescent="0.35">
      <c r="A5" s="1" t="s">
        <v>194</v>
      </c>
      <c r="B5" s="1">
        <v>2020</v>
      </c>
      <c r="C5" s="1">
        <v>0</v>
      </c>
    </row>
    <row r="6" spans="1:3" x14ac:dyDescent="0.35">
      <c r="A6" s="1" t="s">
        <v>183</v>
      </c>
      <c r="B6" s="1">
        <v>2021</v>
      </c>
      <c r="C6" s="1">
        <v>175905.05869999999</v>
      </c>
    </row>
    <row r="7" spans="1:3" x14ac:dyDescent="0.35">
      <c r="A7" s="1" t="s">
        <v>182</v>
      </c>
      <c r="B7" s="1">
        <v>2021</v>
      </c>
      <c r="C7" s="1">
        <v>1453415.709</v>
      </c>
    </row>
    <row r="8" spans="1:3" x14ac:dyDescent="0.35">
      <c r="A8" s="1" t="s">
        <v>208</v>
      </c>
      <c r="B8" s="1">
        <v>2021</v>
      </c>
      <c r="C8" s="1">
        <v>120902.86599999999</v>
      </c>
    </row>
    <row r="9" spans="1:3" x14ac:dyDescent="0.35">
      <c r="A9" s="1" t="s">
        <v>194</v>
      </c>
      <c r="B9" s="1">
        <v>2021</v>
      </c>
      <c r="C9" s="1">
        <v>1385678.007</v>
      </c>
    </row>
    <row r="10" spans="1:3" x14ac:dyDescent="0.35">
      <c r="A10" s="1" t="s">
        <v>183</v>
      </c>
      <c r="B10" s="1">
        <v>2022</v>
      </c>
      <c r="C10" s="1">
        <v>180087.62419999999</v>
      </c>
    </row>
    <row r="11" spans="1:3" x14ac:dyDescent="0.35">
      <c r="A11" s="1" t="s">
        <v>182</v>
      </c>
      <c r="B11" s="1">
        <v>2022</v>
      </c>
      <c r="C11" s="1">
        <v>1587379.9620000001</v>
      </c>
    </row>
    <row r="12" spans="1:3" x14ac:dyDescent="0.35">
      <c r="A12" s="1" t="s">
        <v>208</v>
      </c>
      <c r="B12" s="1">
        <v>2022</v>
      </c>
      <c r="C12" s="1">
        <v>124146.145</v>
      </c>
    </row>
    <row r="13" spans="1:3" x14ac:dyDescent="0.35">
      <c r="A13" s="1" t="s">
        <v>194</v>
      </c>
      <c r="B13" s="1">
        <v>2022</v>
      </c>
      <c r="C13" s="1">
        <v>1293781.5649999999</v>
      </c>
    </row>
    <row r="14" spans="1:3" x14ac:dyDescent="0.35">
      <c r="A14" s="1" t="s">
        <v>183</v>
      </c>
      <c r="B14" s="1">
        <v>2023</v>
      </c>
      <c r="C14" s="1">
        <v>182482.29639999999</v>
      </c>
    </row>
    <row r="15" spans="1:3" x14ac:dyDescent="0.35">
      <c r="A15" s="1" t="s">
        <v>182</v>
      </c>
      <c r="B15" s="1">
        <v>2023</v>
      </c>
      <c r="C15" s="1">
        <v>1697480.8940000001</v>
      </c>
    </row>
    <row r="16" spans="1:3" x14ac:dyDescent="0.35">
      <c r="A16" s="1" t="s">
        <v>208</v>
      </c>
      <c r="B16" s="1">
        <v>2023</v>
      </c>
      <c r="C16" s="1">
        <v>126453.22</v>
      </c>
    </row>
    <row r="17" spans="1:3" x14ac:dyDescent="0.35">
      <c r="A17" s="1" t="s">
        <v>194</v>
      </c>
      <c r="B17" s="1">
        <v>2023</v>
      </c>
      <c r="C17" s="1">
        <v>1314686.4809999999</v>
      </c>
    </row>
    <row r="18" spans="1:3" x14ac:dyDescent="0.35">
      <c r="A18" s="1" t="s">
        <v>183</v>
      </c>
      <c r="B18" s="1">
        <v>2024</v>
      </c>
      <c r="C18" s="1">
        <v>184146.29070000001</v>
      </c>
    </row>
    <row r="19" spans="1:3" x14ac:dyDescent="0.35">
      <c r="A19" s="1" t="s">
        <v>182</v>
      </c>
      <c r="B19" s="1">
        <v>2024</v>
      </c>
      <c r="C19" s="1">
        <v>1797010.4129999999</v>
      </c>
    </row>
    <row r="20" spans="1:3" x14ac:dyDescent="0.35">
      <c r="A20" s="1" t="s">
        <v>208</v>
      </c>
      <c r="B20" s="1">
        <v>2024</v>
      </c>
      <c r="C20" s="1">
        <v>128525.497</v>
      </c>
    </row>
    <row r="21" spans="1:3" x14ac:dyDescent="0.35">
      <c r="A21" s="1" t="s">
        <v>194</v>
      </c>
      <c r="B21" s="1">
        <v>2024</v>
      </c>
      <c r="C21" s="1">
        <v>1316350.733</v>
      </c>
    </row>
    <row r="22" spans="1:3" x14ac:dyDescent="0.35">
      <c r="A22" s="1" t="s">
        <v>183</v>
      </c>
      <c r="B22" s="1">
        <v>2025</v>
      </c>
      <c r="C22" s="1">
        <v>185937.74249999999</v>
      </c>
    </row>
    <row r="23" spans="1:3" x14ac:dyDescent="0.35">
      <c r="A23" s="1" t="s">
        <v>182</v>
      </c>
      <c r="B23" s="1">
        <v>2025</v>
      </c>
      <c r="C23" s="1">
        <v>1871423.4709999999</v>
      </c>
    </row>
    <row r="24" spans="1:3" x14ac:dyDescent="0.35">
      <c r="A24" s="1" t="s">
        <v>208</v>
      </c>
      <c r="B24" s="1">
        <v>2025</v>
      </c>
      <c r="C24" s="1">
        <v>130945.202</v>
      </c>
    </row>
    <row r="25" spans="1:3" x14ac:dyDescent="0.35">
      <c r="A25" s="1" t="s">
        <v>194</v>
      </c>
      <c r="B25" s="1">
        <v>2025</v>
      </c>
      <c r="C25" s="1">
        <v>1290550.6950000001</v>
      </c>
    </row>
    <row r="26" spans="1:3" x14ac:dyDescent="0.35">
      <c r="A26" s="1" t="s">
        <v>183</v>
      </c>
      <c r="B26" s="1">
        <v>2026</v>
      </c>
      <c r="C26" s="1">
        <v>187153.3437</v>
      </c>
    </row>
    <row r="27" spans="1:3" x14ac:dyDescent="0.35">
      <c r="A27" s="1" t="s">
        <v>182</v>
      </c>
      <c r="B27" s="1">
        <v>2026</v>
      </c>
      <c r="C27" s="1">
        <v>1946860.6070000001</v>
      </c>
    </row>
    <row r="28" spans="1:3" x14ac:dyDescent="0.35">
      <c r="A28" s="1" t="s">
        <v>208</v>
      </c>
      <c r="B28" s="1">
        <v>2026</v>
      </c>
      <c r="C28" s="1">
        <v>133322.02499999999</v>
      </c>
    </row>
    <row r="29" spans="1:3" x14ac:dyDescent="0.35">
      <c r="A29" s="1" t="s">
        <v>194</v>
      </c>
      <c r="B29" s="1">
        <v>2026</v>
      </c>
      <c r="C29" s="1">
        <v>1260452.5419999999</v>
      </c>
    </row>
    <row r="30" spans="1:3" x14ac:dyDescent="0.35">
      <c r="A30" s="1" t="s">
        <v>183</v>
      </c>
      <c r="B30" s="1">
        <v>2027</v>
      </c>
      <c r="C30" s="1">
        <v>187637.05809999999</v>
      </c>
    </row>
    <row r="31" spans="1:3" x14ac:dyDescent="0.35">
      <c r="A31" s="1" t="s">
        <v>182</v>
      </c>
      <c r="B31" s="1">
        <v>2027</v>
      </c>
      <c r="C31" s="1">
        <v>2019509.8770000001</v>
      </c>
    </row>
    <row r="32" spans="1:3" x14ac:dyDescent="0.35">
      <c r="A32" s="1" t="s">
        <v>208</v>
      </c>
      <c r="B32" s="1">
        <v>2027</v>
      </c>
      <c r="C32" s="1">
        <v>135653.24100000001</v>
      </c>
    </row>
    <row r="33" spans="1:3" x14ac:dyDescent="0.35">
      <c r="A33" s="1" t="s">
        <v>194</v>
      </c>
      <c r="B33" s="1">
        <v>2027</v>
      </c>
      <c r="C33" s="1">
        <v>1224924.429</v>
      </c>
    </row>
    <row r="34" spans="1:3" x14ac:dyDescent="0.35">
      <c r="A34" s="1" t="s">
        <v>183</v>
      </c>
      <c r="B34" s="1">
        <v>2028</v>
      </c>
      <c r="C34" s="1">
        <v>188223.3774</v>
      </c>
    </row>
    <row r="35" spans="1:3" x14ac:dyDescent="0.35">
      <c r="A35" s="1" t="s">
        <v>182</v>
      </c>
      <c r="B35" s="1">
        <v>2028</v>
      </c>
      <c r="C35" s="1">
        <v>2086422.263</v>
      </c>
    </row>
    <row r="36" spans="1:3" x14ac:dyDescent="0.35">
      <c r="A36" s="1" t="s">
        <v>208</v>
      </c>
      <c r="B36" s="1">
        <v>2028</v>
      </c>
      <c r="C36" s="1">
        <v>138483.856</v>
      </c>
    </row>
    <row r="37" spans="1:3" x14ac:dyDescent="0.35">
      <c r="A37" s="1" t="s">
        <v>194</v>
      </c>
      <c r="B37" s="1">
        <v>2028</v>
      </c>
      <c r="C37" s="1">
        <v>1184882.7139999999</v>
      </c>
    </row>
    <row r="38" spans="1:3" x14ac:dyDescent="0.35">
      <c r="A38" s="1" t="s">
        <v>183</v>
      </c>
      <c r="B38" s="1">
        <v>2029</v>
      </c>
      <c r="C38" s="1">
        <v>188772.98740000001</v>
      </c>
    </row>
    <row r="39" spans="1:3" x14ac:dyDescent="0.35">
      <c r="A39" s="1" t="s">
        <v>182</v>
      </c>
      <c r="B39" s="1">
        <v>2029</v>
      </c>
      <c r="C39" s="1">
        <v>2150056.2030000002</v>
      </c>
    </row>
    <row r="40" spans="1:3" x14ac:dyDescent="0.35">
      <c r="A40" s="1" t="s">
        <v>208</v>
      </c>
      <c r="B40" s="1">
        <v>2029</v>
      </c>
      <c r="C40" s="1">
        <v>141633.06</v>
      </c>
    </row>
    <row r="41" spans="1:3" x14ac:dyDescent="0.35">
      <c r="A41" s="1" t="s">
        <v>194</v>
      </c>
      <c r="B41" s="1">
        <v>2029</v>
      </c>
      <c r="C41" s="1">
        <v>1143207.7690000001</v>
      </c>
    </row>
    <row r="42" spans="1:3" x14ac:dyDescent="0.35">
      <c r="A42" s="1" t="s">
        <v>183</v>
      </c>
      <c r="B42" s="1">
        <v>2030</v>
      </c>
      <c r="C42" s="1">
        <v>189083.60569999999</v>
      </c>
    </row>
    <row r="43" spans="1:3" x14ac:dyDescent="0.35">
      <c r="A43" s="1" t="s">
        <v>182</v>
      </c>
      <c r="B43" s="1">
        <v>2030</v>
      </c>
      <c r="C43" s="1">
        <v>2211753.6189999999</v>
      </c>
    </row>
    <row r="44" spans="1:3" x14ac:dyDescent="0.35">
      <c r="A44" s="1" t="s">
        <v>208</v>
      </c>
      <c r="B44" s="1">
        <v>2030</v>
      </c>
      <c r="C44" s="1">
        <v>144797.84</v>
      </c>
    </row>
    <row r="45" spans="1:3" x14ac:dyDescent="0.35">
      <c r="A45" s="1" t="s">
        <v>194</v>
      </c>
      <c r="B45" s="1">
        <v>2030</v>
      </c>
      <c r="C45" s="1">
        <v>1102584.8289999999</v>
      </c>
    </row>
    <row r="46" spans="1:3" x14ac:dyDescent="0.35">
      <c r="A46" s="1" t="s">
        <v>183</v>
      </c>
      <c r="B46" s="1">
        <v>2031</v>
      </c>
      <c r="C46" s="1">
        <v>189308.39300000001</v>
      </c>
    </row>
    <row r="47" spans="1:3" x14ac:dyDescent="0.35">
      <c r="A47" s="1" t="s">
        <v>182</v>
      </c>
      <c r="B47" s="1">
        <v>2031</v>
      </c>
      <c r="C47" s="1">
        <v>2271951.747</v>
      </c>
    </row>
    <row r="48" spans="1:3" x14ac:dyDescent="0.35">
      <c r="A48" s="1" t="s">
        <v>208</v>
      </c>
      <c r="B48" s="1">
        <v>2031</v>
      </c>
      <c r="C48" s="1">
        <v>148003.883</v>
      </c>
    </row>
    <row r="49" spans="1:3" x14ac:dyDescent="0.35">
      <c r="A49" s="1" t="s">
        <v>194</v>
      </c>
      <c r="B49" s="1">
        <v>2031</v>
      </c>
      <c r="C49" s="1">
        <v>1064723.162</v>
      </c>
    </row>
    <row r="50" spans="1:3" x14ac:dyDescent="0.35">
      <c r="A50" s="1" t="s">
        <v>183</v>
      </c>
      <c r="B50" s="1">
        <v>2032</v>
      </c>
      <c r="C50" s="1">
        <v>189464.01329999999</v>
      </c>
    </row>
    <row r="51" spans="1:3" x14ac:dyDescent="0.35">
      <c r="A51" s="1" t="s">
        <v>182</v>
      </c>
      <c r="B51" s="1">
        <v>2032</v>
      </c>
      <c r="C51" s="1">
        <v>2329925.5959999999</v>
      </c>
    </row>
    <row r="52" spans="1:3" x14ac:dyDescent="0.35">
      <c r="A52" s="1" t="s">
        <v>208</v>
      </c>
      <c r="B52" s="1">
        <v>2032</v>
      </c>
      <c r="C52" s="1">
        <v>151342.39999999999</v>
      </c>
    </row>
    <row r="53" spans="1:3" x14ac:dyDescent="0.35">
      <c r="A53" s="1" t="s">
        <v>194</v>
      </c>
      <c r="B53" s="1">
        <v>2032</v>
      </c>
      <c r="C53" s="1">
        <v>1029644.0429999999</v>
      </c>
    </row>
    <row r="54" spans="1:3" x14ac:dyDescent="0.35">
      <c r="A54" s="1" t="s">
        <v>183</v>
      </c>
      <c r="B54" s="1">
        <v>2033</v>
      </c>
      <c r="C54" s="1">
        <v>189539.73</v>
      </c>
    </row>
    <row r="55" spans="1:3" x14ac:dyDescent="0.35">
      <c r="A55" s="1" t="s">
        <v>182</v>
      </c>
      <c r="B55" s="1">
        <v>2033</v>
      </c>
      <c r="C55" s="1">
        <v>2381138.9350000001</v>
      </c>
    </row>
    <row r="56" spans="1:3" x14ac:dyDescent="0.35">
      <c r="A56" s="1" t="s">
        <v>208</v>
      </c>
      <c r="B56" s="1">
        <v>2033</v>
      </c>
      <c r="C56" s="1">
        <v>154675.133</v>
      </c>
    </row>
    <row r="57" spans="1:3" x14ac:dyDescent="0.35">
      <c r="A57" s="1" t="s">
        <v>194</v>
      </c>
      <c r="B57" s="1">
        <v>2033</v>
      </c>
      <c r="C57" s="1">
        <v>996160.41799999995</v>
      </c>
    </row>
    <row r="58" spans="1:3" x14ac:dyDescent="0.35">
      <c r="A58" s="1" t="s">
        <v>183</v>
      </c>
      <c r="B58" s="1">
        <v>2034</v>
      </c>
      <c r="C58" s="1">
        <v>189592.37040000001</v>
      </c>
    </row>
    <row r="59" spans="1:3" x14ac:dyDescent="0.35">
      <c r="A59" s="1" t="s">
        <v>182</v>
      </c>
      <c r="B59" s="1">
        <v>2034</v>
      </c>
      <c r="C59" s="1">
        <v>2429660.1639999999</v>
      </c>
    </row>
    <row r="60" spans="1:3" x14ac:dyDescent="0.35">
      <c r="A60" s="1" t="s">
        <v>208</v>
      </c>
      <c r="B60" s="1">
        <v>2034</v>
      </c>
      <c r="C60" s="1">
        <v>157937.71400000001</v>
      </c>
    </row>
    <row r="61" spans="1:3" x14ac:dyDescent="0.35">
      <c r="A61" s="1" t="s">
        <v>194</v>
      </c>
      <c r="B61" s="1">
        <v>2034</v>
      </c>
      <c r="C61" s="1">
        <v>966278.76100000006</v>
      </c>
    </row>
    <row r="62" spans="1:3" x14ac:dyDescent="0.35">
      <c r="A62" s="1" t="s">
        <v>183</v>
      </c>
      <c r="B62" s="1">
        <v>2035</v>
      </c>
      <c r="C62" s="1">
        <v>189671.37849999999</v>
      </c>
    </row>
    <row r="63" spans="1:3" x14ac:dyDescent="0.35">
      <c r="A63" s="1" t="s">
        <v>182</v>
      </c>
      <c r="B63" s="1">
        <v>2035</v>
      </c>
      <c r="C63" s="1">
        <v>2473313.2650000001</v>
      </c>
    </row>
    <row r="64" spans="1:3" x14ac:dyDescent="0.35">
      <c r="A64" s="1" t="s">
        <v>208</v>
      </c>
      <c r="B64" s="1">
        <v>2035</v>
      </c>
      <c r="C64" s="1">
        <v>161310.57800000001</v>
      </c>
    </row>
    <row r="65" spans="1:3" x14ac:dyDescent="0.35">
      <c r="A65" s="1" t="s">
        <v>194</v>
      </c>
      <c r="B65" s="1">
        <v>2035</v>
      </c>
      <c r="C65" s="1">
        <v>939809.076</v>
      </c>
    </row>
    <row r="66" spans="1:3" x14ac:dyDescent="0.35">
      <c r="A66" s="1" t="s">
        <v>183</v>
      </c>
      <c r="B66" s="1">
        <v>2036</v>
      </c>
      <c r="C66" s="1">
        <v>189741.73389999999</v>
      </c>
    </row>
    <row r="67" spans="1:3" x14ac:dyDescent="0.35">
      <c r="A67" s="1" t="s">
        <v>182</v>
      </c>
      <c r="B67" s="1">
        <v>2036</v>
      </c>
      <c r="C67" s="1">
        <v>2512835.2769999998</v>
      </c>
    </row>
    <row r="68" spans="1:3" x14ac:dyDescent="0.35">
      <c r="A68" s="1" t="s">
        <v>208</v>
      </c>
      <c r="B68" s="1">
        <v>2036</v>
      </c>
      <c r="C68" s="1">
        <v>164760.88699999999</v>
      </c>
    </row>
    <row r="69" spans="1:3" x14ac:dyDescent="0.35">
      <c r="A69" s="1" t="s">
        <v>194</v>
      </c>
      <c r="B69" s="1">
        <v>2036</v>
      </c>
      <c r="C69" s="1">
        <v>916837.32799999998</v>
      </c>
    </row>
    <row r="70" spans="1:3" x14ac:dyDescent="0.35">
      <c r="A70" s="1" t="s">
        <v>183</v>
      </c>
      <c r="B70" s="1">
        <v>2037</v>
      </c>
      <c r="C70" s="1">
        <v>190016.35509999999</v>
      </c>
    </row>
    <row r="71" spans="1:3" x14ac:dyDescent="0.35">
      <c r="A71" s="1" t="s">
        <v>182</v>
      </c>
      <c r="B71" s="1">
        <v>2037</v>
      </c>
      <c r="C71" s="1">
        <v>2549580.1340000001</v>
      </c>
    </row>
    <row r="72" spans="1:3" x14ac:dyDescent="0.35">
      <c r="A72" s="1" t="s">
        <v>208</v>
      </c>
      <c r="B72" s="1">
        <v>2037</v>
      </c>
      <c r="C72" s="1">
        <v>168423.584</v>
      </c>
    </row>
    <row r="73" spans="1:3" x14ac:dyDescent="0.35">
      <c r="A73" s="1" t="s">
        <v>194</v>
      </c>
      <c r="B73" s="1">
        <v>2037</v>
      </c>
      <c r="C73" s="1">
        <v>897685.51599999995</v>
      </c>
    </row>
    <row r="74" spans="1:3" x14ac:dyDescent="0.35">
      <c r="A74" s="1" t="s">
        <v>183</v>
      </c>
      <c r="B74" s="1">
        <v>2038</v>
      </c>
      <c r="C74" s="1">
        <v>190293.97640000001</v>
      </c>
    </row>
    <row r="75" spans="1:3" x14ac:dyDescent="0.35">
      <c r="A75" s="1" t="s">
        <v>182</v>
      </c>
      <c r="B75" s="1">
        <v>2038</v>
      </c>
      <c r="C75" s="1">
        <v>2583804.2710000002</v>
      </c>
    </row>
    <row r="76" spans="1:3" x14ac:dyDescent="0.35">
      <c r="A76" s="1" t="s">
        <v>208</v>
      </c>
      <c r="B76" s="1">
        <v>2038</v>
      </c>
      <c r="C76" s="1">
        <v>172034.745</v>
      </c>
    </row>
    <row r="77" spans="1:3" x14ac:dyDescent="0.35">
      <c r="A77" s="1" t="s">
        <v>194</v>
      </c>
      <c r="B77" s="1">
        <v>2038</v>
      </c>
      <c r="C77" s="1">
        <v>882476.03300000005</v>
      </c>
    </row>
    <row r="78" spans="1:3" x14ac:dyDescent="0.35">
      <c r="A78" s="1" t="s">
        <v>183</v>
      </c>
      <c r="B78" s="1">
        <v>2039</v>
      </c>
      <c r="C78" s="1">
        <v>190610.7175</v>
      </c>
    </row>
    <row r="79" spans="1:3" x14ac:dyDescent="0.35">
      <c r="A79" s="1" t="s">
        <v>182</v>
      </c>
      <c r="B79" s="1">
        <v>2039</v>
      </c>
      <c r="C79" s="1">
        <v>2615314.9619999998</v>
      </c>
    </row>
    <row r="80" spans="1:3" x14ac:dyDescent="0.35">
      <c r="A80" s="1" t="s">
        <v>208</v>
      </c>
      <c r="B80" s="1">
        <v>2039</v>
      </c>
      <c r="C80" s="1">
        <v>175634.46799999999</v>
      </c>
    </row>
    <row r="81" spans="1:3" x14ac:dyDescent="0.35">
      <c r="A81" s="1" t="s">
        <v>194</v>
      </c>
      <c r="B81" s="1">
        <v>2039</v>
      </c>
      <c r="C81" s="1">
        <v>870383.95499999996</v>
      </c>
    </row>
    <row r="82" spans="1:3" x14ac:dyDescent="0.35">
      <c r="A82" s="1" t="s">
        <v>183</v>
      </c>
      <c r="B82" s="1">
        <v>2040</v>
      </c>
      <c r="C82" s="1">
        <v>190970.98680000001</v>
      </c>
    </row>
    <row r="83" spans="1:3" x14ac:dyDescent="0.35">
      <c r="A83" s="1" t="s">
        <v>182</v>
      </c>
      <c r="B83" s="1">
        <v>2040</v>
      </c>
      <c r="C83" s="1">
        <v>2646150.2910000002</v>
      </c>
    </row>
    <row r="84" spans="1:3" x14ac:dyDescent="0.35">
      <c r="A84" s="1" t="s">
        <v>208</v>
      </c>
      <c r="B84" s="1">
        <v>2040</v>
      </c>
      <c r="C84" s="1">
        <v>179230.97200000001</v>
      </c>
    </row>
    <row r="85" spans="1:3" x14ac:dyDescent="0.35">
      <c r="A85" s="1" t="s">
        <v>194</v>
      </c>
      <c r="B85" s="1">
        <v>2040</v>
      </c>
      <c r="C85" s="1">
        <v>861964.58</v>
      </c>
    </row>
    <row r="86" spans="1:3" x14ac:dyDescent="0.35">
      <c r="A86" s="1" t="s">
        <v>183</v>
      </c>
      <c r="B86" s="1">
        <v>2041</v>
      </c>
      <c r="C86" s="1">
        <v>191453.59779999999</v>
      </c>
    </row>
    <row r="87" spans="1:3" x14ac:dyDescent="0.35">
      <c r="A87" s="1" t="s">
        <v>182</v>
      </c>
      <c r="B87" s="1">
        <v>2041</v>
      </c>
      <c r="C87" s="1">
        <v>2674284.6540000001</v>
      </c>
    </row>
    <row r="88" spans="1:3" x14ac:dyDescent="0.35">
      <c r="A88" s="1" t="s">
        <v>208</v>
      </c>
      <c r="B88" s="1">
        <v>2041</v>
      </c>
      <c r="C88" s="1">
        <v>183064.33100000001</v>
      </c>
    </row>
    <row r="89" spans="1:3" x14ac:dyDescent="0.35">
      <c r="A89" s="1" t="s">
        <v>194</v>
      </c>
      <c r="B89" s="1">
        <v>2041</v>
      </c>
      <c r="C89" s="1">
        <v>855630.73400000005</v>
      </c>
    </row>
    <row r="90" spans="1:3" x14ac:dyDescent="0.35">
      <c r="A90" s="1" t="s">
        <v>183</v>
      </c>
      <c r="B90" s="1">
        <v>2042</v>
      </c>
      <c r="C90" s="1">
        <v>192054.36309999999</v>
      </c>
    </row>
    <row r="91" spans="1:3" x14ac:dyDescent="0.35">
      <c r="A91" s="1" t="s">
        <v>182</v>
      </c>
      <c r="B91" s="1">
        <v>2042</v>
      </c>
      <c r="C91" s="1">
        <v>2699678.19</v>
      </c>
    </row>
    <row r="92" spans="1:3" x14ac:dyDescent="0.35">
      <c r="A92" s="1" t="s">
        <v>208</v>
      </c>
      <c r="B92" s="1">
        <v>2042</v>
      </c>
      <c r="C92" s="1">
        <v>186996.95600000001</v>
      </c>
    </row>
    <row r="93" spans="1:3" x14ac:dyDescent="0.35">
      <c r="A93" s="1" t="s">
        <v>194</v>
      </c>
      <c r="B93" s="1">
        <v>2042</v>
      </c>
      <c r="C93" s="1">
        <v>850804.74699999997</v>
      </c>
    </row>
    <row r="94" spans="1:3" x14ac:dyDescent="0.35">
      <c r="A94" s="1" t="s">
        <v>183</v>
      </c>
      <c r="B94" s="1">
        <v>2043</v>
      </c>
      <c r="C94" s="1">
        <v>192587.74789999999</v>
      </c>
    </row>
    <row r="95" spans="1:3" x14ac:dyDescent="0.35">
      <c r="A95" s="1" t="s">
        <v>182</v>
      </c>
      <c r="B95" s="1">
        <v>2043</v>
      </c>
      <c r="C95" s="1">
        <v>2724653.0090000001</v>
      </c>
    </row>
    <row r="96" spans="1:3" x14ac:dyDescent="0.35">
      <c r="A96" s="1" t="s">
        <v>208</v>
      </c>
      <c r="B96" s="1">
        <v>2043</v>
      </c>
      <c r="C96" s="1">
        <v>190871.391</v>
      </c>
    </row>
    <row r="97" spans="1:3" x14ac:dyDescent="0.35">
      <c r="A97" s="1" t="s">
        <v>194</v>
      </c>
      <c r="B97" s="1">
        <v>2043</v>
      </c>
      <c r="C97" s="1">
        <v>847901.91799999995</v>
      </c>
    </row>
    <row r="98" spans="1:3" x14ac:dyDescent="0.35">
      <c r="A98" s="1" t="s">
        <v>183</v>
      </c>
      <c r="B98" s="1">
        <v>2044</v>
      </c>
      <c r="C98" s="1">
        <v>193047.80609999999</v>
      </c>
    </row>
    <row r="99" spans="1:3" x14ac:dyDescent="0.35">
      <c r="A99" s="1" t="s">
        <v>182</v>
      </c>
      <c r="B99" s="1">
        <v>2044</v>
      </c>
      <c r="C99" s="1">
        <v>2748073.8020000001</v>
      </c>
    </row>
    <row r="100" spans="1:3" x14ac:dyDescent="0.35">
      <c r="A100" s="1" t="s">
        <v>208</v>
      </c>
      <c r="B100" s="1">
        <v>2044</v>
      </c>
      <c r="C100" s="1">
        <v>194784.18700000001</v>
      </c>
    </row>
    <row r="101" spans="1:3" x14ac:dyDescent="0.35">
      <c r="A101" s="1" t="s">
        <v>194</v>
      </c>
      <c r="B101" s="1">
        <v>2044</v>
      </c>
      <c r="C101" s="1">
        <v>846015.01699999999</v>
      </c>
    </row>
    <row r="102" spans="1:3" x14ac:dyDescent="0.35">
      <c r="A102" s="1" t="s">
        <v>183</v>
      </c>
      <c r="B102" s="1">
        <v>2045</v>
      </c>
      <c r="C102" s="1">
        <v>193394.29629999999</v>
      </c>
    </row>
    <row r="103" spans="1:3" x14ac:dyDescent="0.35">
      <c r="A103" s="1" t="s">
        <v>182</v>
      </c>
      <c r="B103" s="1">
        <v>2045</v>
      </c>
      <c r="C103" s="1">
        <v>2770397.1660000002</v>
      </c>
    </row>
    <row r="104" spans="1:3" x14ac:dyDescent="0.35">
      <c r="A104" s="1" t="s">
        <v>208</v>
      </c>
      <c r="B104" s="1">
        <v>2045</v>
      </c>
      <c r="C104" s="1">
        <v>198765.693</v>
      </c>
    </row>
    <row r="105" spans="1:3" x14ac:dyDescent="0.35">
      <c r="A105" s="1" t="s">
        <v>194</v>
      </c>
      <c r="B105" s="1">
        <v>2045</v>
      </c>
      <c r="C105" s="1">
        <v>844884.71200000006</v>
      </c>
    </row>
    <row r="106" spans="1:3" x14ac:dyDescent="0.35">
      <c r="A106" s="1" t="s">
        <v>183</v>
      </c>
      <c r="B106" s="1">
        <v>2046</v>
      </c>
      <c r="C106" s="1">
        <v>193830.55290000001</v>
      </c>
    </row>
    <row r="107" spans="1:3" x14ac:dyDescent="0.35">
      <c r="A107" s="1" t="s">
        <v>182</v>
      </c>
      <c r="B107" s="1">
        <v>2046</v>
      </c>
      <c r="C107" s="1">
        <v>2793342.4109999998</v>
      </c>
    </row>
    <row r="108" spans="1:3" x14ac:dyDescent="0.35">
      <c r="A108" s="1" t="s">
        <v>208</v>
      </c>
      <c r="B108" s="1">
        <v>2046</v>
      </c>
      <c r="C108" s="1">
        <v>202974.114</v>
      </c>
    </row>
    <row r="109" spans="1:3" x14ac:dyDescent="0.35">
      <c r="A109" s="1" t="s">
        <v>194</v>
      </c>
      <c r="B109" s="1">
        <v>2046</v>
      </c>
      <c r="C109" s="1">
        <v>845135.25600000005</v>
      </c>
    </row>
    <row r="110" spans="1:3" x14ac:dyDescent="0.35">
      <c r="A110" s="1" t="s">
        <v>183</v>
      </c>
      <c r="B110" s="1">
        <v>2047</v>
      </c>
      <c r="C110" s="1">
        <v>193839.5312</v>
      </c>
    </row>
    <row r="111" spans="1:3" x14ac:dyDescent="0.35">
      <c r="A111" s="1" t="s">
        <v>182</v>
      </c>
      <c r="B111" s="1">
        <v>2047</v>
      </c>
      <c r="C111" s="1">
        <v>2817418.2620000001</v>
      </c>
    </row>
    <row r="112" spans="1:3" x14ac:dyDescent="0.35">
      <c r="A112" s="1" t="s">
        <v>208</v>
      </c>
      <c r="B112" s="1">
        <v>2047</v>
      </c>
      <c r="C112" s="1">
        <v>206951.79</v>
      </c>
    </row>
    <row r="113" spans="1:3" x14ac:dyDescent="0.35">
      <c r="A113" s="1" t="s">
        <v>194</v>
      </c>
      <c r="B113" s="1">
        <v>2047</v>
      </c>
      <c r="C113" s="1">
        <v>845825.82200000004</v>
      </c>
    </row>
    <row r="114" spans="1:3" x14ac:dyDescent="0.35">
      <c r="A114" s="1" t="s">
        <v>183</v>
      </c>
      <c r="B114" s="1">
        <v>2048</v>
      </c>
      <c r="C114" s="1">
        <v>193480.38269999999</v>
      </c>
    </row>
    <row r="115" spans="1:3" x14ac:dyDescent="0.35">
      <c r="A115" s="1" t="s">
        <v>182</v>
      </c>
      <c r="B115" s="1">
        <v>2048</v>
      </c>
      <c r="C115" s="1">
        <v>2841721.6919999998</v>
      </c>
    </row>
    <row r="116" spans="1:3" x14ac:dyDescent="0.35">
      <c r="A116" s="1" t="s">
        <v>208</v>
      </c>
      <c r="B116" s="1">
        <v>2048</v>
      </c>
      <c r="C116" s="1">
        <v>210744.30100000001</v>
      </c>
    </row>
    <row r="117" spans="1:3" x14ac:dyDescent="0.35">
      <c r="A117" s="1" t="s">
        <v>194</v>
      </c>
      <c r="B117" s="1">
        <v>2048</v>
      </c>
      <c r="C117" s="1">
        <v>846651.25100000005</v>
      </c>
    </row>
    <row r="118" spans="1:3" x14ac:dyDescent="0.35">
      <c r="A118" s="1" t="s">
        <v>183</v>
      </c>
      <c r="B118" s="1">
        <v>2049</v>
      </c>
      <c r="C118" s="1">
        <v>193608.07459999999</v>
      </c>
    </row>
    <row r="119" spans="1:3" x14ac:dyDescent="0.35">
      <c r="A119" s="1" t="s">
        <v>182</v>
      </c>
      <c r="B119" s="1">
        <v>2049</v>
      </c>
      <c r="C119" s="1">
        <v>2866483.3050000002</v>
      </c>
    </row>
    <row r="120" spans="1:3" x14ac:dyDescent="0.35">
      <c r="A120" s="1" t="s">
        <v>208</v>
      </c>
      <c r="B120" s="1">
        <v>2049</v>
      </c>
      <c r="C120" s="1">
        <v>215131.821</v>
      </c>
    </row>
    <row r="121" spans="1:3" x14ac:dyDescent="0.35">
      <c r="A121" s="1" t="s">
        <v>194</v>
      </c>
      <c r="B121" s="1">
        <v>2049</v>
      </c>
      <c r="C121" s="1">
        <v>847708.85499999998</v>
      </c>
    </row>
    <row r="122" spans="1:3" x14ac:dyDescent="0.35">
      <c r="A122" s="1" t="s">
        <v>183</v>
      </c>
      <c r="B122" s="1">
        <v>2050</v>
      </c>
      <c r="C122" s="1">
        <v>194188.55050000001</v>
      </c>
    </row>
    <row r="123" spans="1:3" x14ac:dyDescent="0.35">
      <c r="A123" s="1" t="s">
        <v>182</v>
      </c>
      <c r="B123" s="1">
        <v>2050</v>
      </c>
      <c r="C123" s="1">
        <v>2892942.5290000001</v>
      </c>
    </row>
    <row r="124" spans="1:3" x14ac:dyDescent="0.35">
      <c r="A124" s="1" t="s">
        <v>208</v>
      </c>
      <c r="B124" s="1">
        <v>2050</v>
      </c>
      <c r="C124" s="1">
        <v>220055.75599999999</v>
      </c>
    </row>
    <row r="125" spans="1:3" x14ac:dyDescent="0.35">
      <c r="A125" s="1" t="s">
        <v>194</v>
      </c>
      <c r="B125" s="1">
        <v>2050</v>
      </c>
      <c r="C125" s="1">
        <v>849019.72380000004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topLeftCell="A322" workbookViewId="0">
      <selection activeCell="D379" sqref="D379"/>
    </sheetView>
  </sheetViews>
  <sheetFormatPr defaultRowHeight="14.5" x14ac:dyDescent="0.35"/>
  <cols>
    <col min="2" max="2" width="13.179687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179687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242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239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239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239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239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239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242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243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240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240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240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240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240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243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336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336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336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336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336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336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336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88</v>
      </c>
      <c r="C373" s="1" t="s">
        <v>89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90</v>
      </c>
      <c r="C374" s="1" t="s">
        <v>89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89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89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89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89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89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88</v>
      </c>
      <c r="C380" s="1" t="s">
        <v>89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90</v>
      </c>
      <c r="C381" s="1" t="s">
        <v>89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89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89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89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89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89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88</v>
      </c>
      <c r="C387" s="1" t="s">
        <v>89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90</v>
      </c>
      <c r="C388" s="1" t="s">
        <v>89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89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89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89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89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89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88</v>
      </c>
      <c r="C394" s="1" t="s">
        <v>89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90</v>
      </c>
      <c r="C395" s="1" t="s">
        <v>89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89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89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89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89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89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88</v>
      </c>
      <c r="C401" s="1" t="s">
        <v>89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90</v>
      </c>
      <c r="C402" s="1" t="s">
        <v>89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89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89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89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89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89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88</v>
      </c>
      <c r="C408" s="1" t="s">
        <v>89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90</v>
      </c>
      <c r="C409" s="1" t="s">
        <v>89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89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89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89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89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89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88</v>
      </c>
      <c r="C415" s="1" t="s">
        <v>89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90</v>
      </c>
      <c r="C416" s="1" t="s">
        <v>89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89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89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89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89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89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88</v>
      </c>
      <c r="C422" s="1" t="s">
        <v>89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90</v>
      </c>
      <c r="C423" s="1" t="s">
        <v>89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89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89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89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89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89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88</v>
      </c>
      <c r="C429" s="1" t="s">
        <v>89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90</v>
      </c>
      <c r="C430" s="1" t="s">
        <v>89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89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89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89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89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89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88</v>
      </c>
      <c r="C436" s="1" t="s">
        <v>89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90</v>
      </c>
      <c r="C437" s="1" t="s">
        <v>89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89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89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89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89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89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88</v>
      </c>
      <c r="C443" s="1" t="s">
        <v>89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90</v>
      </c>
      <c r="C444" s="1" t="s">
        <v>89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89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89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89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89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89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88</v>
      </c>
      <c r="C450" s="1" t="s">
        <v>89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90</v>
      </c>
      <c r="C451" s="1" t="s">
        <v>89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89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89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89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89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89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88</v>
      </c>
      <c r="C457" s="1" t="s">
        <v>89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90</v>
      </c>
      <c r="C458" s="1" t="s">
        <v>89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89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89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89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89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89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88</v>
      </c>
      <c r="C464" s="1" t="s">
        <v>89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90</v>
      </c>
      <c r="C465" s="1" t="s">
        <v>89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89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89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89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89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89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88</v>
      </c>
      <c r="C471" s="1" t="s">
        <v>89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90</v>
      </c>
      <c r="C472" s="1" t="s">
        <v>89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89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89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89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89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89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88</v>
      </c>
      <c r="C478" s="1" t="s">
        <v>89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90</v>
      </c>
      <c r="C479" s="1" t="s">
        <v>89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89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89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89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89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89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88</v>
      </c>
      <c r="C485" s="1" t="s">
        <v>89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90</v>
      </c>
      <c r="C486" s="1" t="s">
        <v>89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89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89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89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89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89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88</v>
      </c>
      <c r="C492" s="1" t="s">
        <v>89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90</v>
      </c>
      <c r="C493" s="1" t="s">
        <v>89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89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89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89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89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89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88</v>
      </c>
      <c r="C499" s="1" t="s">
        <v>89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90</v>
      </c>
      <c r="C500" s="1" t="s">
        <v>89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89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89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89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89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89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88</v>
      </c>
      <c r="C506" s="1" t="s">
        <v>89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90</v>
      </c>
      <c r="C507" s="1" t="s">
        <v>89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89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89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89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89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89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88</v>
      </c>
      <c r="C513" s="1" t="s">
        <v>89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90</v>
      </c>
      <c r="C514" s="1" t="s">
        <v>89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89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89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89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89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89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88</v>
      </c>
      <c r="C520" s="1" t="s">
        <v>89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90</v>
      </c>
      <c r="C521" s="1" t="s">
        <v>89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89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89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89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89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89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88</v>
      </c>
      <c r="C527" s="1" t="s">
        <v>89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90</v>
      </c>
      <c r="C528" s="1" t="s">
        <v>89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89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89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89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89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89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88</v>
      </c>
      <c r="C534" s="1" t="s">
        <v>89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90</v>
      </c>
      <c r="C535" s="1" t="s">
        <v>89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89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89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89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89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89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88</v>
      </c>
      <c r="C541" s="1" t="s">
        <v>89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90</v>
      </c>
      <c r="C542" s="1" t="s">
        <v>89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89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89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89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89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89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88</v>
      </c>
      <c r="C548" s="1" t="s">
        <v>89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90</v>
      </c>
      <c r="C549" s="1" t="s">
        <v>89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89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89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89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89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89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88</v>
      </c>
      <c r="C555" s="1" t="s">
        <v>89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90</v>
      </c>
      <c r="C556" s="1" t="s">
        <v>89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89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89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89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89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89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88</v>
      </c>
      <c r="C562" s="1" t="s">
        <v>89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90</v>
      </c>
      <c r="C563" s="1" t="s">
        <v>89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89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89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89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89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89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88</v>
      </c>
      <c r="C569" s="1" t="s">
        <v>89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90</v>
      </c>
      <c r="C570" s="1" t="s">
        <v>89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89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89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89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89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89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88</v>
      </c>
      <c r="C576" s="1" t="s">
        <v>89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90</v>
      </c>
      <c r="C577" s="1" t="s">
        <v>89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89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89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89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89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89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88</v>
      </c>
      <c r="C583" s="1" t="s">
        <v>89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90</v>
      </c>
      <c r="C584" s="1" t="s">
        <v>89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89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89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89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89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89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88</v>
      </c>
      <c r="C590" s="1" t="s">
        <v>89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90</v>
      </c>
      <c r="C591" s="1" t="s">
        <v>89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89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89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89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89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89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88</v>
      </c>
      <c r="C597" s="1" t="s">
        <v>89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90</v>
      </c>
      <c r="C598" s="1" t="s">
        <v>89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89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89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89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89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89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242</v>
      </c>
      <c r="B604" s="1" t="s">
        <v>88</v>
      </c>
      <c r="C604" s="1" t="s">
        <v>89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239</v>
      </c>
      <c r="B605" s="1" t="s">
        <v>90</v>
      </c>
      <c r="C605" s="1" t="s">
        <v>89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239</v>
      </c>
      <c r="B606" s="1" t="s">
        <v>82</v>
      </c>
      <c r="C606" s="1" t="s">
        <v>89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239</v>
      </c>
      <c r="B607" s="1" t="s">
        <v>83</v>
      </c>
      <c r="C607" s="1" t="s">
        <v>89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239</v>
      </c>
      <c r="B608" s="1" t="s">
        <v>84</v>
      </c>
      <c r="C608" s="1" t="s">
        <v>89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239</v>
      </c>
      <c r="B609" s="1" t="s">
        <v>85</v>
      </c>
      <c r="C609" s="1" t="s">
        <v>89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242</v>
      </c>
      <c r="B610" s="1" t="s">
        <v>86</v>
      </c>
      <c r="C610" s="1" t="s">
        <v>89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88</v>
      </c>
      <c r="C611" s="1" t="s">
        <v>89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90</v>
      </c>
      <c r="C612" s="1" t="s">
        <v>89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89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89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89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89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89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88</v>
      </c>
      <c r="C618" s="1" t="s">
        <v>89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90</v>
      </c>
      <c r="C619" s="1" t="s">
        <v>89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89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89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89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89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89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88</v>
      </c>
      <c r="C625" s="1" t="s">
        <v>89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90</v>
      </c>
      <c r="C626" s="1" t="s">
        <v>89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89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89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89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89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89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88</v>
      </c>
      <c r="C632" s="1" t="s">
        <v>89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90</v>
      </c>
      <c r="C633" s="1" t="s">
        <v>89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89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89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89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89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89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88</v>
      </c>
      <c r="C639" s="1" t="s">
        <v>89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90</v>
      </c>
      <c r="C640" s="1" t="s">
        <v>89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89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89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89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89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89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88</v>
      </c>
      <c r="C646" s="1" t="s">
        <v>89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90</v>
      </c>
      <c r="C647" s="1" t="s">
        <v>89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89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89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89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89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89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88</v>
      </c>
      <c r="C653" s="1" t="s">
        <v>89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90</v>
      </c>
      <c r="C654" s="1" t="s">
        <v>89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89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89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89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89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89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243</v>
      </c>
      <c r="B660" s="1" t="s">
        <v>88</v>
      </c>
      <c r="C660" s="1" t="s">
        <v>89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240</v>
      </c>
      <c r="B661" s="1" t="s">
        <v>90</v>
      </c>
      <c r="C661" s="1" t="s">
        <v>89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240</v>
      </c>
      <c r="B662" s="1" t="s">
        <v>82</v>
      </c>
      <c r="C662" s="1" t="s">
        <v>89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240</v>
      </c>
      <c r="B663" s="1" t="s">
        <v>83</v>
      </c>
      <c r="C663" s="1" t="s">
        <v>89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240</v>
      </c>
      <c r="B664" s="1" t="s">
        <v>84</v>
      </c>
      <c r="C664" s="1" t="s">
        <v>89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240</v>
      </c>
      <c r="B665" s="1" t="s">
        <v>85</v>
      </c>
      <c r="C665" s="1" t="s">
        <v>89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243</v>
      </c>
      <c r="B666" s="1" t="s">
        <v>86</v>
      </c>
      <c r="C666" s="1" t="s">
        <v>89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88</v>
      </c>
      <c r="C667" s="1" t="s">
        <v>89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90</v>
      </c>
      <c r="C668" s="1" t="s">
        <v>89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89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89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89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89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89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88</v>
      </c>
      <c r="C674" s="1" t="s">
        <v>89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90</v>
      </c>
      <c r="C675" s="1" t="s">
        <v>89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89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89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89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89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89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88</v>
      </c>
      <c r="C681" s="1" t="s">
        <v>89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90</v>
      </c>
      <c r="C682" s="1" t="s">
        <v>89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89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89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89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89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89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336</v>
      </c>
      <c r="B688" s="1" t="s">
        <v>88</v>
      </c>
      <c r="C688" s="1" t="s">
        <v>89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336</v>
      </c>
      <c r="B689" s="1" t="s">
        <v>90</v>
      </c>
      <c r="C689" s="1" t="s">
        <v>89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336</v>
      </c>
      <c r="B690" s="1" t="s">
        <v>82</v>
      </c>
      <c r="C690" s="1" t="s">
        <v>89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336</v>
      </c>
      <c r="B691" s="1" t="s">
        <v>83</v>
      </c>
      <c r="C691" s="1" t="s">
        <v>89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336</v>
      </c>
      <c r="B692" s="1" t="s">
        <v>84</v>
      </c>
      <c r="C692" s="1" t="s">
        <v>89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336</v>
      </c>
      <c r="B693" s="1" t="s">
        <v>85</v>
      </c>
      <c r="C693" s="1" t="s">
        <v>89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336</v>
      </c>
      <c r="B694" s="1" t="s">
        <v>86</v>
      </c>
      <c r="C694" s="1" t="s">
        <v>89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88</v>
      </c>
      <c r="C695" s="1" t="s">
        <v>89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90</v>
      </c>
      <c r="C696" s="1" t="s">
        <v>89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89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89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89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89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89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88</v>
      </c>
      <c r="C702" s="1" t="s">
        <v>89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90</v>
      </c>
      <c r="C703" s="1" t="s">
        <v>89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89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89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89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89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89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88</v>
      </c>
      <c r="C709" s="1" t="s">
        <v>89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90</v>
      </c>
      <c r="C710" s="1" t="s">
        <v>89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89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89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89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89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89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88</v>
      </c>
      <c r="C716" s="1" t="s">
        <v>89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90</v>
      </c>
      <c r="C717" s="1" t="s">
        <v>89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89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89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89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89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89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88</v>
      </c>
      <c r="C723" s="1" t="s">
        <v>89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90</v>
      </c>
      <c r="C724" s="1" t="s">
        <v>89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89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89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89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89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89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88</v>
      </c>
      <c r="C730" s="1" t="s">
        <v>89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90</v>
      </c>
      <c r="C731" s="1" t="s">
        <v>89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89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89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89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89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89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88</v>
      </c>
      <c r="C737" s="1" t="s">
        <v>89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90</v>
      </c>
      <c r="C738" s="1" t="s">
        <v>89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89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89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89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89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89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115"/>
  <sheetViews>
    <sheetView topLeftCell="A36" workbookViewId="0">
      <selection activeCell="H59" sqref="B59:H115"/>
    </sheetView>
  </sheetViews>
  <sheetFormatPr defaultRowHeight="14.5" x14ac:dyDescent="0.35"/>
  <cols>
    <col min="2" max="2" width="15.81640625" bestFit="1" customWidth="1"/>
    <col min="7" max="7" width="11.81640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247</v>
      </c>
      <c r="G1" t="s">
        <v>249</v>
      </c>
      <c r="H1" t="s">
        <v>250</v>
      </c>
      <c r="I1" s="4" t="s">
        <v>244</v>
      </c>
      <c r="M1" s="4"/>
    </row>
    <row r="2" spans="1:18" x14ac:dyDescent="0.35">
      <c r="B2" s="28" t="s">
        <v>245</v>
      </c>
      <c r="C2" s="28"/>
      <c r="D2" s="28"/>
      <c r="E2" s="28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248</v>
      </c>
      <c r="E3" t="s">
        <v>246</v>
      </c>
      <c r="F3" t="s">
        <v>241</v>
      </c>
      <c r="G3" s="4" t="s">
        <v>251</v>
      </c>
      <c r="H3" s="4" t="s">
        <v>252</v>
      </c>
      <c r="I3" s="4" t="s">
        <v>253</v>
      </c>
      <c r="J3" s="4" t="s">
        <v>254</v>
      </c>
      <c r="K3" s="4" t="s">
        <v>255</v>
      </c>
      <c r="L3" s="4" t="s">
        <v>256</v>
      </c>
      <c r="M3" s="4" t="s">
        <v>253</v>
      </c>
      <c r="N3" s="4" t="s">
        <v>254</v>
      </c>
      <c r="O3" s="4" t="s">
        <v>255</v>
      </c>
      <c r="P3" s="4" t="s">
        <v>256</v>
      </c>
      <c r="Q3" s="4" t="s">
        <v>257</v>
      </c>
      <c r="R3" s="4" t="s">
        <v>258</v>
      </c>
    </row>
    <row r="4" spans="1:18" x14ac:dyDescent="0.35">
      <c r="A4" t="s">
        <v>0</v>
      </c>
      <c r="B4" t="s">
        <v>264</v>
      </c>
      <c r="C4" t="s">
        <v>265</v>
      </c>
      <c r="D4" t="s">
        <v>266</v>
      </c>
      <c r="E4" t="s">
        <v>267</v>
      </c>
      <c r="F4" t="s">
        <v>259</v>
      </c>
      <c r="G4" t="s">
        <v>260</v>
      </c>
      <c r="H4" t="s">
        <v>261</v>
      </c>
      <c r="I4" t="s">
        <v>262</v>
      </c>
      <c r="J4" t="s">
        <v>263</v>
      </c>
      <c r="K4" t="s">
        <v>262</v>
      </c>
      <c r="L4" t="s">
        <v>268</v>
      </c>
      <c r="M4" t="s">
        <v>269</v>
      </c>
      <c r="N4" t="s">
        <v>270</v>
      </c>
      <c r="O4" t="s">
        <v>271</v>
      </c>
      <c r="P4" t="s">
        <v>272</v>
      </c>
      <c r="Q4" t="s">
        <v>273</v>
      </c>
      <c r="R4" t="s">
        <v>274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242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243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336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  <row r="59" spans="1:18" x14ac:dyDescent="0.35">
      <c r="B59" s="5"/>
      <c r="C59" s="5"/>
      <c r="D59" s="5"/>
      <c r="E59" s="5"/>
      <c r="F59" s="5"/>
      <c r="G59" s="5"/>
      <c r="H59" s="5"/>
    </row>
    <row r="60" spans="1:18" x14ac:dyDescent="0.35">
      <c r="B60" s="5"/>
      <c r="C60" s="5"/>
      <c r="D60" s="5"/>
      <c r="E60" s="5"/>
      <c r="F60" s="5"/>
      <c r="G60" s="5"/>
      <c r="H60" s="5"/>
    </row>
    <row r="61" spans="1:18" x14ac:dyDescent="0.35">
      <c r="B61" s="5"/>
      <c r="C61" s="5"/>
      <c r="D61" s="5"/>
      <c r="E61" s="5"/>
      <c r="F61" s="5"/>
      <c r="G61" s="5"/>
      <c r="H61" s="5"/>
    </row>
    <row r="62" spans="1:18" x14ac:dyDescent="0.35">
      <c r="B62" s="5"/>
      <c r="C62" s="5"/>
      <c r="D62" s="5"/>
      <c r="E62" s="5"/>
      <c r="F62" s="5"/>
      <c r="G62" s="5"/>
      <c r="H62" s="5"/>
    </row>
    <row r="63" spans="1:18" x14ac:dyDescent="0.35">
      <c r="B63" s="5"/>
      <c r="C63" s="5"/>
      <c r="D63" s="5"/>
      <c r="E63" s="5"/>
      <c r="F63" s="5"/>
      <c r="G63" s="5"/>
      <c r="H63" s="5"/>
    </row>
    <row r="64" spans="1:18" x14ac:dyDescent="0.35">
      <c r="B64" s="5"/>
      <c r="C64" s="5"/>
      <c r="D64" s="5"/>
      <c r="E64" s="5"/>
      <c r="F64" s="5"/>
      <c r="G64" s="5"/>
      <c r="H64" s="5"/>
    </row>
    <row r="65" spans="2:8" x14ac:dyDescent="0.35">
      <c r="B65" s="5"/>
      <c r="C65" s="5"/>
      <c r="D65" s="5"/>
      <c r="E65" s="5"/>
      <c r="F65" s="5"/>
      <c r="G65" s="5"/>
      <c r="H65" s="5"/>
    </row>
    <row r="66" spans="2:8" x14ac:dyDescent="0.35">
      <c r="B66" s="5"/>
      <c r="C66" s="5"/>
      <c r="D66" s="5"/>
      <c r="E66" s="5"/>
      <c r="F66" s="5"/>
      <c r="G66" s="5"/>
      <c r="H66" s="5"/>
    </row>
    <row r="67" spans="2:8" x14ac:dyDescent="0.35">
      <c r="B67" s="5"/>
      <c r="C67" s="5"/>
      <c r="D67" s="5"/>
      <c r="E67" s="5"/>
      <c r="F67" s="5"/>
      <c r="G67" s="5"/>
      <c r="H67" s="5"/>
    </row>
    <row r="68" spans="2:8" x14ac:dyDescent="0.35">
      <c r="B68" s="5"/>
      <c r="C68" s="5"/>
      <c r="D68" s="5"/>
      <c r="E68" s="5"/>
      <c r="F68" s="5"/>
      <c r="G68" s="5"/>
      <c r="H68" s="5"/>
    </row>
    <row r="69" spans="2:8" x14ac:dyDescent="0.35">
      <c r="B69" s="5"/>
      <c r="C69" s="5"/>
      <c r="D69" s="5"/>
      <c r="E69" s="5"/>
      <c r="F69" s="5"/>
      <c r="G69" s="5"/>
      <c r="H69" s="5"/>
    </row>
    <row r="70" spans="2:8" x14ac:dyDescent="0.35">
      <c r="B70" s="5"/>
      <c r="C70" s="5"/>
      <c r="D70" s="5"/>
      <c r="E70" s="5"/>
      <c r="F70" s="5"/>
      <c r="G70" s="5"/>
      <c r="H70" s="5"/>
    </row>
    <row r="71" spans="2:8" x14ac:dyDescent="0.35">
      <c r="B71" s="5"/>
      <c r="C71" s="5"/>
      <c r="D71" s="5"/>
      <c r="E71" s="5"/>
      <c r="F71" s="5"/>
      <c r="G71" s="5"/>
      <c r="H71" s="5"/>
    </row>
    <row r="72" spans="2:8" x14ac:dyDescent="0.35">
      <c r="B72" s="5"/>
      <c r="C72" s="5"/>
      <c r="D72" s="5"/>
      <c r="E72" s="5"/>
      <c r="F72" s="5"/>
      <c r="G72" s="5"/>
      <c r="H72" s="5"/>
    </row>
    <row r="73" spans="2:8" x14ac:dyDescent="0.35">
      <c r="B73" s="5"/>
      <c r="C73" s="5"/>
      <c r="D73" s="5"/>
      <c r="E73" s="5"/>
      <c r="F73" s="5"/>
      <c r="G73" s="5"/>
      <c r="H73" s="5"/>
    </row>
    <row r="74" spans="2:8" x14ac:dyDescent="0.35">
      <c r="B74" s="5"/>
      <c r="C74" s="5"/>
      <c r="D74" s="5"/>
      <c r="E74" s="5"/>
      <c r="F74" s="5"/>
      <c r="G74" s="5"/>
      <c r="H74" s="5"/>
    </row>
    <row r="75" spans="2:8" x14ac:dyDescent="0.35">
      <c r="B75" s="5"/>
      <c r="C75" s="5"/>
      <c r="D75" s="5"/>
      <c r="E75" s="5"/>
      <c r="F75" s="5"/>
      <c r="G75" s="5"/>
      <c r="H75" s="5"/>
    </row>
    <row r="76" spans="2:8" x14ac:dyDescent="0.35">
      <c r="B76" s="5"/>
      <c r="C76" s="5"/>
      <c r="D76" s="5"/>
      <c r="E76" s="5"/>
      <c r="F76" s="5"/>
      <c r="G76" s="5"/>
      <c r="H76" s="5"/>
    </row>
    <row r="77" spans="2:8" x14ac:dyDescent="0.35">
      <c r="B77" s="5"/>
      <c r="C77" s="5"/>
      <c r="D77" s="5"/>
      <c r="E77" s="5"/>
      <c r="F77" s="5"/>
      <c r="G77" s="5"/>
      <c r="H77" s="5"/>
    </row>
    <row r="78" spans="2:8" x14ac:dyDescent="0.35">
      <c r="B78" s="5"/>
      <c r="C78" s="5"/>
      <c r="D78" s="5"/>
      <c r="E78" s="5"/>
      <c r="F78" s="5"/>
      <c r="G78" s="5"/>
      <c r="H78" s="5"/>
    </row>
    <row r="79" spans="2:8" x14ac:dyDescent="0.35">
      <c r="B79" s="5"/>
      <c r="C79" s="5"/>
      <c r="D79" s="5"/>
      <c r="E79" s="5"/>
      <c r="F79" s="5"/>
      <c r="G79" s="5"/>
      <c r="H79" s="5"/>
    </row>
    <row r="80" spans="2:8" x14ac:dyDescent="0.35">
      <c r="B80" s="5"/>
      <c r="C80" s="5"/>
      <c r="D80" s="5"/>
      <c r="E80" s="5"/>
      <c r="F80" s="5"/>
      <c r="G80" s="5"/>
      <c r="H80" s="5"/>
    </row>
    <row r="81" spans="2:8" x14ac:dyDescent="0.35">
      <c r="B81" s="5"/>
      <c r="C81" s="5"/>
      <c r="D81" s="5"/>
      <c r="E81" s="5"/>
      <c r="F81" s="5"/>
      <c r="G81" s="5"/>
      <c r="H81" s="5"/>
    </row>
    <row r="82" spans="2:8" x14ac:dyDescent="0.35">
      <c r="B82" s="5"/>
      <c r="C82" s="5"/>
      <c r="D82" s="5"/>
      <c r="E82" s="5"/>
      <c r="F82" s="5"/>
      <c r="G82" s="5"/>
      <c r="H82" s="5"/>
    </row>
    <row r="83" spans="2:8" x14ac:dyDescent="0.35">
      <c r="B83" s="5"/>
      <c r="C83" s="5"/>
      <c r="D83" s="5"/>
      <c r="E83" s="5"/>
      <c r="F83" s="5"/>
      <c r="G83" s="5"/>
      <c r="H83" s="5"/>
    </row>
    <row r="84" spans="2:8" x14ac:dyDescent="0.35">
      <c r="B84" s="5"/>
      <c r="C84" s="5"/>
      <c r="D84" s="5"/>
      <c r="E84" s="5"/>
      <c r="F84" s="5"/>
      <c r="G84" s="5"/>
      <c r="H84" s="5"/>
    </row>
    <row r="85" spans="2:8" x14ac:dyDescent="0.35">
      <c r="B85" s="5"/>
      <c r="C85" s="5"/>
      <c r="D85" s="5"/>
      <c r="E85" s="5"/>
      <c r="F85" s="5"/>
      <c r="G85" s="5"/>
      <c r="H85" s="5"/>
    </row>
    <row r="86" spans="2:8" x14ac:dyDescent="0.35">
      <c r="B86" s="5"/>
      <c r="C86" s="5"/>
      <c r="D86" s="5"/>
      <c r="E86" s="5"/>
      <c r="F86" s="5"/>
      <c r="G86" s="5"/>
      <c r="H86" s="5"/>
    </row>
    <row r="87" spans="2:8" x14ac:dyDescent="0.35">
      <c r="B87" s="5"/>
      <c r="C87" s="5"/>
      <c r="D87" s="5"/>
      <c r="E87" s="5"/>
      <c r="F87" s="5"/>
      <c r="G87" s="5"/>
      <c r="H87" s="5"/>
    </row>
    <row r="88" spans="2:8" x14ac:dyDescent="0.35">
      <c r="B88" s="5"/>
      <c r="C88" s="5"/>
      <c r="D88" s="5"/>
      <c r="E88" s="5"/>
      <c r="F88" s="5"/>
      <c r="G88" s="5"/>
      <c r="H88" s="5"/>
    </row>
    <row r="89" spans="2:8" x14ac:dyDescent="0.35">
      <c r="B89" s="5"/>
      <c r="C89" s="5"/>
      <c r="D89" s="5"/>
      <c r="E89" s="5"/>
      <c r="F89" s="5"/>
      <c r="G89" s="5"/>
      <c r="H89" s="5"/>
    </row>
    <row r="90" spans="2:8" x14ac:dyDescent="0.35">
      <c r="B90" s="5"/>
      <c r="C90" s="5"/>
      <c r="D90" s="5"/>
      <c r="E90" s="5"/>
      <c r="F90" s="5"/>
      <c r="G90" s="5"/>
      <c r="H90" s="5"/>
    </row>
    <row r="91" spans="2:8" x14ac:dyDescent="0.35">
      <c r="B91" s="5"/>
      <c r="C91" s="5"/>
      <c r="D91" s="5"/>
      <c r="E91" s="5"/>
      <c r="F91" s="5"/>
      <c r="G91" s="5"/>
      <c r="H91" s="5"/>
    </row>
    <row r="92" spans="2:8" x14ac:dyDescent="0.35">
      <c r="B92" s="5"/>
      <c r="C92" s="5"/>
      <c r="D92" s="5"/>
      <c r="E92" s="5"/>
      <c r="F92" s="5"/>
      <c r="G92" s="5"/>
      <c r="H92" s="5"/>
    </row>
    <row r="93" spans="2:8" x14ac:dyDescent="0.35">
      <c r="B93" s="5"/>
      <c r="C93" s="5"/>
      <c r="D93" s="5"/>
      <c r="E93" s="5"/>
      <c r="F93" s="5"/>
      <c r="G93" s="5"/>
      <c r="H93" s="5"/>
    </row>
    <row r="94" spans="2:8" x14ac:dyDescent="0.35">
      <c r="B94" s="5"/>
      <c r="C94" s="5"/>
      <c r="D94" s="5"/>
      <c r="E94" s="5"/>
      <c r="F94" s="5"/>
      <c r="G94" s="5"/>
      <c r="H94" s="5"/>
    </row>
    <row r="95" spans="2:8" x14ac:dyDescent="0.35">
      <c r="B95" s="5"/>
      <c r="C95" s="5"/>
      <c r="D95" s="5"/>
      <c r="E95" s="5"/>
      <c r="F95" s="5"/>
      <c r="G95" s="5"/>
      <c r="H95" s="5"/>
    </row>
    <row r="96" spans="2:8" x14ac:dyDescent="0.35">
      <c r="B96" s="5"/>
      <c r="C96" s="5"/>
      <c r="D96" s="5"/>
      <c r="E96" s="5"/>
      <c r="F96" s="5"/>
      <c r="G96" s="5"/>
      <c r="H96" s="5"/>
    </row>
    <row r="97" spans="2:8" x14ac:dyDescent="0.35">
      <c r="B97" s="5"/>
      <c r="C97" s="5"/>
      <c r="D97" s="5"/>
      <c r="E97" s="5"/>
      <c r="F97" s="5"/>
      <c r="G97" s="5"/>
      <c r="H97" s="5"/>
    </row>
    <row r="98" spans="2:8" x14ac:dyDescent="0.35">
      <c r="B98" s="5"/>
      <c r="C98" s="5"/>
      <c r="D98" s="5"/>
      <c r="E98" s="5"/>
      <c r="F98" s="5"/>
      <c r="G98" s="5"/>
      <c r="H98" s="5"/>
    </row>
    <row r="99" spans="2:8" x14ac:dyDescent="0.35">
      <c r="B99" s="5"/>
      <c r="C99" s="5"/>
      <c r="D99" s="5"/>
      <c r="E99" s="5"/>
      <c r="F99" s="5"/>
      <c r="G99" s="5"/>
      <c r="H99" s="5"/>
    </row>
    <row r="100" spans="2:8" x14ac:dyDescent="0.35">
      <c r="B100" s="5"/>
      <c r="C100" s="5"/>
      <c r="D100" s="5"/>
      <c r="E100" s="5"/>
      <c r="F100" s="5"/>
      <c r="G100" s="5"/>
      <c r="H100" s="5"/>
    </row>
    <row r="101" spans="2:8" x14ac:dyDescent="0.35">
      <c r="B101" s="5"/>
      <c r="C101" s="5"/>
      <c r="D101" s="5"/>
      <c r="E101" s="5"/>
      <c r="F101" s="5"/>
      <c r="G101" s="5"/>
      <c r="H101" s="5"/>
    </row>
    <row r="102" spans="2:8" x14ac:dyDescent="0.35">
      <c r="B102" s="5"/>
      <c r="C102" s="5"/>
      <c r="D102" s="5"/>
      <c r="E102" s="5"/>
      <c r="F102" s="5"/>
      <c r="G102" s="5"/>
      <c r="H102" s="5"/>
    </row>
    <row r="103" spans="2:8" x14ac:dyDescent="0.35">
      <c r="B103" s="5"/>
      <c r="C103" s="5"/>
      <c r="D103" s="5"/>
      <c r="E103" s="5"/>
      <c r="F103" s="5"/>
      <c r="G103" s="5"/>
      <c r="H103" s="5"/>
    </row>
    <row r="104" spans="2:8" x14ac:dyDescent="0.35">
      <c r="B104" s="5"/>
      <c r="C104" s="5"/>
      <c r="D104" s="5"/>
      <c r="E104" s="5"/>
      <c r="F104" s="5"/>
      <c r="G104" s="5"/>
      <c r="H104" s="5"/>
    </row>
    <row r="105" spans="2:8" x14ac:dyDescent="0.35">
      <c r="B105" s="5"/>
      <c r="C105" s="5"/>
      <c r="D105" s="5"/>
      <c r="E105" s="5"/>
      <c r="F105" s="5"/>
      <c r="G105" s="5"/>
      <c r="H105" s="5"/>
    </row>
    <row r="106" spans="2:8" x14ac:dyDescent="0.35">
      <c r="B106" s="5"/>
      <c r="C106" s="5"/>
      <c r="D106" s="5"/>
      <c r="E106" s="5"/>
      <c r="F106" s="5"/>
      <c r="G106" s="5"/>
      <c r="H106" s="5"/>
    </row>
    <row r="107" spans="2:8" x14ac:dyDescent="0.35">
      <c r="B107" s="5"/>
      <c r="C107" s="5"/>
      <c r="D107" s="5"/>
      <c r="E107" s="5"/>
      <c r="F107" s="5"/>
      <c r="G107" s="5"/>
      <c r="H107" s="5"/>
    </row>
    <row r="108" spans="2:8" x14ac:dyDescent="0.35">
      <c r="B108" s="5"/>
      <c r="C108" s="5"/>
      <c r="D108" s="5"/>
      <c r="E108" s="5"/>
      <c r="F108" s="5"/>
      <c r="G108" s="5"/>
      <c r="H108" s="5"/>
    </row>
    <row r="109" spans="2:8" x14ac:dyDescent="0.35">
      <c r="B109" s="5"/>
      <c r="C109" s="5"/>
      <c r="D109" s="5"/>
      <c r="E109" s="5"/>
      <c r="F109" s="5"/>
      <c r="G109" s="5"/>
      <c r="H109" s="5"/>
    </row>
    <row r="110" spans="2:8" x14ac:dyDescent="0.35">
      <c r="B110" s="5"/>
      <c r="C110" s="5"/>
      <c r="D110" s="5"/>
      <c r="E110" s="5"/>
      <c r="F110" s="5"/>
      <c r="G110" s="5"/>
      <c r="H110" s="5"/>
    </row>
    <row r="111" spans="2:8" x14ac:dyDescent="0.35">
      <c r="B111" s="5"/>
      <c r="C111" s="5"/>
      <c r="D111" s="5"/>
      <c r="E111" s="5"/>
      <c r="F111" s="5"/>
      <c r="G111" s="5"/>
      <c r="H111" s="5"/>
    </row>
    <row r="112" spans="2:8" x14ac:dyDescent="0.35">
      <c r="B112" s="5"/>
      <c r="C112" s="5"/>
      <c r="D112" s="5"/>
      <c r="E112" s="5"/>
      <c r="F112" s="5"/>
      <c r="G112" s="5"/>
      <c r="H112" s="5"/>
    </row>
    <row r="113" spans="2:8" x14ac:dyDescent="0.35">
      <c r="B113" s="5"/>
      <c r="C113" s="5"/>
      <c r="D113" s="5"/>
      <c r="E113" s="5"/>
      <c r="F113" s="5"/>
      <c r="G113" s="5"/>
      <c r="H113" s="5"/>
    </row>
    <row r="114" spans="2:8" x14ac:dyDescent="0.35">
      <c r="B114" s="5"/>
      <c r="C114" s="5"/>
      <c r="D114" s="5"/>
      <c r="E114" s="5"/>
      <c r="F114" s="5"/>
      <c r="G114" s="5"/>
      <c r="H114" s="5"/>
    </row>
    <row r="115" spans="2:8" x14ac:dyDescent="0.35">
      <c r="B115" s="5"/>
      <c r="C115" s="5"/>
      <c r="D115" s="5"/>
      <c r="E115" s="5"/>
      <c r="F115" s="5"/>
      <c r="G115" s="5"/>
      <c r="H115" s="5"/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E53"/>
  <sheetViews>
    <sheetView workbookViewId="0">
      <selection activeCell="D53" sqref="D53"/>
    </sheetView>
  </sheetViews>
  <sheetFormatPr defaultRowHeight="14.5" x14ac:dyDescent="0.35"/>
  <cols>
    <col min="2" max="2" width="18.453125" customWidth="1"/>
    <col min="3" max="3" width="17.7265625" bestFit="1" customWidth="1"/>
    <col min="4" max="4" width="15.54296875" bestFit="1" customWidth="1"/>
  </cols>
  <sheetData>
    <row r="1" spans="1:5" x14ac:dyDescent="0.35">
      <c r="A1" t="s">
        <v>0</v>
      </c>
      <c r="B1" t="s">
        <v>1</v>
      </c>
      <c r="C1" t="s">
        <v>291</v>
      </c>
      <c r="D1" t="s">
        <v>292</v>
      </c>
      <c r="E1" t="s">
        <v>339</v>
      </c>
    </row>
    <row r="2" spans="1:5" x14ac:dyDescent="0.35">
      <c r="A2" t="s">
        <v>4</v>
      </c>
      <c r="B2">
        <v>2021</v>
      </c>
      <c r="C2" s="14">
        <v>925</v>
      </c>
      <c r="D2">
        <v>419.57259999999997</v>
      </c>
    </row>
    <row r="3" spans="1:5" x14ac:dyDescent="0.35">
      <c r="A3" t="s">
        <v>3</v>
      </c>
      <c r="B3">
        <v>2021</v>
      </c>
      <c r="C3" s="14">
        <v>754.5</v>
      </c>
      <c r="D3">
        <v>342.235164</v>
      </c>
    </row>
    <row r="4" spans="1:5" x14ac:dyDescent="0.35">
      <c r="A4" t="s">
        <v>6</v>
      </c>
      <c r="B4">
        <v>2021</v>
      </c>
      <c r="C4" s="14">
        <v>1093.0999999999999</v>
      </c>
      <c r="D4">
        <v>495.82141519999993</v>
      </c>
    </row>
    <row r="5" spans="1:5" x14ac:dyDescent="0.35">
      <c r="A5" t="s">
        <v>5</v>
      </c>
      <c r="B5">
        <v>2021</v>
      </c>
      <c r="C5" s="14">
        <v>727.6</v>
      </c>
      <c r="D5">
        <v>330.03353920000001</v>
      </c>
    </row>
    <row r="6" spans="1:5" x14ac:dyDescent="0.35">
      <c r="A6" t="s">
        <v>7</v>
      </c>
      <c r="B6">
        <v>2021</v>
      </c>
      <c r="C6" s="14">
        <v>480.5</v>
      </c>
      <c r="D6">
        <v>217.95095600000002</v>
      </c>
    </row>
    <row r="7" spans="1:5" x14ac:dyDescent="0.35">
      <c r="A7" t="s">
        <v>8</v>
      </c>
      <c r="B7">
        <v>2021</v>
      </c>
      <c r="C7" s="14">
        <v>1224.5999999999999</v>
      </c>
      <c r="D7">
        <v>555.4687631999999</v>
      </c>
    </row>
    <row r="8" spans="1:5" x14ac:dyDescent="0.35">
      <c r="A8" t="s">
        <v>9</v>
      </c>
      <c r="B8">
        <v>2021</v>
      </c>
      <c r="C8" s="14">
        <v>518.1</v>
      </c>
      <c r="D8">
        <v>235.00601520000001</v>
      </c>
    </row>
    <row r="9" spans="1:5" x14ac:dyDescent="0.35">
      <c r="A9" t="s">
        <v>11</v>
      </c>
      <c r="B9">
        <v>2021</v>
      </c>
      <c r="C9" s="14">
        <v>652.6</v>
      </c>
      <c r="D9">
        <v>296.01413919999999</v>
      </c>
    </row>
    <row r="10" spans="1:5" x14ac:dyDescent="0.35">
      <c r="A10" t="s">
        <v>10</v>
      </c>
      <c r="B10">
        <v>2021</v>
      </c>
      <c r="C10" s="14">
        <v>870.1</v>
      </c>
      <c r="D10">
        <v>394.67039919999996</v>
      </c>
    </row>
    <row r="11" spans="1:5" x14ac:dyDescent="0.35">
      <c r="A11" t="s">
        <v>12</v>
      </c>
      <c r="B11">
        <v>2021</v>
      </c>
      <c r="C11" s="14">
        <v>837.5</v>
      </c>
      <c r="D11">
        <v>379.88329999999996</v>
      </c>
    </row>
    <row r="12" spans="1:5" x14ac:dyDescent="0.35">
      <c r="A12" t="s">
        <v>13</v>
      </c>
      <c r="B12">
        <v>2021</v>
      </c>
      <c r="C12" s="14">
        <v>762.4</v>
      </c>
      <c r="D12">
        <v>345.81854079999994</v>
      </c>
    </row>
    <row r="13" spans="1:5" x14ac:dyDescent="0.35">
      <c r="A13" t="s">
        <v>14</v>
      </c>
      <c r="B13">
        <v>2021</v>
      </c>
      <c r="C13" s="14">
        <v>1502.6</v>
      </c>
      <c r="D13">
        <v>681.56733919999988</v>
      </c>
    </row>
    <row r="14" spans="1:5" x14ac:dyDescent="0.35">
      <c r="A14" t="s">
        <v>18</v>
      </c>
      <c r="B14">
        <v>2021</v>
      </c>
      <c r="C14" s="14">
        <v>774.4</v>
      </c>
      <c r="D14">
        <v>351.26164479999994</v>
      </c>
    </row>
    <row r="15" spans="1:5" x14ac:dyDescent="0.35">
      <c r="A15" t="s">
        <v>15</v>
      </c>
      <c r="B15">
        <v>2021</v>
      </c>
      <c r="C15" s="14">
        <v>272</v>
      </c>
      <c r="D15">
        <v>123.37702399999999</v>
      </c>
    </row>
    <row r="16" spans="1:5" x14ac:dyDescent="0.35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5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5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5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5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5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5">
      <c r="A22" t="s">
        <v>23</v>
      </c>
      <c r="B22">
        <v>2021</v>
      </c>
      <c r="C22" s="14">
        <v>702</v>
      </c>
      <c r="D22">
        <v>318.421584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5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5">
      <c r="A25" t="s">
        <v>26</v>
      </c>
      <c r="B25">
        <v>2021</v>
      </c>
      <c r="C25" s="14">
        <v>831.6</v>
      </c>
      <c r="D25">
        <v>377.2071072</v>
      </c>
    </row>
    <row r="26" spans="1:4" x14ac:dyDescent="0.35">
      <c r="A26" t="s">
        <v>28</v>
      </c>
      <c r="B26">
        <v>2021</v>
      </c>
      <c r="C26" s="14">
        <v>1649</v>
      </c>
      <c r="D26">
        <v>747.973208</v>
      </c>
    </row>
    <row r="27" spans="1:4" x14ac:dyDescent="0.35">
      <c r="A27" t="s">
        <v>27</v>
      </c>
      <c r="B27">
        <v>2021</v>
      </c>
      <c r="C27" s="14">
        <v>836.4</v>
      </c>
      <c r="D27">
        <v>379.3843488</v>
      </c>
    </row>
    <row r="28" spans="1:4" x14ac:dyDescent="0.35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5">
      <c r="A29" t="s">
        <v>242</v>
      </c>
      <c r="B29">
        <v>2021</v>
      </c>
      <c r="C29" s="14">
        <v>672.7</v>
      </c>
      <c r="D29">
        <v>305.1313384</v>
      </c>
    </row>
    <row r="30" spans="1:4" x14ac:dyDescent="0.35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5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5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5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5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5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5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5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5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5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5">
      <c r="A42" t="s">
        <v>243</v>
      </c>
      <c r="B42">
        <v>2021</v>
      </c>
      <c r="C42" s="14">
        <v>570.4</v>
      </c>
      <c r="D42">
        <v>258.72887679999997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5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5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5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5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5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5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5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5">
      <c r="A52" t="s">
        <v>51</v>
      </c>
      <c r="B52">
        <v>2021</v>
      </c>
      <c r="C52" s="14">
        <v>1847.4</v>
      </c>
      <c r="D52">
        <v>837.96586079999997</v>
      </c>
    </row>
    <row r="53" spans="1:4" x14ac:dyDescent="0.35">
      <c r="A53" t="s">
        <v>336</v>
      </c>
      <c r="B53" s="14">
        <v>2021</v>
      </c>
      <c r="C53" s="27">
        <v>852.3</v>
      </c>
      <c r="D53" s="14">
        <v>386.5964616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H200"/>
  <sheetViews>
    <sheetView topLeftCell="A7" workbookViewId="0">
      <selection activeCell="H2" sqref="H2"/>
    </sheetView>
  </sheetViews>
  <sheetFormatPr defaultRowHeight="14.5" x14ac:dyDescent="0.35"/>
  <cols>
    <col min="1" max="2" width="12.08984375" customWidth="1"/>
    <col min="3" max="3" width="16.453125" bestFit="1" customWidth="1"/>
    <col min="4" max="4" width="25.36328125" customWidth="1"/>
    <col min="5" max="5" width="27.6328125" customWidth="1"/>
    <col min="6" max="6" width="20.08984375" customWidth="1"/>
    <col min="7" max="7" width="15" customWidth="1"/>
    <col min="8" max="8" width="15.81640625" bestFit="1" customWidth="1"/>
  </cols>
  <sheetData>
    <row r="1" spans="1:8" x14ac:dyDescent="0.35">
      <c r="A1" s="4" t="s">
        <v>94</v>
      </c>
      <c r="B1" s="4" t="s">
        <v>0</v>
      </c>
      <c r="C1" s="4" t="s">
        <v>164</v>
      </c>
      <c r="D1" s="11" t="s">
        <v>178</v>
      </c>
      <c r="E1" s="11" t="s">
        <v>179</v>
      </c>
      <c r="F1" s="11" t="s">
        <v>181</v>
      </c>
      <c r="G1" s="4" t="s">
        <v>180</v>
      </c>
      <c r="H1" s="11" t="s">
        <v>333</v>
      </c>
    </row>
    <row r="2" spans="1:8" x14ac:dyDescent="0.35">
      <c r="A2" t="s">
        <v>95</v>
      </c>
      <c r="B2" t="s">
        <v>4</v>
      </c>
      <c r="C2" t="s">
        <v>165</v>
      </c>
      <c r="D2" s="12">
        <v>14963837</v>
      </c>
      <c r="E2" s="12">
        <v>5312838</v>
      </c>
      <c r="F2">
        <v>1235379</v>
      </c>
      <c r="G2" s="12" cm="1">
        <f t="array" ref="G2">SUM(D2:E2-F2)</f>
        <v>17805917</v>
      </c>
      <c r="H2" s="19">
        <v>4544203</v>
      </c>
    </row>
    <row r="3" spans="1:8" x14ac:dyDescent="0.35">
      <c r="A3" t="s">
        <v>96</v>
      </c>
      <c r="B3" t="s">
        <v>3</v>
      </c>
      <c r="C3" t="s">
        <v>165</v>
      </c>
      <c r="D3" s="12">
        <v>22056821</v>
      </c>
      <c r="E3" s="12">
        <v>8527983</v>
      </c>
      <c r="F3">
        <v>2120500</v>
      </c>
      <c r="G3" s="12" cm="1">
        <f t="array" ref="G3">SUM(D3:E3-F3)</f>
        <v>26343804</v>
      </c>
      <c r="H3" s="19">
        <v>6650385</v>
      </c>
    </row>
    <row r="4" spans="1:8" x14ac:dyDescent="0.35">
      <c r="A4" t="s">
        <v>97</v>
      </c>
      <c r="B4" t="s">
        <v>6</v>
      </c>
      <c r="C4" t="s">
        <v>165</v>
      </c>
      <c r="D4" s="12">
        <v>8833429</v>
      </c>
      <c r="E4" s="12">
        <v>3181718</v>
      </c>
      <c r="F4">
        <v>1247691</v>
      </c>
      <c r="G4" s="12" cm="1">
        <f t="array" ref="G4">SUM(D4:E4-F4)</f>
        <v>9519765</v>
      </c>
      <c r="H4" s="19">
        <v>4668133</v>
      </c>
    </row>
    <row r="5" spans="1:8" x14ac:dyDescent="0.35">
      <c r="A5" t="s">
        <v>100</v>
      </c>
      <c r="B5" t="s">
        <v>5</v>
      </c>
      <c r="C5" t="s">
        <v>165</v>
      </c>
      <c r="D5" s="12">
        <v>240437914</v>
      </c>
      <c r="E5" s="12">
        <v>54995643</v>
      </c>
      <c r="F5">
        <v>17941180</v>
      </c>
      <c r="G5" s="12" cm="1">
        <f t="array" ref="G5">SUM(D5:E5-F5)</f>
        <v>259551197</v>
      </c>
      <c r="H5" s="19">
        <v>49557933</v>
      </c>
    </row>
    <row r="6" spans="1:8" x14ac:dyDescent="0.35">
      <c r="A6" t="s">
        <v>101</v>
      </c>
      <c r="B6" t="s">
        <v>7</v>
      </c>
      <c r="C6" t="s">
        <v>165</v>
      </c>
      <c r="D6" s="12">
        <v>2335604780</v>
      </c>
      <c r="E6" s="12">
        <v>773468590</v>
      </c>
      <c r="F6">
        <v>153313887</v>
      </c>
      <c r="G6" s="12" cm="1">
        <f t="array" ref="G6">SUM(D6:E6-F6)</f>
        <v>2802445596</v>
      </c>
      <c r="H6" s="19">
        <v>330675119</v>
      </c>
    </row>
    <row r="7" spans="1:8" x14ac:dyDescent="0.35">
      <c r="A7" t="s">
        <v>102</v>
      </c>
      <c r="B7" t="s">
        <v>8</v>
      </c>
      <c r="C7" t="s">
        <v>165</v>
      </c>
      <c r="D7" s="12">
        <v>213507851</v>
      </c>
      <c r="E7" s="12">
        <v>67459947</v>
      </c>
      <c r="F7">
        <v>16113225</v>
      </c>
      <c r="G7" s="12" cm="1">
        <f t="array" ref="G7">SUM(D7:E7-F7)</f>
        <v>248741348</v>
      </c>
      <c r="H7" s="19">
        <v>49855214</v>
      </c>
    </row>
    <row r="8" spans="1:8" x14ac:dyDescent="0.35">
      <c r="A8" t="s">
        <v>103</v>
      </c>
      <c r="B8" t="s">
        <v>9</v>
      </c>
      <c r="C8" t="s">
        <v>165</v>
      </c>
      <c r="D8" s="12">
        <v>135470465</v>
      </c>
      <c r="E8" s="12">
        <v>41967864</v>
      </c>
      <c r="F8">
        <v>11368526</v>
      </c>
      <c r="G8" s="12" cm="1">
        <f t="array" ref="G8">SUM(D8:E8-F8)</f>
        <v>154701277</v>
      </c>
      <c r="H8" s="19">
        <v>23037923</v>
      </c>
    </row>
    <row r="9" spans="1:8" x14ac:dyDescent="0.35">
      <c r="A9" t="s">
        <v>104</v>
      </c>
      <c r="B9" t="s">
        <v>11</v>
      </c>
      <c r="C9" t="s">
        <v>165</v>
      </c>
      <c r="D9" s="12">
        <v>442987207</v>
      </c>
      <c r="E9" s="12">
        <v>154650903</v>
      </c>
      <c r="F9">
        <v>25151574</v>
      </c>
      <c r="G9" s="12" cm="1">
        <f t="array" ref="G9">SUM(D9:E9-F9)</f>
        <v>547334962</v>
      </c>
      <c r="H9" s="19">
        <v>38872603</v>
      </c>
    </row>
    <row r="10" spans="1:8" x14ac:dyDescent="0.35">
      <c r="A10" t="s">
        <v>105</v>
      </c>
      <c r="B10" t="s">
        <v>10</v>
      </c>
      <c r="C10" t="s">
        <v>165</v>
      </c>
      <c r="D10" s="12">
        <v>41486625</v>
      </c>
      <c r="E10" s="12">
        <v>15062944</v>
      </c>
      <c r="F10">
        <v>5034879</v>
      </c>
      <c r="G10" s="12" cm="1">
        <f t="array" ref="G10">SUM(D10:E10-F10)</f>
        <v>46479811</v>
      </c>
      <c r="H10" s="19">
        <v>8984139</v>
      </c>
    </row>
    <row r="11" spans="1:8" x14ac:dyDescent="0.35">
      <c r="A11" t="s">
        <v>106</v>
      </c>
      <c r="B11" t="s">
        <v>12</v>
      </c>
      <c r="C11" t="s">
        <v>165</v>
      </c>
      <c r="D11" s="12">
        <v>606945195</v>
      </c>
      <c r="E11" s="12">
        <v>212050049</v>
      </c>
      <c r="F11">
        <v>77565967</v>
      </c>
      <c r="G11" s="12" cm="1">
        <f t="array" ref="G11">SUM(D11:E11-F11)</f>
        <v>663863310</v>
      </c>
      <c r="H11" s="19">
        <v>124877739</v>
      </c>
    </row>
    <row r="12" spans="1:8" x14ac:dyDescent="0.35">
      <c r="A12" t="s">
        <v>107</v>
      </c>
      <c r="B12" t="s">
        <v>13</v>
      </c>
      <c r="C12" t="s">
        <v>165</v>
      </c>
      <c r="D12" s="12">
        <v>177209013</v>
      </c>
      <c r="E12" s="12">
        <v>53261514</v>
      </c>
      <c r="F12">
        <v>16104354</v>
      </c>
      <c r="G12" s="12" cm="1">
        <f t="array" ref="G12">SUM(D12:E12-F12)</f>
        <v>198261819</v>
      </c>
      <c r="H12" s="19">
        <v>40629519</v>
      </c>
    </row>
    <row r="13" spans="1:8" x14ac:dyDescent="0.35">
      <c r="A13" t="s">
        <v>108</v>
      </c>
      <c r="B13" t="s">
        <v>13</v>
      </c>
      <c r="C13" t="s">
        <v>165</v>
      </c>
      <c r="D13" s="12">
        <v>0</v>
      </c>
      <c r="E13" s="12">
        <v>0</v>
      </c>
      <c r="F13">
        <v>0</v>
      </c>
      <c r="G13" s="12" cm="1">
        <f t="array" ref="G13">SUM(D13:E13-F13)</f>
        <v>0</v>
      </c>
      <c r="H13" s="19">
        <v>40629519</v>
      </c>
    </row>
    <row r="14" spans="1:8" x14ac:dyDescent="0.35">
      <c r="A14" t="s">
        <v>110</v>
      </c>
      <c r="B14" t="s">
        <v>14</v>
      </c>
      <c r="C14" t="s">
        <v>165</v>
      </c>
      <c r="D14" s="12">
        <v>135065882</v>
      </c>
      <c r="E14" s="12">
        <v>45050285</v>
      </c>
      <c r="F14">
        <v>0</v>
      </c>
      <c r="G14" s="12" cm="1">
        <f t="array" ref="G14">SUM(D14:E14-F14)</f>
        <v>180116167</v>
      </c>
      <c r="H14" s="19">
        <v>20454917</v>
      </c>
    </row>
    <row r="15" spans="1:8" x14ac:dyDescent="0.35">
      <c r="A15" t="s">
        <v>111</v>
      </c>
      <c r="B15" t="s">
        <v>18</v>
      </c>
      <c r="C15" t="s">
        <v>165</v>
      </c>
      <c r="D15" s="12">
        <v>35376099</v>
      </c>
      <c r="E15" s="12">
        <v>10436410</v>
      </c>
      <c r="F15">
        <v>4436498</v>
      </c>
      <c r="G15" s="12" cm="1">
        <f t="array" ref="G15">SUM(D15:E15-F15)</f>
        <v>36939513</v>
      </c>
      <c r="H15" s="19">
        <v>11203459</v>
      </c>
    </row>
    <row r="16" spans="1:8" x14ac:dyDescent="0.35">
      <c r="A16" t="s">
        <v>112</v>
      </c>
      <c r="B16" t="s">
        <v>15</v>
      </c>
      <c r="C16" t="s">
        <v>165</v>
      </c>
      <c r="D16" s="12">
        <v>5415875</v>
      </c>
      <c r="E16" s="12">
        <v>2082042</v>
      </c>
      <c r="F16">
        <v>314936</v>
      </c>
      <c r="G16" s="12" cm="1">
        <f t="array" ref="G16">SUM(D16:E16-F16)</f>
        <v>6868045</v>
      </c>
      <c r="H16" s="19">
        <v>4418282</v>
      </c>
    </row>
    <row r="17" spans="1:8" x14ac:dyDescent="0.35">
      <c r="A17" t="s">
        <v>113</v>
      </c>
      <c r="B17" t="s">
        <v>16</v>
      </c>
      <c r="C17" t="s">
        <v>165</v>
      </c>
      <c r="D17" s="12">
        <v>813782661</v>
      </c>
      <c r="E17" s="12">
        <v>198038855</v>
      </c>
      <c r="F17">
        <v>65399900</v>
      </c>
      <c r="G17" s="12" cm="1">
        <f t="array" ref="G17">SUM(D17:E17-F17)</f>
        <v>881021716</v>
      </c>
      <c r="H17" s="19">
        <v>103734267</v>
      </c>
    </row>
    <row r="18" spans="1:8" x14ac:dyDescent="0.35">
      <c r="A18" t="s">
        <v>114</v>
      </c>
      <c r="B18" t="s">
        <v>17</v>
      </c>
      <c r="C18" t="s">
        <v>165</v>
      </c>
      <c r="D18" s="12">
        <v>80670414</v>
      </c>
      <c r="E18" s="12">
        <v>24283758</v>
      </c>
      <c r="F18">
        <v>8141013</v>
      </c>
      <c r="G18" s="12" cm="1">
        <f t="array" ref="G18">SUM(D18:E18-F18)</f>
        <v>88672146</v>
      </c>
      <c r="H18" s="19">
        <v>19286019</v>
      </c>
    </row>
    <row r="19" spans="1:8" x14ac:dyDescent="0.35">
      <c r="A19" t="s">
        <v>115</v>
      </c>
      <c r="B19" t="s">
        <v>19</v>
      </c>
      <c r="C19" t="s">
        <v>165</v>
      </c>
      <c r="D19" s="12">
        <v>19585765</v>
      </c>
      <c r="E19" s="12">
        <v>5249967</v>
      </c>
      <c r="F19">
        <v>2478875</v>
      </c>
      <c r="G19" s="12" cm="1">
        <f t="array" ref="G19">SUM(D19:E19-F19)</f>
        <v>19877982</v>
      </c>
      <c r="H19" s="19">
        <v>7512599</v>
      </c>
    </row>
    <row r="20" spans="1:8" x14ac:dyDescent="0.35">
      <c r="A20" t="s">
        <v>116</v>
      </c>
      <c r="B20" t="s">
        <v>20</v>
      </c>
      <c r="C20" t="s">
        <v>165</v>
      </c>
      <c r="D20" s="12">
        <v>65893049</v>
      </c>
      <c r="E20" s="12">
        <v>20885716</v>
      </c>
      <c r="F20">
        <v>6812662</v>
      </c>
      <c r="G20" s="12" cm="1">
        <f t="array" ref="G20">SUM(D20:E20-F20)</f>
        <v>73153441</v>
      </c>
      <c r="H20" s="19">
        <v>14087087</v>
      </c>
    </row>
    <row r="21" spans="1:8" x14ac:dyDescent="0.35">
      <c r="A21" t="s">
        <v>117</v>
      </c>
      <c r="B21" t="s">
        <v>21</v>
      </c>
      <c r="C21" t="s">
        <v>165</v>
      </c>
      <c r="D21" s="12">
        <v>64980367</v>
      </c>
      <c r="E21" s="12">
        <v>20259373</v>
      </c>
      <c r="F21">
        <v>7524748</v>
      </c>
      <c r="G21" s="12" cm="1">
        <f t="array" ref="G21">SUM(D21:E21-F21)</f>
        <v>70190244</v>
      </c>
      <c r="H21" s="19">
        <v>15649937</v>
      </c>
    </row>
    <row r="22" spans="1:8" x14ac:dyDescent="0.35">
      <c r="A22" t="s">
        <v>118</v>
      </c>
      <c r="B22" t="s">
        <v>24</v>
      </c>
      <c r="C22" t="s">
        <v>165</v>
      </c>
      <c r="D22" s="12">
        <v>329748071</v>
      </c>
      <c r="E22" s="12">
        <v>109201898</v>
      </c>
      <c r="F22">
        <v>18544122</v>
      </c>
      <c r="G22" s="12" cm="1">
        <f t="array" ref="G22">SUM(D22:E22-F22)</f>
        <v>401861725</v>
      </c>
      <c r="H22" s="19">
        <v>43374617</v>
      </c>
    </row>
    <row r="23" spans="1:8" x14ac:dyDescent="0.35">
      <c r="A23" t="s">
        <v>119</v>
      </c>
      <c r="B23" t="s">
        <v>23</v>
      </c>
      <c r="C23" t="s">
        <v>165</v>
      </c>
      <c r="D23" s="12">
        <v>333920631</v>
      </c>
      <c r="E23" s="12">
        <v>98261957</v>
      </c>
      <c r="F23">
        <v>27012793</v>
      </c>
      <c r="G23" s="12" cm="1">
        <f t="array" ref="G23">SUM(D23:E23-F23)</f>
        <v>378157002</v>
      </c>
      <c r="H23" s="19">
        <v>48391900</v>
      </c>
    </row>
    <row r="24" spans="1:8" x14ac:dyDescent="0.35">
      <c r="A24" t="s">
        <v>120</v>
      </c>
      <c r="B24" t="s">
        <v>22</v>
      </c>
      <c r="C24" t="s">
        <v>165</v>
      </c>
      <c r="D24" s="12">
        <v>7645925</v>
      </c>
      <c r="E24" s="12">
        <v>1566222</v>
      </c>
      <c r="F24">
        <v>745412</v>
      </c>
      <c r="G24" s="12" cm="1">
        <f t="array" ref="G24">SUM(D24:E24-F24)</f>
        <v>7721323</v>
      </c>
      <c r="H24" s="19">
        <v>4137861</v>
      </c>
    </row>
    <row r="25" spans="1:8" x14ac:dyDescent="0.35">
      <c r="A25" t="s">
        <v>121</v>
      </c>
      <c r="B25" t="s">
        <v>25</v>
      </c>
      <c r="C25" t="s">
        <v>165</v>
      </c>
      <c r="D25" s="12">
        <v>211234205</v>
      </c>
      <c r="E25" s="12">
        <v>73006147</v>
      </c>
      <c r="F25">
        <v>25420916</v>
      </c>
      <c r="G25" s="12" cm="1">
        <f t="array" ref="G25">SUM(D25:E25-F25)</f>
        <v>233398520</v>
      </c>
      <c r="H25" s="19">
        <v>49939298</v>
      </c>
    </row>
    <row r="26" spans="1:8" x14ac:dyDescent="0.35">
      <c r="A26" t="s">
        <v>122</v>
      </c>
      <c r="B26" t="s">
        <v>26</v>
      </c>
      <c r="C26" t="s">
        <v>165</v>
      </c>
      <c r="D26" s="12">
        <v>253038762</v>
      </c>
      <c r="E26" s="12">
        <v>79208731</v>
      </c>
      <c r="F26">
        <v>19954343</v>
      </c>
      <c r="G26" s="12" cm="1">
        <f t="array" ref="G26">SUM(D26:E26-F26)</f>
        <v>292338807</v>
      </c>
      <c r="H26" s="19">
        <v>44630214</v>
      </c>
    </row>
    <row r="27" spans="1:8" x14ac:dyDescent="0.35">
      <c r="A27" t="s">
        <v>123</v>
      </c>
      <c r="B27" t="s">
        <v>28</v>
      </c>
      <c r="C27" t="s">
        <v>165</v>
      </c>
      <c r="D27" s="12">
        <v>145211409</v>
      </c>
      <c r="E27" s="12">
        <v>49155320</v>
      </c>
      <c r="F27">
        <v>13877099</v>
      </c>
      <c r="G27" s="12" cm="1">
        <f t="array" ref="G27">SUM(D27:E27-F27)</f>
        <v>166612531</v>
      </c>
      <c r="H27" s="19">
        <v>29294533</v>
      </c>
    </row>
    <row r="28" spans="1:8" x14ac:dyDescent="0.35">
      <c r="A28" t="s">
        <v>124</v>
      </c>
      <c r="B28" t="s">
        <v>27</v>
      </c>
      <c r="C28" t="s">
        <v>165</v>
      </c>
      <c r="D28" s="12">
        <v>4788899</v>
      </c>
      <c r="E28" s="12">
        <v>1632294</v>
      </c>
      <c r="F28">
        <v>892951</v>
      </c>
      <c r="G28" s="12" cm="1">
        <f t="array" ref="G28">SUM(D28:E28-F28)</f>
        <v>4635291</v>
      </c>
      <c r="H28" s="19">
        <v>3281232</v>
      </c>
    </row>
    <row r="29" spans="1:8" x14ac:dyDescent="0.35">
      <c r="A29" t="s">
        <v>125</v>
      </c>
      <c r="B29" t="s">
        <v>29</v>
      </c>
      <c r="C29" t="s">
        <v>165</v>
      </c>
      <c r="D29" s="12">
        <v>7512311</v>
      </c>
      <c r="E29" s="12">
        <v>2038127</v>
      </c>
      <c r="F29">
        <v>988243</v>
      </c>
      <c r="G29" s="12" cm="1">
        <f t="array" ref="G29">SUM(D29:E29-F29)</f>
        <v>7573952</v>
      </c>
      <c r="H29" s="19">
        <v>3791255</v>
      </c>
    </row>
    <row r="30" spans="1:8" x14ac:dyDescent="0.35">
      <c r="A30" t="s">
        <v>126</v>
      </c>
      <c r="B30" t="s">
        <v>242</v>
      </c>
      <c r="C30" t="s">
        <v>165</v>
      </c>
      <c r="D30" s="12">
        <v>133736223</v>
      </c>
      <c r="E30" s="12">
        <v>40204296</v>
      </c>
      <c r="F30">
        <v>16361992</v>
      </c>
      <c r="G30" s="12" cm="1">
        <f t="array" ref="G30">SUM(D30:E30-F30)</f>
        <v>141216535</v>
      </c>
      <c r="H30" s="19">
        <v>0</v>
      </c>
    </row>
    <row r="31" spans="1:8" x14ac:dyDescent="0.35">
      <c r="A31" t="s">
        <v>127</v>
      </c>
      <c r="B31" t="s">
        <v>36</v>
      </c>
      <c r="C31" t="s">
        <v>165</v>
      </c>
      <c r="D31" s="12">
        <v>4730342</v>
      </c>
      <c r="E31" s="12">
        <v>1844291</v>
      </c>
      <c r="F31">
        <v>867488</v>
      </c>
      <c r="G31" s="12" cm="1">
        <f t="array" ref="G31">SUM(D31:E31-F31)</f>
        <v>4839657</v>
      </c>
      <c r="H31" s="19">
        <v>1934311</v>
      </c>
    </row>
    <row r="32" spans="1:8" x14ac:dyDescent="0.35">
      <c r="A32" t="s">
        <v>128</v>
      </c>
      <c r="B32" t="s">
        <v>30</v>
      </c>
      <c r="C32" t="s">
        <v>165</v>
      </c>
      <c r="D32" s="12">
        <v>24021702</v>
      </c>
      <c r="E32" s="12">
        <v>5597118</v>
      </c>
      <c r="F32">
        <v>2495588</v>
      </c>
      <c r="G32" s="12" cm="1">
        <f t="array" ref="G32">SUM(D32:E32-F32)</f>
        <v>24627644</v>
      </c>
      <c r="H32" s="19">
        <v>6276073</v>
      </c>
    </row>
    <row r="33" spans="1:8" x14ac:dyDescent="0.35">
      <c r="A33" t="s">
        <v>129</v>
      </c>
      <c r="B33" t="s">
        <v>32</v>
      </c>
      <c r="C33" t="s">
        <v>165</v>
      </c>
      <c r="D33" s="12">
        <v>3935744</v>
      </c>
      <c r="E33" s="12">
        <v>632649</v>
      </c>
      <c r="F33">
        <v>559824</v>
      </c>
      <c r="G33" s="12" cm="1">
        <f t="array" ref="G33">SUM(D33:E33-F33)</f>
        <v>3448745</v>
      </c>
      <c r="H33" s="19">
        <v>2401459</v>
      </c>
    </row>
    <row r="34" spans="1:8" x14ac:dyDescent="0.35">
      <c r="A34" t="s">
        <v>130</v>
      </c>
      <c r="B34" t="s">
        <v>33</v>
      </c>
      <c r="C34" t="s">
        <v>165</v>
      </c>
      <c r="D34" s="12">
        <v>557472361</v>
      </c>
      <c r="E34" s="12">
        <v>215784320</v>
      </c>
      <c r="F34">
        <v>38337647</v>
      </c>
      <c r="G34" s="12" cm="1">
        <f t="array" ref="G34">SUM(D34:E34-F34)</f>
        <v>696581387</v>
      </c>
      <c r="H34" s="19">
        <v>85248950</v>
      </c>
    </row>
    <row r="35" spans="1:8" x14ac:dyDescent="0.35">
      <c r="A35" t="s">
        <v>131</v>
      </c>
      <c r="B35" t="s">
        <v>34</v>
      </c>
      <c r="C35" t="s">
        <v>165</v>
      </c>
      <c r="D35" s="12">
        <v>29049326</v>
      </c>
      <c r="E35" s="12">
        <v>11535143</v>
      </c>
      <c r="F35">
        <v>4077444</v>
      </c>
      <c r="G35" s="12" cm="1">
        <f t="array" ref="G35">SUM(D35:E35-F35)</f>
        <v>32429581</v>
      </c>
      <c r="H35" s="19">
        <v>11058565</v>
      </c>
    </row>
    <row r="36" spans="1:8" x14ac:dyDescent="0.35">
      <c r="A36" t="s">
        <v>132</v>
      </c>
      <c r="B36" t="s">
        <v>31</v>
      </c>
      <c r="C36" t="s">
        <v>165</v>
      </c>
      <c r="D36" s="12">
        <v>89482929</v>
      </c>
      <c r="E36" s="12">
        <v>43556692</v>
      </c>
      <c r="F36">
        <v>9480329</v>
      </c>
      <c r="G36" s="12" cm="1">
        <f t="array" ref="G36">SUM(D36:E36-F36)</f>
        <v>114078963</v>
      </c>
      <c r="H36" s="19">
        <v>22752296</v>
      </c>
    </row>
    <row r="37" spans="1:8" x14ac:dyDescent="0.35">
      <c r="A37" t="s">
        <v>133</v>
      </c>
      <c r="B37" t="s">
        <v>35</v>
      </c>
      <c r="C37" t="s">
        <v>165</v>
      </c>
      <c r="D37" s="12">
        <v>2543181640</v>
      </c>
      <c r="E37" s="12">
        <v>815696297</v>
      </c>
      <c r="F37">
        <v>111487838</v>
      </c>
      <c r="G37" s="12" cm="1">
        <f t="array" ref="G37">SUM(D37:E37-F37)</f>
        <v>3135902261</v>
      </c>
      <c r="H37" s="19">
        <v>182735062</v>
      </c>
    </row>
    <row r="38" spans="1:8" x14ac:dyDescent="0.35">
      <c r="A38" t="s">
        <v>134</v>
      </c>
      <c r="B38" t="s">
        <v>37</v>
      </c>
      <c r="C38" t="s">
        <v>165</v>
      </c>
      <c r="D38" s="12">
        <v>325211129</v>
      </c>
      <c r="E38" s="12">
        <v>115751942</v>
      </c>
      <c r="F38">
        <v>22532677</v>
      </c>
      <c r="G38" s="12" cm="1">
        <f t="array" ref="G38">SUM(D38:E38-F38)</f>
        <v>395897717</v>
      </c>
      <c r="H38" s="19">
        <v>56939993</v>
      </c>
    </row>
    <row r="39" spans="1:8" x14ac:dyDescent="0.35">
      <c r="A39" t="s">
        <v>135</v>
      </c>
      <c r="B39" t="s">
        <v>38</v>
      </c>
      <c r="C39" t="s">
        <v>165</v>
      </c>
      <c r="D39" s="12">
        <v>19320413</v>
      </c>
      <c r="E39" s="12">
        <v>6556404</v>
      </c>
      <c r="F39">
        <v>1978276</v>
      </c>
      <c r="G39" s="12" cm="1">
        <f t="array" ref="G39">SUM(D39:E39-F39)</f>
        <v>21920265</v>
      </c>
      <c r="H39" s="19">
        <v>7918742</v>
      </c>
    </row>
    <row r="40" spans="1:8" x14ac:dyDescent="0.35">
      <c r="A40" t="s">
        <v>136</v>
      </c>
      <c r="B40" t="s">
        <v>39</v>
      </c>
      <c r="C40" t="s">
        <v>165</v>
      </c>
      <c r="D40" s="12">
        <v>229760926</v>
      </c>
      <c r="E40" s="12">
        <v>59476605</v>
      </c>
      <c r="F40">
        <v>15492362</v>
      </c>
      <c r="G40" s="12" cm="1">
        <f t="array" ref="G40">SUM(D40:E40-F40)</f>
        <v>258252807</v>
      </c>
      <c r="H40" s="19">
        <v>33429198</v>
      </c>
    </row>
    <row r="41" spans="1:8" x14ac:dyDescent="0.35">
      <c r="A41" t="s">
        <v>137</v>
      </c>
      <c r="B41" t="s">
        <v>40</v>
      </c>
      <c r="C41" t="s">
        <v>165</v>
      </c>
      <c r="D41" s="12">
        <v>647283728</v>
      </c>
      <c r="E41" s="12">
        <v>218056719</v>
      </c>
      <c r="F41">
        <v>55595047</v>
      </c>
      <c r="G41" s="12" cm="1">
        <f t="array" ref="G41">SUM(D41:E41-F41)</f>
        <v>754150353</v>
      </c>
      <c r="H41" s="19">
        <v>88986984</v>
      </c>
    </row>
    <row r="42" spans="1:8" x14ac:dyDescent="0.35">
      <c r="A42" t="s">
        <v>138</v>
      </c>
      <c r="B42" t="s">
        <v>40</v>
      </c>
      <c r="C42" t="s">
        <v>165</v>
      </c>
      <c r="D42" s="12">
        <v>24399425</v>
      </c>
      <c r="E42" s="12">
        <v>9640186</v>
      </c>
      <c r="F42">
        <v>3054576</v>
      </c>
      <c r="G42" s="12" cm="1">
        <f t="array" ref="G42">SUM(D42:E42-F42)</f>
        <v>27930459</v>
      </c>
      <c r="H42" s="19">
        <v>88986984</v>
      </c>
    </row>
    <row r="43" spans="1:8" x14ac:dyDescent="0.35">
      <c r="A43" t="s">
        <v>139</v>
      </c>
      <c r="B43" t="s">
        <v>40</v>
      </c>
      <c r="C43" t="s">
        <v>165</v>
      </c>
      <c r="D43" s="12">
        <v>59946581</v>
      </c>
      <c r="E43" s="12">
        <v>17070464</v>
      </c>
      <c r="F43">
        <v>4443897</v>
      </c>
      <c r="G43" s="12" cm="1">
        <f t="array" ref="G43">SUM(D43:E43-F43)</f>
        <v>68129251</v>
      </c>
      <c r="H43" s="19">
        <v>88986984</v>
      </c>
    </row>
    <row r="44" spans="1:8" x14ac:dyDescent="0.35">
      <c r="A44" t="s">
        <v>140</v>
      </c>
      <c r="B44" t="s">
        <v>243</v>
      </c>
      <c r="C44" t="s">
        <v>165</v>
      </c>
      <c r="D44" s="12">
        <v>25269272</v>
      </c>
      <c r="E44" s="12">
        <v>6851024</v>
      </c>
      <c r="F44">
        <v>3337250</v>
      </c>
      <c r="G44" s="12" cm="1">
        <f t="array" ref="G44">SUM(D44:E44-F44)</f>
        <v>25445796</v>
      </c>
      <c r="H44" s="19">
        <v>0</v>
      </c>
    </row>
    <row r="45" spans="1:8" x14ac:dyDescent="0.35">
      <c r="A45" t="s">
        <v>141</v>
      </c>
      <c r="B45" t="s">
        <v>243</v>
      </c>
      <c r="C45" t="s">
        <v>165</v>
      </c>
      <c r="D45" s="12">
        <v>3266283</v>
      </c>
      <c r="E45" s="12">
        <v>629603</v>
      </c>
      <c r="F45">
        <v>367097</v>
      </c>
      <c r="G45" s="12" cm="1">
        <f t="array" ref="G45">SUM(D45:E45-F45)</f>
        <v>3161692</v>
      </c>
      <c r="H45" s="19">
        <v>0</v>
      </c>
    </row>
    <row r="46" spans="1:8" x14ac:dyDescent="0.35">
      <c r="A46" t="s">
        <v>142</v>
      </c>
      <c r="B46" t="s">
        <v>43</v>
      </c>
      <c r="C46" t="s">
        <v>165</v>
      </c>
      <c r="D46" s="12">
        <v>89359038</v>
      </c>
      <c r="E46" s="12">
        <v>27111135</v>
      </c>
      <c r="F46">
        <v>9309252</v>
      </c>
      <c r="G46" s="12" cm="1">
        <f t="array" ref="G46">SUM(D46:E46-F46)</f>
        <v>97851669</v>
      </c>
      <c r="H46" s="19">
        <v>21251959</v>
      </c>
    </row>
    <row r="47" spans="1:8" x14ac:dyDescent="0.35">
      <c r="A47" t="s">
        <v>143</v>
      </c>
      <c r="B47" t="s">
        <v>44</v>
      </c>
      <c r="C47" t="s">
        <v>165</v>
      </c>
      <c r="D47" s="12">
        <v>657722156</v>
      </c>
      <c r="E47" s="12">
        <v>228457432</v>
      </c>
      <c r="F47">
        <v>55535532</v>
      </c>
      <c r="G47" s="12" cm="1">
        <f t="array" ref="G47">SUM(D47:E47-F47)</f>
        <v>775108524</v>
      </c>
      <c r="H47" s="19">
        <v>140051617</v>
      </c>
    </row>
    <row r="48" spans="1:8" x14ac:dyDescent="0.35">
      <c r="A48" t="s">
        <v>144</v>
      </c>
      <c r="B48" t="s">
        <v>45</v>
      </c>
      <c r="C48" t="s">
        <v>165</v>
      </c>
      <c r="D48" s="5">
        <v>85889077</v>
      </c>
      <c r="E48" s="5">
        <v>29372249</v>
      </c>
      <c r="F48">
        <v>9201989</v>
      </c>
      <c r="G48" s="12" cm="1">
        <f t="array" ref="G48">SUM(D48:E48-F48)</f>
        <v>96857348</v>
      </c>
      <c r="H48" s="19">
        <v>20872218</v>
      </c>
    </row>
    <row r="49" spans="1:8" x14ac:dyDescent="0.35">
      <c r="A49" t="s">
        <v>145</v>
      </c>
      <c r="B49" t="s">
        <v>47</v>
      </c>
      <c r="C49" t="s">
        <v>165</v>
      </c>
      <c r="D49" s="5">
        <v>170995603</v>
      </c>
      <c r="E49" s="5">
        <v>54284614</v>
      </c>
      <c r="F49">
        <v>19403102</v>
      </c>
      <c r="G49" s="12" cm="1">
        <f t="array" ref="G49">SUM(D49:E49-F49)</f>
        <v>186474013</v>
      </c>
      <c r="H49" s="19">
        <v>44091053</v>
      </c>
    </row>
    <row r="50" spans="1:8" x14ac:dyDescent="0.35">
      <c r="A50" t="s">
        <v>146</v>
      </c>
      <c r="B50" t="s">
        <v>47</v>
      </c>
      <c r="C50" t="s">
        <v>165</v>
      </c>
      <c r="D50" s="5">
        <v>0</v>
      </c>
      <c r="E50" s="5">
        <v>0</v>
      </c>
      <c r="F50">
        <v>0</v>
      </c>
      <c r="G50" s="12" cm="1">
        <f t="array" ref="G50">SUM(D50:E50-F50)</f>
        <v>0</v>
      </c>
      <c r="H50" s="19">
        <v>44091053</v>
      </c>
    </row>
    <row r="51" spans="1:8" x14ac:dyDescent="0.35">
      <c r="A51" t="s">
        <v>147</v>
      </c>
      <c r="B51" t="s">
        <v>47</v>
      </c>
      <c r="C51" t="s">
        <v>165</v>
      </c>
      <c r="D51" s="5">
        <v>8216932</v>
      </c>
      <c r="E51" s="5">
        <v>1558099</v>
      </c>
      <c r="F51">
        <v>827122</v>
      </c>
      <c r="G51" s="12" cm="1">
        <f t="array" ref="G51">SUM(D51:E51-F51)</f>
        <v>8120787</v>
      </c>
      <c r="H51" s="19">
        <v>44091053</v>
      </c>
    </row>
    <row r="52" spans="1:8" x14ac:dyDescent="0.35">
      <c r="A52" t="s">
        <v>148</v>
      </c>
      <c r="B52" t="s">
        <v>48</v>
      </c>
      <c r="C52" t="s">
        <v>165</v>
      </c>
      <c r="D52" s="5">
        <v>596988520</v>
      </c>
      <c r="E52" s="5">
        <v>166052440</v>
      </c>
      <c r="F52">
        <v>40308315</v>
      </c>
      <c r="G52" s="12" cm="1">
        <f t="array" ref="G52">SUM(D52:E52-F52)</f>
        <v>682424330</v>
      </c>
      <c r="H52" s="19">
        <v>83332487</v>
      </c>
    </row>
    <row r="53" spans="1:8" x14ac:dyDescent="0.35">
      <c r="A53" t="s">
        <v>149</v>
      </c>
      <c r="B53" t="s">
        <v>48</v>
      </c>
      <c r="C53" t="s">
        <v>165</v>
      </c>
      <c r="D53" s="5">
        <v>151236562</v>
      </c>
      <c r="E53" s="5">
        <v>38335850</v>
      </c>
      <c r="F53">
        <v>6204771</v>
      </c>
      <c r="G53" s="12" cm="1">
        <f t="array" ref="G53">SUM(D53:E53-F53)</f>
        <v>177162870</v>
      </c>
      <c r="H53" s="19">
        <v>83332487</v>
      </c>
    </row>
    <row r="54" spans="1:8" x14ac:dyDescent="0.35">
      <c r="A54" t="s">
        <v>150</v>
      </c>
      <c r="B54" t="s">
        <v>48</v>
      </c>
      <c r="C54" t="s">
        <v>165</v>
      </c>
      <c r="D54" s="5">
        <v>12158269</v>
      </c>
      <c r="E54" s="5">
        <v>3855316</v>
      </c>
      <c r="F54">
        <v>1586612</v>
      </c>
      <c r="G54" s="12" cm="1">
        <f t="array" ref="G54">SUM(D54:E54-F54)</f>
        <v>12840361</v>
      </c>
      <c r="H54" s="19">
        <v>83332487</v>
      </c>
    </row>
    <row r="55" spans="1:8" x14ac:dyDescent="0.35">
      <c r="A55" t="s">
        <v>151</v>
      </c>
      <c r="B55" t="s">
        <v>48</v>
      </c>
      <c r="C55" t="s">
        <v>165</v>
      </c>
      <c r="D55" s="5">
        <v>0</v>
      </c>
      <c r="E55" s="5">
        <v>0</v>
      </c>
      <c r="F55">
        <v>0</v>
      </c>
      <c r="G55" s="12" cm="1">
        <f t="array" ref="G55">SUM(D55:E55-F55)</f>
        <v>0</v>
      </c>
      <c r="H55" s="19">
        <v>83332487</v>
      </c>
    </row>
    <row r="56" spans="1:8" x14ac:dyDescent="0.35">
      <c r="A56" t="s">
        <v>95</v>
      </c>
      <c r="B56" t="s">
        <v>4</v>
      </c>
      <c r="C56" t="s">
        <v>166</v>
      </c>
      <c r="D56">
        <v>3743937</v>
      </c>
      <c r="E56">
        <v>389169</v>
      </c>
      <c r="F56">
        <v>446081</v>
      </c>
      <c r="G56" s="12" cm="1">
        <f t="array" ref="G56">SUM(D56:E56-F56)</f>
        <v>3240944</v>
      </c>
      <c r="H56" s="19">
        <v>1820969</v>
      </c>
    </row>
    <row r="57" spans="1:8" x14ac:dyDescent="0.35">
      <c r="A57" t="s">
        <v>96</v>
      </c>
      <c r="B57" t="s">
        <v>3</v>
      </c>
      <c r="C57" t="s">
        <v>166</v>
      </c>
      <c r="D57">
        <v>11601142</v>
      </c>
      <c r="E57">
        <v>2742838</v>
      </c>
      <c r="F57">
        <v>1281229</v>
      </c>
      <c r="G57" s="12" cm="1">
        <f t="array" ref="G57">SUM(D57:E57-F57)</f>
        <v>11781522</v>
      </c>
      <c r="H57" s="19">
        <v>10146650</v>
      </c>
    </row>
    <row r="58" spans="1:8" x14ac:dyDescent="0.35">
      <c r="A58" t="s">
        <v>97</v>
      </c>
      <c r="B58" t="s">
        <v>6</v>
      </c>
      <c r="C58" t="s">
        <v>166</v>
      </c>
      <c r="D58">
        <v>2085150</v>
      </c>
      <c r="E58">
        <v>92100</v>
      </c>
      <c r="F58">
        <v>255550</v>
      </c>
      <c r="G58" s="12" cm="1">
        <f t="array" ref="G58">SUM(D58:E58-F58)</f>
        <v>1666150</v>
      </c>
      <c r="H58" s="19">
        <v>13251409</v>
      </c>
    </row>
    <row r="59" spans="1:8" x14ac:dyDescent="0.35">
      <c r="A59" t="s">
        <v>98</v>
      </c>
      <c r="B59" t="s">
        <v>6</v>
      </c>
      <c r="C59" t="s">
        <v>166</v>
      </c>
      <c r="D59">
        <v>0</v>
      </c>
      <c r="E59">
        <v>0</v>
      </c>
      <c r="F59">
        <v>0</v>
      </c>
      <c r="G59" s="12" cm="1">
        <f t="array" ref="G59">SUM(D59:E59-F59)</f>
        <v>0</v>
      </c>
      <c r="H59" s="19">
        <v>13251409</v>
      </c>
    </row>
    <row r="60" spans="1:8" x14ac:dyDescent="0.35">
      <c r="A60" t="s">
        <v>100</v>
      </c>
      <c r="B60" t="s">
        <v>5</v>
      </c>
      <c r="C60" t="s">
        <v>166</v>
      </c>
      <c r="D60">
        <v>26915267</v>
      </c>
      <c r="E60">
        <v>3749670</v>
      </c>
      <c r="F60">
        <v>1647337</v>
      </c>
      <c r="G60" s="12" cm="1">
        <f t="array" ref="G60">SUM(D60:E60-F60)</f>
        <v>27370263</v>
      </c>
      <c r="H60" s="19">
        <v>8850838</v>
      </c>
    </row>
    <row r="61" spans="1:8" x14ac:dyDescent="0.35">
      <c r="A61" t="s">
        <v>101</v>
      </c>
      <c r="B61" t="s">
        <v>7</v>
      </c>
      <c r="C61" t="s">
        <v>166</v>
      </c>
      <c r="D61">
        <v>277676704</v>
      </c>
      <c r="E61">
        <v>50993594</v>
      </c>
      <c r="F61">
        <v>15494672</v>
      </c>
      <c r="G61" s="12" cm="1">
        <f t="array" ref="G61">SUM(D61:E61-F61)</f>
        <v>297680954</v>
      </c>
      <c r="H61" s="19">
        <v>88205270</v>
      </c>
    </row>
    <row r="62" spans="1:8" x14ac:dyDescent="0.35">
      <c r="A62" t="s">
        <v>102</v>
      </c>
      <c r="B62" t="s">
        <v>8</v>
      </c>
      <c r="C62" t="s">
        <v>166</v>
      </c>
      <c r="D62">
        <v>31675045</v>
      </c>
      <c r="E62">
        <v>9526744</v>
      </c>
      <c r="F62">
        <v>304176</v>
      </c>
      <c r="G62" s="12" cm="1">
        <f t="array" ref="G62">SUM(D62:E62-F62)</f>
        <v>40593437</v>
      </c>
      <c r="H62" s="19">
        <v>18116638</v>
      </c>
    </row>
    <row r="63" spans="1:8" x14ac:dyDescent="0.35">
      <c r="A63" t="s">
        <v>103</v>
      </c>
      <c r="B63" t="s">
        <v>9</v>
      </c>
      <c r="C63" t="s">
        <v>166</v>
      </c>
      <c r="D63">
        <v>33997711</v>
      </c>
      <c r="E63">
        <v>3086874</v>
      </c>
      <c r="F63">
        <v>3244151</v>
      </c>
      <c r="G63" s="12" cm="1">
        <f t="array" ref="G63">SUM(D63:E63-F63)</f>
        <v>30596283</v>
      </c>
      <c r="H63" s="19">
        <v>9462995</v>
      </c>
    </row>
    <row r="64" spans="1:8" x14ac:dyDescent="0.35">
      <c r="A64" t="s">
        <v>104</v>
      </c>
      <c r="B64" t="s">
        <v>11</v>
      </c>
      <c r="C64" t="s">
        <v>166</v>
      </c>
      <c r="D64">
        <v>117293449</v>
      </c>
      <c r="E64">
        <v>9426578</v>
      </c>
      <c r="F64">
        <v>5740262</v>
      </c>
      <c r="G64" s="12" cm="1">
        <f t="array" ref="G64">SUM(D64:E64-F64)</f>
        <v>115239503</v>
      </c>
      <c r="H64" s="19">
        <v>19685883</v>
      </c>
    </row>
    <row r="65" spans="1:8" x14ac:dyDescent="0.35">
      <c r="A65" t="s">
        <v>105</v>
      </c>
      <c r="B65" t="s">
        <v>10</v>
      </c>
      <c r="C65" t="s">
        <v>166</v>
      </c>
      <c r="D65">
        <v>35857453</v>
      </c>
      <c r="E65">
        <v>5682386</v>
      </c>
      <c r="F65">
        <v>2539614</v>
      </c>
      <c r="G65" s="12" cm="1">
        <f t="array" ref="G65">SUM(D65:E65-F65)</f>
        <v>36460611</v>
      </c>
      <c r="H65" s="19">
        <v>8098492</v>
      </c>
    </row>
    <row r="66" spans="1:8" x14ac:dyDescent="0.35">
      <c r="A66" t="s">
        <v>106</v>
      </c>
      <c r="B66" t="s">
        <v>12</v>
      </c>
      <c r="C66" t="s">
        <v>166</v>
      </c>
      <c r="D66">
        <v>167551143</v>
      </c>
      <c r="E66">
        <v>27845661</v>
      </c>
      <c r="F66">
        <v>11350647</v>
      </c>
      <c r="G66" s="12" cm="1">
        <f t="array" ref="G66">SUM(D66:E66-F66)</f>
        <v>172695510</v>
      </c>
      <c r="H66" s="19">
        <v>80295496</v>
      </c>
    </row>
    <row r="67" spans="1:8" x14ac:dyDescent="0.35">
      <c r="A67" t="s">
        <v>107</v>
      </c>
      <c r="B67" t="s">
        <v>13</v>
      </c>
      <c r="C67" t="s">
        <v>166</v>
      </c>
      <c r="D67">
        <v>29601199</v>
      </c>
      <c r="E67">
        <v>9402496</v>
      </c>
      <c r="F67">
        <v>3849187</v>
      </c>
      <c r="G67" s="12" cm="1">
        <f t="array" ref="G67">SUM(D67:E67-F67)</f>
        <v>31305321</v>
      </c>
      <c r="H67" s="19">
        <v>28298863</v>
      </c>
    </row>
    <row r="68" spans="1:8" x14ac:dyDescent="0.35">
      <c r="A68" t="s">
        <v>108</v>
      </c>
      <c r="B68" t="s">
        <v>13</v>
      </c>
      <c r="C68" t="s">
        <v>166</v>
      </c>
      <c r="D68">
        <v>0</v>
      </c>
      <c r="E68">
        <v>0</v>
      </c>
      <c r="F68">
        <v>0</v>
      </c>
      <c r="G68" s="12" cm="1">
        <f t="array" ref="G68">SUM(D68:E68-F68)</f>
        <v>0</v>
      </c>
      <c r="H68" s="19">
        <v>28298863</v>
      </c>
    </row>
    <row r="69" spans="1:8" x14ac:dyDescent="0.35">
      <c r="A69" t="s">
        <v>110</v>
      </c>
      <c r="B69" t="s">
        <v>14</v>
      </c>
      <c r="C69" t="s">
        <v>166</v>
      </c>
      <c r="D69">
        <v>37618245</v>
      </c>
      <c r="E69">
        <v>7195510</v>
      </c>
      <c r="F69">
        <v>0</v>
      </c>
      <c r="G69" s="12" cm="1">
        <f t="array" ref="G69">SUM(D69:E69-F69)</f>
        <v>44813755</v>
      </c>
      <c r="H69" s="19">
        <v>9218028</v>
      </c>
    </row>
    <row r="70" spans="1:8" x14ac:dyDescent="0.35">
      <c r="A70" t="s">
        <v>111</v>
      </c>
      <c r="B70" t="s">
        <v>18</v>
      </c>
      <c r="C70" t="s">
        <v>166</v>
      </c>
      <c r="D70">
        <v>8280174</v>
      </c>
      <c r="E70">
        <v>1193666</v>
      </c>
      <c r="F70">
        <v>666973</v>
      </c>
      <c r="G70" s="12" cm="1">
        <f t="array" ref="G70">SUM(D70:E70-F70)</f>
        <v>8139894</v>
      </c>
      <c r="H70" s="19">
        <v>16204926</v>
      </c>
    </row>
    <row r="71" spans="1:8" x14ac:dyDescent="0.35">
      <c r="A71" t="s">
        <v>112</v>
      </c>
      <c r="B71" t="s">
        <v>15</v>
      </c>
      <c r="C71" t="s">
        <v>166</v>
      </c>
      <c r="D71">
        <v>2438532</v>
      </c>
      <c r="E71">
        <v>358882</v>
      </c>
      <c r="F71">
        <v>88566</v>
      </c>
      <c r="G71" s="12" cm="1">
        <f t="array" ref="G71">SUM(D71:E71-F71)</f>
        <v>2620282</v>
      </c>
      <c r="H71" s="19">
        <v>1792488</v>
      </c>
    </row>
    <row r="72" spans="1:8" x14ac:dyDescent="0.35">
      <c r="A72" t="s">
        <v>113</v>
      </c>
      <c r="B72" t="s">
        <v>16</v>
      </c>
      <c r="C72" t="s">
        <v>166</v>
      </c>
      <c r="D72">
        <v>124903434</v>
      </c>
      <c r="E72">
        <v>30007058</v>
      </c>
      <c r="F72">
        <v>4581514</v>
      </c>
      <c r="G72" s="12" cm="1">
        <f t="array" ref="G72">SUM(D72:E72-F72)</f>
        <v>145747464</v>
      </c>
      <c r="H72" s="19">
        <v>51817490</v>
      </c>
    </row>
    <row r="73" spans="1:8" x14ac:dyDescent="0.35">
      <c r="A73" t="s">
        <v>114</v>
      </c>
      <c r="B73" t="s">
        <v>17</v>
      </c>
      <c r="C73" t="s">
        <v>166</v>
      </c>
      <c r="D73">
        <v>18866689</v>
      </c>
      <c r="E73">
        <v>3228044</v>
      </c>
      <c r="F73">
        <v>1339719</v>
      </c>
      <c r="G73" s="12" cm="1">
        <f t="array" ref="G73">SUM(D73:E73-F73)</f>
        <v>19415295</v>
      </c>
      <c r="H73" s="19">
        <v>18241770</v>
      </c>
    </row>
    <row r="74" spans="1:8" x14ac:dyDescent="0.35">
      <c r="A74" t="s">
        <v>115</v>
      </c>
      <c r="B74" t="s">
        <v>19</v>
      </c>
      <c r="C74" t="s">
        <v>166</v>
      </c>
      <c r="D74">
        <v>5777857</v>
      </c>
      <c r="E74">
        <v>1040556</v>
      </c>
      <c r="F74">
        <v>801559</v>
      </c>
      <c r="G74" s="12" cm="1">
        <f t="array" ref="G74">SUM(D74:E74-F74)</f>
        <v>5215295</v>
      </c>
      <c r="H74" s="19">
        <v>7847064</v>
      </c>
    </row>
    <row r="75" spans="1:8" x14ac:dyDescent="0.35">
      <c r="A75" t="s">
        <v>116</v>
      </c>
      <c r="B75" t="s">
        <v>20</v>
      </c>
      <c r="C75" t="s">
        <v>166</v>
      </c>
      <c r="D75">
        <v>20035779</v>
      </c>
      <c r="E75">
        <v>2362457</v>
      </c>
      <c r="F75">
        <v>2144572</v>
      </c>
      <c r="G75" s="12" cm="1">
        <f t="array" ref="G75">SUM(D75:E75-F75)</f>
        <v>18109092</v>
      </c>
      <c r="H75" s="19">
        <v>35520308</v>
      </c>
    </row>
    <row r="76" spans="1:8" x14ac:dyDescent="0.35">
      <c r="A76" t="s">
        <v>117</v>
      </c>
      <c r="B76" t="s">
        <v>21</v>
      </c>
      <c r="C76" t="s">
        <v>166</v>
      </c>
      <c r="D76">
        <v>13274493</v>
      </c>
      <c r="E76">
        <v>2501130</v>
      </c>
      <c r="F76">
        <v>886092</v>
      </c>
      <c r="G76" s="12" cm="1">
        <f t="array" ref="G76">SUM(D76:E76-F76)</f>
        <v>14003439</v>
      </c>
      <c r="H76" s="19">
        <v>10323437</v>
      </c>
    </row>
    <row r="77" spans="1:8" x14ac:dyDescent="0.35">
      <c r="A77" t="s">
        <v>118</v>
      </c>
      <c r="B77" t="s">
        <v>24</v>
      </c>
      <c r="C77" t="s">
        <v>166</v>
      </c>
      <c r="D77">
        <v>133038125</v>
      </c>
      <c r="E77">
        <v>16191969</v>
      </c>
      <c r="F77">
        <v>6114739</v>
      </c>
      <c r="G77" s="12" cm="1">
        <f t="array" ref="G77">SUM(D77:E77-F77)</f>
        <v>137000616</v>
      </c>
      <c r="H77" s="19">
        <v>31031514</v>
      </c>
    </row>
    <row r="78" spans="1:8" x14ac:dyDescent="0.35">
      <c r="A78" t="s">
        <v>119</v>
      </c>
      <c r="B78" t="s">
        <v>23</v>
      </c>
      <c r="C78" t="s">
        <v>166</v>
      </c>
      <c r="D78">
        <v>71883509</v>
      </c>
      <c r="E78">
        <v>24090557</v>
      </c>
      <c r="F78">
        <v>742334</v>
      </c>
      <c r="G78" s="12" cm="1">
        <f t="array" ref="G78">SUM(D78:E78-F78)</f>
        <v>94489398</v>
      </c>
      <c r="H78" s="19">
        <v>26146936</v>
      </c>
    </row>
    <row r="79" spans="1:8" x14ac:dyDescent="0.35">
      <c r="A79" t="s">
        <v>120</v>
      </c>
      <c r="B79" t="s">
        <v>22</v>
      </c>
      <c r="C79" t="s">
        <v>166</v>
      </c>
      <c r="D79">
        <v>840170</v>
      </c>
      <c r="E79">
        <v>168284</v>
      </c>
      <c r="F79">
        <v>78791</v>
      </c>
      <c r="G79" s="12" cm="1">
        <f t="array" ref="G79">SUM(D79:E79-F79)</f>
        <v>850872</v>
      </c>
      <c r="H79" s="19">
        <v>10826516</v>
      </c>
    </row>
    <row r="80" spans="1:8" x14ac:dyDescent="0.35">
      <c r="A80" t="s">
        <v>121</v>
      </c>
      <c r="B80" t="s">
        <v>25</v>
      </c>
      <c r="C80" t="s">
        <v>166</v>
      </c>
      <c r="D80">
        <v>62205651</v>
      </c>
      <c r="E80">
        <v>12000976</v>
      </c>
      <c r="F80">
        <v>3085031</v>
      </c>
      <c r="G80" s="12" cm="1">
        <f t="array" ref="G80">SUM(D80:E80-F80)</f>
        <v>68036565</v>
      </c>
      <c r="H80" s="19">
        <v>50261455</v>
      </c>
    </row>
    <row r="81" spans="1:8" x14ac:dyDescent="0.35">
      <c r="A81" t="s">
        <v>122</v>
      </c>
      <c r="B81" t="s">
        <v>26</v>
      </c>
      <c r="C81" t="s">
        <v>166</v>
      </c>
      <c r="D81">
        <v>67306260</v>
      </c>
      <c r="E81">
        <v>7147655</v>
      </c>
      <c r="F81">
        <v>6704430</v>
      </c>
      <c r="G81" s="12" cm="1">
        <f t="array" ref="G81">SUM(D81:E81-F81)</f>
        <v>61045055</v>
      </c>
      <c r="H81" s="19">
        <v>37519099</v>
      </c>
    </row>
    <row r="82" spans="1:8" x14ac:dyDescent="0.35">
      <c r="A82" t="s">
        <v>123</v>
      </c>
      <c r="B82" t="s">
        <v>28</v>
      </c>
      <c r="C82" t="s">
        <v>166</v>
      </c>
      <c r="D82">
        <v>26106263</v>
      </c>
      <c r="E82">
        <v>6704448</v>
      </c>
      <c r="F82">
        <v>1870466</v>
      </c>
      <c r="G82" s="12" cm="1">
        <f t="array" ref="G82">SUM(D82:E82-F82)</f>
        <v>29069779</v>
      </c>
      <c r="H82" s="19">
        <v>25977732</v>
      </c>
    </row>
    <row r="83" spans="1:8" x14ac:dyDescent="0.35">
      <c r="A83" t="s">
        <v>124</v>
      </c>
      <c r="B83" t="s">
        <v>27</v>
      </c>
      <c r="C83" t="s">
        <v>166</v>
      </c>
      <c r="D83">
        <v>2092871</v>
      </c>
      <c r="E83">
        <v>719639</v>
      </c>
      <c r="F83">
        <v>225322</v>
      </c>
      <c r="G83" s="12" cm="1">
        <f t="array" ref="G83">SUM(D83:E83-F83)</f>
        <v>2361866</v>
      </c>
      <c r="H83" s="19">
        <v>10355411</v>
      </c>
    </row>
    <row r="84" spans="1:8" x14ac:dyDescent="0.35">
      <c r="A84" t="s">
        <v>125</v>
      </c>
      <c r="B84" t="s">
        <v>29</v>
      </c>
      <c r="C84" t="s">
        <v>166</v>
      </c>
      <c r="D84">
        <v>2655888</v>
      </c>
      <c r="E84">
        <v>160604</v>
      </c>
      <c r="F84">
        <v>166988</v>
      </c>
      <c r="G84" s="12" cm="1">
        <f t="array" ref="G84">SUM(D84:E84-F84)</f>
        <v>2482516</v>
      </c>
      <c r="H84" s="19">
        <v>2994570</v>
      </c>
    </row>
    <row r="85" spans="1:8" x14ac:dyDescent="0.35">
      <c r="A85" t="s">
        <v>126</v>
      </c>
      <c r="B85" t="s">
        <v>242</v>
      </c>
      <c r="C85" t="s">
        <v>166</v>
      </c>
      <c r="D85">
        <v>37064364</v>
      </c>
      <c r="E85">
        <v>5920413</v>
      </c>
      <c r="F85">
        <v>3743205</v>
      </c>
      <c r="G85" s="12" cm="1">
        <f t="array" ref="G85">SUM(D85:E85-F85)</f>
        <v>35498367</v>
      </c>
      <c r="H85" s="19">
        <v>0</v>
      </c>
    </row>
    <row r="86" spans="1:8" x14ac:dyDescent="0.35">
      <c r="A86" t="s">
        <v>127</v>
      </c>
      <c r="B86" t="s">
        <v>36</v>
      </c>
      <c r="C86" t="s">
        <v>166</v>
      </c>
      <c r="D86">
        <v>1613261</v>
      </c>
      <c r="E86">
        <v>392809</v>
      </c>
      <c r="F86">
        <v>140569</v>
      </c>
      <c r="G86" s="12" cm="1">
        <f t="array" ref="G86">SUM(D86:E86-F86)</f>
        <v>1724932</v>
      </c>
      <c r="H86" s="19">
        <v>4584891</v>
      </c>
    </row>
    <row r="87" spans="1:8" x14ac:dyDescent="0.35">
      <c r="A87" t="s">
        <v>128</v>
      </c>
      <c r="B87" t="s">
        <v>30</v>
      </c>
      <c r="C87" t="s">
        <v>166</v>
      </c>
      <c r="D87">
        <v>3682224</v>
      </c>
      <c r="E87">
        <v>496481</v>
      </c>
      <c r="F87">
        <v>369766</v>
      </c>
      <c r="G87" s="12" cm="1">
        <f t="array" ref="G87">SUM(D87:E87-F87)</f>
        <v>3439173</v>
      </c>
      <c r="H87" s="19">
        <v>4815160</v>
      </c>
    </row>
    <row r="88" spans="1:8" x14ac:dyDescent="0.35">
      <c r="A88" t="s">
        <v>129</v>
      </c>
      <c r="B88" t="s">
        <v>32</v>
      </c>
      <c r="C88" t="s">
        <v>166</v>
      </c>
      <c r="D88">
        <v>1468046</v>
      </c>
      <c r="E88">
        <v>291974</v>
      </c>
      <c r="F88">
        <v>167518</v>
      </c>
      <c r="G88" s="12" cm="1">
        <f t="array" ref="G88">SUM(D88:E88-F88)</f>
        <v>1424984</v>
      </c>
      <c r="H88" s="19">
        <v>875174</v>
      </c>
    </row>
    <row r="89" spans="1:8" x14ac:dyDescent="0.35">
      <c r="A89" t="s">
        <v>130</v>
      </c>
      <c r="B89" t="s">
        <v>33</v>
      </c>
      <c r="C89" t="s">
        <v>166</v>
      </c>
      <c r="D89">
        <v>63663247</v>
      </c>
      <c r="E89">
        <v>16290541</v>
      </c>
      <c r="F89">
        <v>930825</v>
      </c>
      <c r="G89" s="12" cm="1">
        <f t="array" ref="G89">SUM(D89:E89-F89)</f>
        <v>78092138</v>
      </c>
      <c r="H89" s="19">
        <v>22632079</v>
      </c>
    </row>
    <row r="90" spans="1:8" x14ac:dyDescent="0.35">
      <c r="A90" t="s">
        <v>131</v>
      </c>
      <c r="B90" t="s">
        <v>34</v>
      </c>
      <c r="C90" t="s">
        <v>166</v>
      </c>
      <c r="D90">
        <v>9345435</v>
      </c>
      <c r="E90">
        <v>1167463</v>
      </c>
      <c r="F90">
        <v>1156662</v>
      </c>
      <c r="G90" s="12" cm="1">
        <f t="array" ref="G90">SUM(D90:E90-F90)</f>
        <v>8199574</v>
      </c>
      <c r="H90" s="19">
        <v>4270615</v>
      </c>
    </row>
    <row r="91" spans="1:8" x14ac:dyDescent="0.35">
      <c r="A91" t="s">
        <v>132</v>
      </c>
      <c r="B91" t="s">
        <v>31</v>
      </c>
      <c r="C91" t="s">
        <v>166</v>
      </c>
      <c r="D91">
        <v>39506034</v>
      </c>
      <c r="E91">
        <v>8454159</v>
      </c>
      <c r="F91">
        <v>1686196</v>
      </c>
      <c r="G91" s="12" cm="1">
        <f t="array" ref="G91">SUM(D91:E91-F91)</f>
        <v>44587801</v>
      </c>
      <c r="H91" s="19">
        <v>13795616</v>
      </c>
    </row>
    <row r="92" spans="1:8" x14ac:dyDescent="0.35">
      <c r="A92" t="s">
        <v>133</v>
      </c>
      <c r="B92" t="s">
        <v>35</v>
      </c>
      <c r="C92" t="s">
        <v>166</v>
      </c>
      <c r="D92">
        <v>388197270</v>
      </c>
      <c r="E92">
        <v>54589855</v>
      </c>
      <c r="F92">
        <v>14823963</v>
      </c>
      <c r="G92" s="12" cm="1">
        <f t="array" ref="G92">SUM(D92:E92-F92)</f>
        <v>413139199</v>
      </c>
      <c r="H92" s="19">
        <v>62282351</v>
      </c>
    </row>
    <row r="93" spans="1:8" x14ac:dyDescent="0.35">
      <c r="A93" t="s">
        <v>134</v>
      </c>
      <c r="B93" t="s">
        <v>37</v>
      </c>
      <c r="C93" t="s">
        <v>166</v>
      </c>
      <c r="D93">
        <v>83678399</v>
      </c>
      <c r="E93">
        <v>18131020</v>
      </c>
      <c r="F93">
        <v>5196939</v>
      </c>
      <c r="G93" s="12" cm="1">
        <f t="array" ref="G93">SUM(D93:E93-F93)</f>
        <v>91415541</v>
      </c>
      <c r="H93" s="19">
        <v>37821824</v>
      </c>
    </row>
    <row r="94" spans="1:8" x14ac:dyDescent="0.35">
      <c r="A94" t="s">
        <v>135</v>
      </c>
      <c r="B94" t="s">
        <v>38</v>
      </c>
      <c r="C94" t="s">
        <v>166</v>
      </c>
      <c r="D94">
        <v>3400458</v>
      </c>
      <c r="E94">
        <v>1413072</v>
      </c>
      <c r="F94">
        <v>300642</v>
      </c>
      <c r="G94" s="12" cm="1">
        <f t="array" ref="G94">SUM(D94:E94-F94)</f>
        <v>4212246</v>
      </c>
      <c r="H94" s="19">
        <v>19161183</v>
      </c>
    </row>
    <row r="95" spans="1:8" x14ac:dyDescent="0.35">
      <c r="A95" t="s">
        <v>136</v>
      </c>
      <c r="B95" t="s">
        <v>39</v>
      </c>
      <c r="C95" t="s">
        <v>166</v>
      </c>
      <c r="D95">
        <v>41146778</v>
      </c>
      <c r="E95">
        <v>4184268</v>
      </c>
      <c r="F95">
        <v>2706587</v>
      </c>
      <c r="G95" s="12" cm="1">
        <f t="array" ref="G95">SUM(D95:E95-F95)</f>
        <v>39917872</v>
      </c>
      <c r="H95" s="19">
        <v>13160147</v>
      </c>
    </row>
    <row r="96" spans="1:8" x14ac:dyDescent="0.35">
      <c r="A96" t="s">
        <v>137</v>
      </c>
      <c r="B96" t="s">
        <v>40</v>
      </c>
      <c r="C96" t="s">
        <v>166</v>
      </c>
      <c r="D96">
        <v>119393321</v>
      </c>
      <c r="E96">
        <v>26180313</v>
      </c>
      <c r="F96">
        <v>6334076</v>
      </c>
      <c r="G96" s="12" cm="1">
        <f t="array" ref="G96">SUM(D96:E96-F96)</f>
        <v>132905482</v>
      </c>
      <c r="H96" s="19">
        <v>44238102</v>
      </c>
    </row>
    <row r="97" spans="1:8" x14ac:dyDescent="0.35">
      <c r="A97" t="s">
        <v>138</v>
      </c>
      <c r="B97" t="s">
        <v>40</v>
      </c>
      <c r="C97" t="s">
        <v>166</v>
      </c>
      <c r="D97">
        <v>3436220</v>
      </c>
      <c r="E97">
        <v>365750</v>
      </c>
      <c r="F97">
        <v>170334</v>
      </c>
      <c r="G97" s="12" cm="1">
        <f t="array" ref="G97">SUM(D97:E97-F97)</f>
        <v>3461302</v>
      </c>
      <c r="H97" s="19">
        <v>44238102</v>
      </c>
    </row>
    <row r="98" spans="1:8" x14ac:dyDescent="0.35">
      <c r="A98" t="s">
        <v>139</v>
      </c>
      <c r="B98" t="s">
        <v>40</v>
      </c>
      <c r="C98" t="s">
        <v>166</v>
      </c>
      <c r="D98">
        <v>8554593</v>
      </c>
      <c r="E98">
        <v>1942403</v>
      </c>
      <c r="F98">
        <v>568487</v>
      </c>
      <c r="G98" s="12" cm="1">
        <f t="array" ref="G98">SUM(D98:E98-F98)</f>
        <v>9360022</v>
      </c>
      <c r="H98" s="19">
        <v>44238102</v>
      </c>
    </row>
    <row r="99" spans="1:8" x14ac:dyDescent="0.35">
      <c r="A99" t="s">
        <v>140</v>
      </c>
      <c r="B99" t="s">
        <v>243</v>
      </c>
      <c r="C99" t="s">
        <v>166</v>
      </c>
      <c r="D99">
        <v>8114577</v>
      </c>
      <c r="E99">
        <v>1339832</v>
      </c>
      <c r="F99">
        <v>1086369</v>
      </c>
      <c r="G99" s="12" cm="1">
        <f t="array" ref="G99">SUM(D99:E99-F99)</f>
        <v>7281671</v>
      </c>
      <c r="H99" s="19">
        <v>0</v>
      </c>
    </row>
    <row r="100" spans="1:8" x14ac:dyDescent="0.35">
      <c r="A100" t="s">
        <v>141</v>
      </c>
      <c r="B100" t="s">
        <v>243</v>
      </c>
      <c r="C100" t="s">
        <v>166</v>
      </c>
      <c r="D100">
        <v>2406424</v>
      </c>
      <c r="E100">
        <v>348511</v>
      </c>
      <c r="F100">
        <v>169911</v>
      </c>
      <c r="G100" s="12" cm="1">
        <f t="array" ref="G100">SUM(D100:E100-F100)</f>
        <v>2415113</v>
      </c>
      <c r="H100" s="19">
        <v>0</v>
      </c>
    </row>
    <row r="101" spans="1:8" x14ac:dyDescent="0.35">
      <c r="A101" t="s">
        <v>142</v>
      </c>
      <c r="B101" t="s">
        <v>43</v>
      </c>
      <c r="C101" t="s">
        <v>166</v>
      </c>
      <c r="D101">
        <v>27462994</v>
      </c>
      <c r="E101">
        <v>5213060</v>
      </c>
      <c r="F101">
        <v>2988266</v>
      </c>
      <c r="G101" s="12" cm="1">
        <f t="array" ref="G101">SUM(D101:E101-F101)</f>
        <v>26699522</v>
      </c>
      <c r="H101" s="19">
        <v>31402928</v>
      </c>
    </row>
    <row r="102" spans="1:8" x14ac:dyDescent="0.35">
      <c r="A102" t="s">
        <v>143</v>
      </c>
      <c r="B102" t="s">
        <v>44</v>
      </c>
      <c r="C102" t="s">
        <v>166</v>
      </c>
      <c r="D102">
        <v>144962815</v>
      </c>
      <c r="E102">
        <v>24338868</v>
      </c>
      <c r="F102">
        <v>9464719</v>
      </c>
      <c r="G102" s="12" cm="1">
        <f t="array" ref="G102">SUM(D102:E102-F102)</f>
        <v>150372245</v>
      </c>
      <c r="H102" s="19">
        <v>75039448</v>
      </c>
    </row>
    <row r="103" spans="1:8" x14ac:dyDescent="0.35">
      <c r="A103" t="s">
        <v>144</v>
      </c>
      <c r="B103" t="s">
        <v>45</v>
      </c>
      <c r="C103" t="s">
        <v>166</v>
      </c>
      <c r="D103">
        <v>11756052</v>
      </c>
      <c r="E103">
        <v>1345746</v>
      </c>
      <c r="F103">
        <v>1032999</v>
      </c>
      <c r="G103" s="12" cm="1">
        <f t="array" ref="G103">SUM(D103:E103-F103)</f>
        <v>11035800</v>
      </c>
      <c r="H103" s="19">
        <v>3319266</v>
      </c>
    </row>
    <row r="104" spans="1:8" x14ac:dyDescent="0.35">
      <c r="A104" t="s">
        <v>145</v>
      </c>
      <c r="B104" t="s">
        <v>47</v>
      </c>
      <c r="C104" t="s">
        <v>166</v>
      </c>
      <c r="D104">
        <v>20389098</v>
      </c>
      <c r="E104">
        <v>1892576</v>
      </c>
      <c r="F104">
        <v>1934533</v>
      </c>
      <c r="G104" s="12" cm="1">
        <f t="array" ref="G104">SUM(D104:E104-F104)</f>
        <v>18412608</v>
      </c>
      <c r="H104" s="19">
        <v>13200660</v>
      </c>
    </row>
    <row r="105" spans="1:8" x14ac:dyDescent="0.35">
      <c r="A105" t="s">
        <v>146</v>
      </c>
      <c r="B105" t="s">
        <v>47</v>
      </c>
      <c r="C105" t="s">
        <v>166</v>
      </c>
      <c r="D105">
        <v>0</v>
      </c>
      <c r="E105">
        <v>0</v>
      </c>
      <c r="F105">
        <v>0</v>
      </c>
      <c r="G105" s="12" cm="1">
        <f t="array" ref="G105">SUM(D105:E105-F105)</f>
        <v>0</v>
      </c>
      <c r="H105" s="19">
        <v>13200660</v>
      </c>
    </row>
    <row r="106" spans="1:8" x14ac:dyDescent="0.35">
      <c r="A106" t="s">
        <v>147</v>
      </c>
      <c r="B106" t="s">
        <v>47</v>
      </c>
      <c r="C106" t="s">
        <v>166</v>
      </c>
      <c r="D106">
        <v>3465276</v>
      </c>
      <c r="E106">
        <v>342555</v>
      </c>
      <c r="F106">
        <v>126578</v>
      </c>
      <c r="G106" s="12" cm="1">
        <f t="array" ref="G106">SUM(D106:E106-F106)</f>
        <v>3554675</v>
      </c>
      <c r="H106" s="19">
        <v>13200660</v>
      </c>
    </row>
    <row r="107" spans="1:8" x14ac:dyDescent="0.35">
      <c r="A107" t="s">
        <v>148</v>
      </c>
      <c r="B107" t="s">
        <v>48</v>
      </c>
      <c r="C107" t="s">
        <v>166</v>
      </c>
      <c r="D107">
        <v>118456407</v>
      </c>
      <c r="E107">
        <v>21608979</v>
      </c>
      <c r="F107">
        <v>5971572</v>
      </c>
      <c r="G107" s="12" cm="1">
        <f t="array" ref="G107">SUM(D107:E107-F107)</f>
        <v>128122242</v>
      </c>
      <c r="H107" s="19">
        <v>28877650</v>
      </c>
    </row>
    <row r="108" spans="1:8" x14ac:dyDescent="0.35">
      <c r="A108" t="s">
        <v>149</v>
      </c>
      <c r="B108" t="s">
        <v>48</v>
      </c>
      <c r="C108" t="s">
        <v>166</v>
      </c>
      <c r="D108">
        <v>16039132</v>
      </c>
      <c r="E108">
        <v>2129870</v>
      </c>
      <c r="F108">
        <v>596282</v>
      </c>
      <c r="G108" s="12" cm="1">
        <f t="array" ref="G108">SUM(D108:E108-F108)</f>
        <v>16976438</v>
      </c>
      <c r="H108" s="19">
        <v>28877650</v>
      </c>
    </row>
    <row r="109" spans="1:8" x14ac:dyDescent="0.35">
      <c r="A109" t="s">
        <v>150</v>
      </c>
      <c r="B109" t="s">
        <v>48</v>
      </c>
      <c r="C109" t="s">
        <v>166</v>
      </c>
      <c r="D109">
        <v>1552005</v>
      </c>
      <c r="E109">
        <v>333346</v>
      </c>
      <c r="F109">
        <v>166092</v>
      </c>
      <c r="G109" s="12" cm="1">
        <f t="array" ref="G109">SUM(D109:E109-F109)</f>
        <v>1553167</v>
      </c>
      <c r="H109" s="19">
        <v>28877650</v>
      </c>
    </row>
    <row r="110" spans="1:8" x14ac:dyDescent="0.35">
      <c r="A110" t="s">
        <v>151</v>
      </c>
      <c r="B110" t="s">
        <v>48</v>
      </c>
      <c r="C110" t="s">
        <v>166</v>
      </c>
      <c r="D110">
        <v>0</v>
      </c>
      <c r="E110">
        <v>0</v>
      </c>
      <c r="F110">
        <v>0</v>
      </c>
      <c r="G110" s="12" cm="1">
        <f t="array" ref="G110">SUM(D110:E110-F110)</f>
        <v>0</v>
      </c>
      <c r="H110" s="19">
        <v>28877650</v>
      </c>
    </row>
    <row r="111" spans="1:8" x14ac:dyDescent="0.35">
      <c r="A111" t="s">
        <v>100</v>
      </c>
      <c r="B111" t="s">
        <v>5</v>
      </c>
      <c r="C111" t="s">
        <v>167</v>
      </c>
      <c r="D111" s="5">
        <v>0</v>
      </c>
      <c r="E111" s="5">
        <v>0</v>
      </c>
      <c r="F111">
        <v>0</v>
      </c>
      <c r="G111" s="12" cm="1">
        <f t="array" ref="G111">SUM(D111:E111-F111)</f>
        <v>0</v>
      </c>
      <c r="H111" s="19">
        <v>686829</v>
      </c>
    </row>
    <row r="112" spans="1:8" x14ac:dyDescent="0.35">
      <c r="A112" t="s">
        <v>101</v>
      </c>
      <c r="B112" t="s">
        <v>7</v>
      </c>
      <c r="C112" t="s">
        <v>167</v>
      </c>
      <c r="D112" s="5">
        <v>60149961</v>
      </c>
      <c r="E112" s="5">
        <v>17414687</v>
      </c>
      <c r="F112">
        <v>7427199</v>
      </c>
      <c r="G112" s="12" cm="1">
        <f t="array" ref="G112">SUM(D112:E112-F112)</f>
        <v>62710250</v>
      </c>
      <c r="H112" s="19">
        <v>17653453</v>
      </c>
    </row>
    <row r="113" spans="1:8" x14ac:dyDescent="0.35">
      <c r="A113" t="s">
        <v>102</v>
      </c>
      <c r="B113" t="s">
        <v>8</v>
      </c>
      <c r="C113" t="s">
        <v>167</v>
      </c>
      <c r="D113" s="5">
        <v>0</v>
      </c>
      <c r="E113" s="5">
        <v>0</v>
      </c>
      <c r="F113">
        <v>0</v>
      </c>
      <c r="G113" s="12" cm="1">
        <f t="array" ref="G113">SUM(D113:E113-F113)</f>
        <v>0</v>
      </c>
      <c r="H113" s="19">
        <v>3275162</v>
      </c>
    </row>
    <row r="114" spans="1:8" x14ac:dyDescent="0.35">
      <c r="A114" t="s">
        <v>103</v>
      </c>
      <c r="B114" t="s">
        <v>9</v>
      </c>
      <c r="C114" t="s">
        <v>167</v>
      </c>
      <c r="D114" s="5">
        <v>4435358</v>
      </c>
      <c r="E114" s="5">
        <v>2505144</v>
      </c>
      <c r="F114">
        <v>471176</v>
      </c>
      <c r="G114" s="12" cm="1">
        <f t="array" ref="G114">SUM(D114:E114-F114)</f>
        <v>5998150</v>
      </c>
      <c r="H114" s="19">
        <v>1302927</v>
      </c>
    </row>
    <row r="115" spans="1:8" x14ac:dyDescent="0.35">
      <c r="A115" t="s">
        <v>106</v>
      </c>
      <c r="B115" t="s">
        <v>12</v>
      </c>
      <c r="C115" t="s">
        <v>167</v>
      </c>
      <c r="D115" s="5">
        <v>1789426</v>
      </c>
      <c r="E115" s="5">
        <v>725404</v>
      </c>
      <c r="F115">
        <v>0</v>
      </c>
      <c r="G115" s="12" cm="1">
        <f t="array" ref="G115">SUM(D115:E115-F115)</f>
        <v>2514830</v>
      </c>
      <c r="H115" s="19">
        <v>1206534</v>
      </c>
    </row>
    <row r="116" spans="1:8" x14ac:dyDescent="0.35">
      <c r="A116" t="s">
        <v>107</v>
      </c>
      <c r="B116" t="s">
        <v>13</v>
      </c>
      <c r="C116" t="s">
        <v>167</v>
      </c>
      <c r="D116" s="5">
        <v>13546046</v>
      </c>
      <c r="E116" s="5">
        <v>5639561</v>
      </c>
      <c r="F116">
        <v>2034808</v>
      </c>
      <c r="G116" s="12" cm="1">
        <f t="array" ref="G116">SUM(D116:E116-F116)</f>
        <v>15115991</v>
      </c>
      <c r="H116" s="19">
        <v>3708274</v>
      </c>
    </row>
    <row r="117" spans="1:8" x14ac:dyDescent="0.35">
      <c r="A117" t="s">
        <v>110</v>
      </c>
      <c r="B117" t="s">
        <v>14</v>
      </c>
      <c r="C117" t="s">
        <v>167</v>
      </c>
      <c r="D117" s="5">
        <v>1076325</v>
      </c>
      <c r="E117" s="5">
        <v>245231</v>
      </c>
      <c r="F117">
        <v>0</v>
      </c>
      <c r="G117" s="12" cm="1">
        <f t="array" ref="G117">SUM(D117:E117-F117)</f>
        <v>1321556</v>
      </c>
      <c r="H117" s="19">
        <v>1888935</v>
      </c>
    </row>
    <row r="118" spans="1:8" x14ac:dyDescent="0.35">
      <c r="A118" t="s">
        <v>113</v>
      </c>
      <c r="B118" t="s">
        <v>16</v>
      </c>
      <c r="C118" t="s">
        <v>167</v>
      </c>
      <c r="D118" s="5">
        <v>410731</v>
      </c>
      <c r="E118" s="5">
        <v>125070</v>
      </c>
      <c r="F118">
        <v>99424</v>
      </c>
      <c r="G118" s="12" cm="1">
        <f t="array" ref="G118">SUM(D118:E118-F118)</f>
        <v>336953</v>
      </c>
      <c r="H118" s="19">
        <v>316684</v>
      </c>
    </row>
    <row r="119" spans="1:8" x14ac:dyDescent="0.35">
      <c r="A119" t="s">
        <v>114</v>
      </c>
      <c r="B119" t="s">
        <v>17</v>
      </c>
      <c r="C119" t="s">
        <v>167</v>
      </c>
      <c r="D119" s="5">
        <v>264810</v>
      </c>
      <c r="E119" s="5">
        <v>100517</v>
      </c>
      <c r="F119">
        <v>0</v>
      </c>
      <c r="G119" s="12" cm="1">
        <f t="array" ref="G119">SUM(D119:E119-F119)</f>
        <v>365327</v>
      </c>
      <c r="H119" s="19">
        <v>450990</v>
      </c>
    </row>
    <row r="120" spans="1:8" x14ac:dyDescent="0.35">
      <c r="A120" t="s">
        <v>115</v>
      </c>
      <c r="B120" t="s">
        <v>19</v>
      </c>
      <c r="C120" t="s">
        <v>167</v>
      </c>
      <c r="D120" s="5">
        <v>1284352</v>
      </c>
      <c r="E120" s="5">
        <v>164716</v>
      </c>
      <c r="F120">
        <v>196822</v>
      </c>
      <c r="G120" s="12" cm="1">
        <f t="array" ref="G120">SUM(D120:E120-F120)</f>
        <v>1055424</v>
      </c>
      <c r="H120" s="19">
        <v>366540</v>
      </c>
    </row>
    <row r="121" spans="1:8" x14ac:dyDescent="0.35">
      <c r="A121" t="s">
        <v>118</v>
      </c>
      <c r="B121" t="s">
        <v>24</v>
      </c>
      <c r="C121" t="s">
        <v>167</v>
      </c>
      <c r="D121" s="5">
        <v>368174</v>
      </c>
      <c r="E121" s="5">
        <v>42056</v>
      </c>
      <c r="F121">
        <v>0</v>
      </c>
      <c r="G121" s="12" cm="1">
        <f t="array" ref="G121">SUM(D121:E121-F121)</f>
        <v>410230</v>
      </c>
      <c r="H121" s="19">
        <v>3104521</v>
      </c>
    </row>
    <row r="122" spans="1:8" x14ac:dyDescent="0.35">
      <c r="A122" t="s">
        <v>119</v>
      </c>
      <c r="B122" t="s">
        <v>23</v>
      </c>
      <c r="C122" t="s">
        <v>167</v>
      </c>
      <c r="D122" s="5">
        <v>31048995</v>
      </c>
      <c r="E122" s="5">
        <v>14063831</v>
      </c>
      <c r="F122">
        <v>7386881</v>
      </c>
      <c r="G122" s="12" cm="1">
        <f t="array" ref="G122">SUM(D122:E122-F122)</f>
        <v>30339064</v>
      </c>
      <c r="H122" s="19">
        <v>6636014</v>
      </c>
    </row>
    <row r="123" spans="1:8" x14ac:dyDescent="0.35">
      <c r="A123" t="s">
        <v>120</v>
      </c>
      <c r="B123" t="s">
        <v>22</v>
      </c>
      <c r="C123" t="s">
        <v>167</v>
      </c>
      <c r="D123" s="5">
        <v>225262</v>
      </c>
      <c r="E123" s="5">
        <v>23502</v>
      </c>
      <c r="F123">
        <v>24734</v>
      </c>
      <c r="G123" s="12" cm="1">
        <f t="array" ref="G123">SUM(D123:E123-F123)</f>
        <v>199296</v>
      </c>
      <c r="H123" s="19">
        <v>265210</v>
      </c>
    </row>
    <row r="124" spans="1:8" x14ac:dyDescent="0.35">
      <c r="A124" t="s">
        <v>121</v>
      </c>
      <c r="B124" t="s">
        <v>25</v>
      </c>
      <c r="C124" t="s">
        <v>167</v>
      </c>
      <c r="D124" s="5">
        <v>1026197</v>
      </c>
      <c r="E124" s="5">
        <v>273902</v>
      </c>
      <c r="F124">
        <v>72514</v>
      </c>
      <c r="G124" s="12" cm="1">
        <f t="array" ref="G124">SUM(D124:E124-F124)</f>
        <v>1155071</v>
      </c>
      <c r="H124" s="19">
        <v>432546</v>
      </c>
    </row>
    <row r="125" spans="1:8" x14ac:dyDescent="0.35">
      <c r="A125" t="s">
        <v>122</v>
      </c>
      <c r="B125" t="s">
        <v>26</v>
      </c>
      <c r="C125" t="s">
        <v>167</v>
      </c>
      <c r="D125" s="5">
        <v>628802</v>
      </c>
      <c r="E125" s="5">
        <v>113527</v>
      </c>
      <c r="F125">
        <v>61372</v>
      </c>
      <c r="G125" s="12" cm="1">
        <f t="array" ref="G125">SUM(D125:E125-F125)</f>
        <v>619585</v>
      </c>
      <c r="H125" s="19">
        <v>217003</v>
      </c>
    </row>
    <row r="126" spans="1:8" x14ac:dyDescent="0.35">
      <c r="A126" t="s">
        <v>125</v>
      </c>
      <c r="B126" t="s">
        <v>29</v>
      </c>
      <c r="C126" t="s">
        <v>167</v>
      </c>
      <c r="D126" s="5">
        <v>0</v>
      </c>
      <c r="E126" s="5">
        <v>0</v>
      </c>
      <c r="F126">
        <v>0</v>
      </c>
      <c r="G126" s="12" cm="1">
        <f t="array" ref="G126">SUM(D126:E126-F126)</f>
        <v>0</v>
      </c>
      <c r="H126" s="19">
        <v>145031</v>
      </c>
    </row>
    <row r="127" spans="1:8" x14ac:dyDescent="0.35">
      <c r="A127" t="s">
        <v>126</v>
      </c>
      <c r="B127" t="s">
        <v>242</v>
      </c>
      <c r="C127" t="s">
        <v>167</v>
      </c>
      <c r="D127" s="5">
        <v>9966260</v>
      </c>
      <c r="E127" s="5">
        <v>3317087</v>
      </c>
      <c r="F127">
        <v>1340705</v>
      </c>
      <c r="G127" s="12" cm="1">
        <f t="array" ref="G127">SUM(D127:E127-F127)</f>
        <v>10601937</v>
      </c>
      <c r="H127" s="19">
        <v>0</v>
      </c>
    </row>
    <row r="128" spans="1:8" x14ac:dyDescent="0.35">
      <c r="A128" t="s">
        <v>129</v>
      </c>
      <c r="B128" t="s">
        <v>32</v>
      </c>
      <c r="C128" t="s">
        <v>167</v>
      </c>
      <c r="D128" s="5">
        <v>0</v>
      </c>
      <c r="E128" s="5">
        <v>0</v>
      </c>
      <c r="F128">
        <v>0</v>
      </c>
      <c r="G128" s="12" cm="1">
        <f t="array" ref="G128">SUM(D128:E128-F128)</f>
        <v>0</v>
      </c>
      <c r="H128" s="19">
        <v>3969821</v>
      </c>
    </row>
    <row r="129" spans="1:8" x14ac:dyDescent="0.35">
      <c r="A129" t="s">
        <v>130</v>
      </c>
      <c r="B129" t="s">
        <v>33</v>
      </c>
      <c r="C129" t="s">
        <v>167</v>
      </c>
      <c r="D129" s="5">
        <v>108440163</v>
      </c>
      <c r="E129" s="5">
        <v>24144943</v>
      </c>
      <c r="F129">
        <v>16939917</v>
      </c>
      <c r="G129" s="12" cm="1">
        <f t="array" ref="G129">SUM(D129:E129-F129)</f>
        <v>98705272</v>
      </c>
      <c r="H129" s="19">
        <v>30328896</v>
      </c>
    </row>
    <row r="130" spans="1:8" x14ac:dyDescent="0.35">
      <c r="A130" t="s">
        <v>131</v>
      </c>
      <c r="B130" t="s">
        <v>34</v>
      </c>
      <c r="C130" t="s">
        <v>167</v>
      </c>
      <c r="D130" s="5">
        <v>844707</v>
      </c>
      <c r="E130" s="5">
        <v>179549</v>
      </c>
      <c r="F130">
        <v>18721</v>
      </c>
      <c r="G130" s="12" cm="1">
        <f t="array" ref="G130">SUM(D130:E130-F130)</f>
        <v>986814</v>
      </c>
      <c r="H130" s="19">
        <v>331362</v>
      </c>
    </row>
    <row r="131" spans="1:8" x14ac:dyDescent="0.35">
      <c r="A131" t="s">
        <v>132</v>
      </c>
      <c r="B131" t="s">
        <v>31</v>
      </c>
      <c r="C131" t="s">
        <v>167</v>
      </c>
      <c r="D131" s="5">
        <v>1201881</v>
      </c>
      <c r="E131" s="5">
        <v>440020</v>
      </c>
      <c r="F131">
        <v>137259</v>
      </c>
      <c r="G131" s="12" cm="1">
        <f t="array" ref="G131">SUM(D131:E131-F131)</f>
        <v>1367383</v>
      </c>
      <c r="H131" s="19">
        <v>410090</v>
      </c>
    </row>
    <row r="132" spans="1:8" x14ac:dyDescent="0.35">
      <c r="A132" t="s">
        <v>133</v>
      </c>
      <c r="B132" t="s">
        <v>35</v>
      </c>
      <c r="C132" t="s">
        <v>167</v>
      </c>
      <c r="D132" s="5">
        <v>179164154</v>
      </c>
      <c r="E132" s="5">
        <v>53807954</v>
      </c>
      <c r="F132">
        <v>10006873</v>
      </c>
      <c r="G132" s="12" cm="1">
        <f t="array" ref="G132">SUM(D132:E132-F132)</f>
        <v>212958362</v>
      </c>
      <c r="H132" s="19">
        <v>18162255</v>
      </c>
    </row>
    <row r="133" spans="1:8" x14ac:dyDescent="0.35">
      <c r="A133" t="s">
        <v>134</v>
      </c>
      <c r="B133" t="s">
        <v>37</v>
      </c>
      <c r="C133" t="s">
        <v>167</v>
      </c>
      <c r="D133" s="5">
        <v>1332120</v>
      </c>
      <c r="E133" s="5">
        <v>281742</v>
      </c>
      <c r="F133">
        <v>232971</v>
      </c>
      <c r="G133" s="12" cm="1">
        <f t="array" ref="G133">SUM(D133:E133-F133)</f>
        <v>1147920</v>
      </c>
      <c r="H133" s="19">
        <v>515002</v>
      </c>
    </row>
    <row r="134" spans="1:8" x14ac:dyDescent="0.35">
      <c r="A134" t="s">
        <v>135</v>
      </c>
      <c r="B134" t="s">
        <v>38</v>
      </c>
      <c r="C134" t="s">
        <v>167</v>
      </c>
      <c r="D134" s="5">
        <v>0</v>
      </c>
      <c r="E134" s="5">
        <v>0</v>
      </c>
      <c r="F134">
        <v>0</v>
      </c>
      <c r="G134" s="12" cm="1">
        <f t="array" ref="G134">SUM(D134:E134-F134)</f>
        <v>0</v>
      </c>
      <c r="H134" s="19">
        <v>92708</v>
      </c>
    </row>
    <row r="135" spans="1:8" x14ac:dyDescent="0.35">
      <c r="A135" t="s">
        <v>136</v>
      </c>
      <c r="B135" t="s">
        <v>39</v>
      </c>
      <c r="C135" t="s">
        <v>167</v>
      </c>
      <c r="D135" s="5">
        <v>1053538</v>
      </c>
      <c r="E135" s="5">
        <v>113907</v>
      </c>
      <c r="F135">
        <v>126547</v>
      </c>
      <c r="G135" s="12" cm="1">
        <f t="array" ref="G135">SUM(D135:E135-F135)</f>
        <v>914351</v>
      </c>
      <c r="H135" s="19">
        <v>3750422</v>
      </c>
    </row>
    <row r="136" spans="1:8" x14ac:dyDescent="0.35">
      <c r="A136" t="s">
        <v>137</v>
      </c>
      <c r="B136" t="s">
        <v>40</v>
      </c>
      <c r="C136" t="s">
        <v>167</v>
      </c>
      <c r="D136" s="5">
        <v>13565218</v>
      </c>
      <c r="E136" s="5">
        <v>3338342</v>
      </c>
      <c r="F136">
        <v>1721228</v>
      </c>
      <c r="G136" s="12" cm="1">
        <f t="array" ref="G136">SUM(D136:E136-F136)</f>
        <v>13461104</v>
      </c>
      <c r="H136" s="19">
        <v>4926331</v>
      </c>
    </row>
    <row r="137" spans="1:8" x14ac:dyDescent="0.35">
      <c r="A137" t="s">
        <v>140</v>
      </c>
      <c r="B137" t="s">
        <v>243</v>
      </c>
      <c r="C137" t="s">
        <v>167</v>
      </c>
      <c r="D137" s="5">
        <v>674193</v>
      </c>
      <c r="E137" s="5">
        <v>247454</v>
      </c>
      <c r="F137">
        <v>150618</v>
      </c>
      <c r="G137" s="12" cm="1">
        <f t="array" ref="G137">SUM(D137:E137-F137)</f>
        <v>620411</v>
      </c>
      <c r="H137" s="19">
        <v>0</v>
      </c>
    </row>
    <row r="138" spans="1:8" x14ac:dyDescent="0.35">
      <c r="A138" t="s">
        <v>142</v>
      </c>
      <c r="B138" t="s">
        <v>43</v>
      </c>
      <c r="C138" t="s">
        <v>167</v>
      </c>
      <c r="D138" s="5">
        <v>1391511</v>
      </c>
      <c r="E138" s="5">
        <v>355541</v>
      </c>
      <c r="F138">
        <v>0</v>
      </c>
      <c r="G138" s="12" cm="1">
        <f t="array" ref="G138">SUM(D138:E138-F138)</f>
        <v>1747052</v>
      </c>
      <c r="H138" s="19">
        <v>326460</v>
      </c>
    </row>
    <row r="139" spans="1:8" x14ac:dyDescent="0.35">
      <c r="A139" t="s">
        <v>143</v>
      </c>
      <c r="B139" t="s">
        <v>44</v>
      </c>
      <c r="C139" t="s">
        <v>167</v>
      </c>
      <c r="D139" s="5">
        <v>41016080</v>
      </c>
      <c r="E139" s="5">
        <v>20059329</v>
      </c>
      <c r="F139">
        <v>6599492</v>
      </c>
      <c r="G139" s="12" cm="1">
        <f t="array" ref="G139">SUM(D139:E139-F139)</f>
        <v>47876425</v>
      </c>
      <c r="H139" s="19">
        <v>14830278</v>
      </c>
    </row>
    <row r="140" spans="1:8" x14ac:dyDescent="0.35">
      <c r="A140" t="s">
        <v>144</v>
      </c>
      <c r="B140" t="s">
        <v>45</v>
      </c>
      <c r="C140" t="s">
        <v>167</v>
      </c>
      <c r="D140" s="5">
        <v>4715456</v>
      </c>
      <c r="E140" s="5">
        <v>1700331</v>
      </c>
      <c r="F140">
        <v>521490</v>
      </c>
      <c r="G140" s="12" cm="1">
        <f t="array" ref="G140">SUM(D140:E140-F140)</f>
        <v>5372807</v>
      </c>
      <c r="H140" s="19">
        <v>904101</v>
      </c>
    </row>
    <row r="141" spans="1:8" x14ac:dyDescent="0.35">
      <c r="A141" t="s">
        <v>145</v>
      </c>
      <c r="B141" t="s">
        <v>47</v>
      </c>
      <c r="C141" t="s">
        <v>167</v>
      </c>
      <c r="D141" s="5">
        <v>20823230</v>
      </c>
      <c r="E141" s="5">
        <v>3684132</v>
      </c>
      <c r="F141">
        <v>3632863</v>
      </c>
      <c r="G141" s="12" cm="1">
        <f t="array" ref="G141">SUM(D141:E141-F141)</f>
        <v>17241636</v>
      </c>
      <c r="H141" s="19">
        <v>4031352</v>
      </c>
    </row>
    <row r="142" spans="1:8" x14ac:dyDescent="0.35">
      <c r="A142" t="s">
        <v>147</v>
      </c>
      <c r="B142" t="s">
        <v>47</v>
      </c>
      <c r="C142" t="s">
        <v>167</v>
      </c>
      <c r="D142" s="5">
        <v>2037616</v>
      </c>
      <c r="E142" s="5">
        <v>779020</v>
      </c>
      <c r="F142">
        <v>411422</v>
      </c>
      <c r="G142" s="12" cm="1">
        <f t="array" ref="G142">SUM(D142:E142-F142)</f>
        <v>1993792</v>
      </c>
      <c r="H142" s="19">
        <v>4031352</v>
      </c>
    </row>
    <row r="143" spans="1:8" x14ac:dyDescent="0.35">
      <c r="A143" t="s">
        <v>148</v>
      </c>
      <c r="B143" t="s">
        <v>48</v>
      </c>
      <c r="C143" t="s">
        <v>167</v>
      </c>
      <c r="D143" s="5">
        <v>96836718</v>
      </c>
      <c r="E143" s="5">
        <v>34044189</v>
      </c>
      <c r="F143">
        <v>8136698</v>
      </c>
      <c r="G143" s="12" cm="1">
        <f t="array" ref="G143">SUM(D143:E143-F143)</f>
        <v>114607511</v>
      </c>
      <c r="H143" s="19">
        <v>15447471</v>
      </c>
    </row>
    <row r="144" spans="1:8" x14ac:dyDescent="0.35">
      <c r="A144" t="s">
        <v>149</v>
      </c>
      <c r="B144" t="s">
        <v>48</v>
      </c>
      <c r="C144" t="s">
        <v>167</v>
      </c>
      <c r="D144" s="5">
        <v>3527212</v>
      </c>
      <c r="E144" s="5">
        <v>1055919</v>
      </c>
      <c r="F144">
        <v>0</v>
      </c>
      <c r="G144" s="12" cm="1">
        <f t="array" ref="G144">SUM(D144:E144-F144)</f>
        <v>4583131</v>
      </c>
      <c r="H144" s="19">
        <v>15447471</v>
      </c>
    </row>
    <row r="145" spans="1:8" x14ac:dyDescent="0.35">
      <c r="A145" t="s">
        <v>100</v>
      </c>
      <c r="B145" t="s">
        <v>5</v>
      </c>
      <c r="C145" t="s">
        <v>168</v>
      </c>
      <c r="D145">
        <v>20653826</v>
      </c>
      <c r="E145">
        <v>8235874</v>
      </c>
      <c r="F145">
        <v>268099</v>
      </c>
      <c r="G145" cm="1">
        <f t="array" ref="G145">SUM(D145:E145-F145)</f>
        <v>28353502</v>
      </c>
      <c r="H145" s="19">
        <v>686829</v>
      </c>
    </row>
    <row r="146" spans="1:8" x14ac:dyDescent="0.35">
      <c r="A146" t="s">
        <v>101</v>
      </c>
      <c r="B146" t="s">
        <v>7</v>
      </c>
      <c r="C146" t="s">
        <v>168</v>
      </c>
      <c r="D146">
        <v>438018224</v>
      </c>
      <c r="E146">
        <v>214622772</v>
      </c>
      <c r="F146">
        <v>1023469</v>
      </c>
      <c r="G146" cm="1">
        <f t="array" ref="G146">SUM(D146:E146-F146)</f>
        <v>650594058</v>
      </c>
      <c r="H146" s="19">
        <v>17653453</v>
      </c>
    </row>
    <row r="147" spans="1:8" x14ac:dyDescent="0.35">
      <c r="A147" t="s">
        <v>102</v>
      </c>
      <c r="B147" t="s">
        <v>8</v>
      </c>
      <c r="C147" t="s">
        <v>168</v>
      </c>
      <c r="D147">
        <v>42846566</v>
      </c>
      <c r="E147">
        <v>25238969</v>
      </c>
      <c r="F147">
        <v>210811</v>
      </c>
      <c r="G147" cm="1">
        <f t="array" ref="G147">SUM(D147:E147-F147)</f>
        <v>67663913</v>
      </c>
      <c r="H147" s="19">
        <v>3275162</v>
      </c>
    </row>
    <row r="148" spans="1:8" x14ac:dyDescent="0.35">
      <c r="A148" t="s">
        <v>118</v>
      </c>
      <c r="B148" t="s">
        <v>24</v>
      </c>
      <c r="C148" t="s">
        <v>168</v>
      </c>
      <c r="D148">
        <v>81405278</v>
      </c>
      <c r="E148">
        <v>35460191</v>
      </c>
      <c r="F148">
        <v>22980</v>
      </c>
      <c r="G148" cm="1">
        <f t="array" ref="G148">SUM(D148:E148-F148)</f>
        <v>116819509</v>
      </c>
      <c r="H148" s="19">
        <v>3104521</v>
      </c>
    </row>
    <row r="149" spans="1:8" x14ac:dyDescent="0.35">
      <c r="A149" t="s">
        <v>119</v>
      </c>
      <c r="B149" t="s">
        <v>23</v>
      </c>
      <c r="C149" t="s">
        <v>168</v>
      </c>
      <c r="D149">
        <v>17594503</v>
      </c>
      <c r="E149">
        <v>9832400</v>
      </c>
      <c r="F149">
        <v>53696</v>
      </c>
      <c r="G149" cm="1">
        <f t="array" ref="G149">SUM(D149:E149-F149)</f>
        <v>27319511</v>
      </c>
      <c r="H149" s="19">
        <v>6636014</v>
      </c>
    </row>
    <row r="150" spans="1:8" x14ac:dyDescent="0.35">
      <c r="A150" t="s">
        <v>122</v>
      </c>
      <c r="B150" t="s">
        <v>26</v>
      </c>
      <c r="C150" t="s">
        <v>168</v>
      </c>
      <c r="D150">
        <v>21988451</v>
      </c>
      <c r="E150">
        <v>13153122</v>
      </c>
      <c r="F150">
        <v>181327</v>
      </c>
      <c r="G150" cm="1">
        <f t="array" ref="G150">SUM(D150:E150-F150)</f>
        <v>34778919</v>
      </c>
      <c r="H150" s="19">
        <v>217003</v>
      </c>
    </row>
    <row r="151" spans="1:8" x14ac:dyDescent="0.35">
      <c r="A151" t="s">
        <v>123</v>
      </c>
      <c r="B151" t="s">
        <v>28</v>
      </c>
      <c r="C151" t="s">
        <v>168</v>
      </c>
      <c r="D151">
        <v>30623578</v>
      </c>
      <c r="E151">
        <v>13210644</v>
      </c>
      <c r="F151">
        <v>250643</v>
      </c>
      <c r="G151" cm="1">
        <f t="array" ref="G151">SUM(D151:E151-F151)</f>
        <v>43332936</v>
      </c>
      <c r="H151" s="19">
        <v>0</v>
      </c>
    </row>
    <row r="152" spans="1:8" x14ac:dyDescent="0.35">
      <c r="A152" t="s">
        <v>126</v>
      </c>
      <c r="B152" t="s">
        <v>242</v>
      </c>
      <c r="C152" t="s">
        <v>168</v>
      </c>
      <c r="D152">
        <v>7666031</v>
      </c>
      <c r="E152">
        <v>6282734</v>
      </c>
      <c r="F152">
        <v>121170</v>
      </c>
      <c r="G152" cm="1">
        <f t="array" ref="G152">SUM(D152:E152-F152)</f>
        <v>13706425</v>
      </c>
      <c r="H152" s="19">
        <v>0</v>
      </c>
    </row>
    <row r="153" spans="1:8" x14ac:dyDescent="0.35">
      <c r="A153" t="s">
        <v>130</v>
      </c>
      <c r="B153" t="s">
        <v>33</v>
      </c>
      <c r="C153" t="s">
        <v>168</v>
      </c>
      <c r="D153">
        <v>61582273</v>
      </c>
      <c r="E153">
        <v>16544130</v>
      </c>
      <c r="F153">
        <v>0</v>
      </c>
      <c r="G153" cm="1">
        <f t="array" ref="G153">SUM(D153:E153-F153)</f>
        <v>78126403</v>
      </c>
      <c r="H153" s="19">
        <v>30328896</v>
      </c>
    </row>
    <row r="154" spans="1:8" x14ac:dyDescent="0.35">
      <c r="A154" t="s">
        <v>133</v>
      </c>
      <c r="B154" t="s">
        <v>35</v>
      </c>
      <c r="C154" t="s">
        <v>168</v>
      </c>
      <c r="D154">
        <v>9182679</v>
      </c>
      <c r="E154">
        <v>2712962</v>
      </c>
      <c r="F154">
        <v>58108</v>
      </c>
      <c r="G154" cm="1">
        <f t="array" ref="G154">SUM(D154:E154-F154)</f>
        <v>11779425</v>
      </c>
      <c r="H154" s="19">
        <v>18162255</v>
      </c>
    </row>
    <row r="155" spans="1:8" x14ac:dyDescent="0.35">
      <c r="A155" t="s">
        <v>134</v>
      </c>
      <c r="B155" t="s">
        <v>37</v>
      </c>
      <c r="C155" t="s">
        <v>168</v>
      </c>
      <c r="D155">
        <v>4823617</v>
      </c>
      <c r="E155">
        <v>3517117</v>
      </c>
      <c r="F155">
        <v>29448</v>
      </c>
      <c r="G155" cm="1">
        <f t="array" ref="G155">SUM(D155:E155-F155)</f>
        <v>8281838</v>
      </c>
      <c r="H155" s="19">
        <v>515002</v>
      </c>
    </row>
    <row r="156" spans="1:8" x14ac:dyDescent="0.35">
      <c r="A156" t="s">
        <v>136</v>
      </c>
      <c r="B156" t="s">
        <v>39</v>
      </c>
      <c r="C156" t="s">
        <v>168</v>
      </c>
      <c r="D156">
        <v>58460672</v>
      </c>
      <c r="E156">
        <v>46900553</v>
      </c>
      <c r="F156">
        <v>163617</v>
      </c>
      <c r="G156" cm="1">
        <f t="array" ref="G156">SUM(D156:E156-F156)</f>
        <v>105033991</v>
      </c>
      <c r="H156" s="19">
        <v>3750422</v>
      </c>
    </row>
    <row r="157" spans="1:8" x14ac:dyDescent="0.35">
      <c r="A157" t="s">
        <v>137</v>
      </c>
      <c r="B157" t="s">
        <v>40</v>
      </c>
      <c r="C157" t="s">
        <v>168</v>
      </c>
      <c r="D157">
        <v>20426271</v>
      </c>
      <c r="E157">
        <v>21327514</v>
      </c>
      <c r="F157">
        <v>173516</v>
      </c>
      <c r="G157" cm="1">
        <f t="array" ref="G157">SUM(D157:E157-F157)</f>
        <v>41406753</v>
      </c>
      <c r="H157" s="19">
        <v>4926331</v>
      </c>
    </row>
    <row r="158" spans="1:8" x14ac:dyDescent="0.35">
      <c r="A158" t="s">
        <v>143</v>
      </c>
      <c r="B158" t="s">
        <v>44</v>
      </c>
      <c r="C158" t="s">
        <v>168</v>
      </c>
      <c r="D158">
        <v>109410336</v>
      </c>
      <c r="E158">
        <v>59113975</v>
      </c>
      <c r="F158">
        <v>808699</v>
      </c>
      <c r="G158" cm="1">
        <f t="array" ref="G158">SUM(D158:E158-F158)</f>
        <v>166906913</v>
      </c>
      <c r="H158" s="19">
        <v>14830278</v>
      </c>
    </row>
    <row r="159" spans="1:8" x14ac:dyDescent="0.35">
      <c r="A159" t="s">
        <v>144</v>
      </c>
      <c r="B159" t="s">
        <v>45</v>
      </c>
      <c r="C159" t="s">
        <v>168</v>
      </c>
      <c r="D159">
        <v>24815204</v>
      </c>
      <c r="E159">
        <v>23580341</v>
      </c>
      <c r="F159">
        <v>230614</v>
      </c>
      <c r="G159" cm="1">
        <f t="array" ref="G159">SUM(D159:E159-F159)</f>
        <v>47934317</v>
      </c>
      <c r="H159" s="19">
        <v>904101</v>
      </c>
    </row>
    <row r="160" spans="1:8" x14ac:dyDescent="0.35">
      <c r="A160" t="s">
        <v>145</v>
      </c>
      <c r="B160" t="s">
        <v>47</v>
      </c>
      <c r="C160" t="s">
        <v>168</v>
      </c>
      <c r="D160">
        <v>4503857</v>
      </c>
      <c r="E160">
        <v>2046741</v>
      </c>
      <c r="F160">
        <v>43950</v>
      </c>
      <c r="G160" cm="1">
        <f t="array" ref="G160">SUM(D160:E160-F160)</f>
        <v>6462698</v>
      </c>
      <c r="H160" s="19">
        <v>4031352</v>
      </c>
    </row>
    <row r="161" spans="1:8" x14ac:dyDescent="0.35">
      <c r="A161" t="s">
        <v>148</v>
      </c>
      <c r="B161" t="s">
        <v>48</v>
      </c>
      <c r="C161" t="s">
        <v>168</v>
      </c>
      <c r="D161">
        <v>48710442</v>
      </c>
      <c r="E161">
        <v>15509862</v>
      </c>
      <c r="F161">
        <v>46302</v>
      </c>
      <c r="G161" cm="1">
        <f t="array" ref="G161">SUM(D161:E161-F161)</f>
        <v>64127700</v>
      </c>
      <c r="H161" s="19">
        <v>15447471</v>
      </c>
    </row>
    <row r="162" spans="1:8" x14ac:dyDescent="0.35">
      <c r="A162" t="s">
        <v>101</v>
      </c>
      <c r="B162" t="s">
        <v>7</v>
      </c>
      <c r="C162" t="s">
        <v>169</v>
      </c>
      <c r="D162">
        <v>338318643</v>
      </c>
      <c r="E162">
        <v>151808541</v>
      </c>
      <c r="F162">
        <v>2172900</v>
      </c>
      <c r="G162" cm="1">
        <f t="array" ref="G162">SUM(D162:E162-F162)</f>
        <v>485781384</v>
      </c>
      <c r="H162" s="19">
        <v>17653453</v>
      </c>
    </row>
    <row r="163" spans="1:8" x14ac:dyDescent="0.35">
      <c r="A163" t="s">
        <v>104</v>
      </c>
      <c r="B163" t="s">
        <v>11</v>
      </c>
      <c r="C163" t="s">
        <v>169</v>
      </c>
      <c r="D163">
        <v>368476115</v>
      </c>
      <c r="E163">
        <v>121564662</v>
      </c>
      <c r="F163">
        <v>2101990</v>
      </c>
      <c r="G163" cm="1">
        <f t="array" ref="G163">SUM(D163:E163-F163)</f>
        <v>485836797</v>
      </c>
      <c r="H163" s="19">
        <v>0</v>
      </c>
    </row>
    <row r="164" spans="1:8" x14ac:dyDescent="0.35">
      <c r="A164" t="s">
        <v>106</v>
      </c>
      <c r="B164" t="s">
        <v>12</v>
      </c>
      <c r="C164" t="s">
        <v>169</v>
      </c>
      <c r="D164">
        <v>25312473</v>
      </c>
      <c r="E164">
        <v>29098490</v>
      </c>
      <c r="F164">
        <v>1517588</v>
      </c>
      <c r="G164" cm="1">
        <f t="array" ref="G164">SUM(D164:E164-F164)</f>
        <v>51375787</v>
      </c>
      <c r="H164" s="19">
        <v>1206534</v>
      </c>
    </row>
    <row r="165" spans="1:8" x14ac:dyDescent="0.35">
      <c r="A165" t="s">
        <v>107</v>
      </c>
      <c r="B165" t="s">
        <v>13</v>
      </c>
      <c r="C165" t="s">
        <v>169</v>
      </c>
      <c r="D165">
        <v>74287404</v>
      </c>
      <c r="E165">
        <v>37353460</v>
      </c>
      <c r="F165">
        <v>171367</v>
      </c>
      <c r="G165" cm="1">
        <f t="array" ref="G165">SUM(D165:E165-F165)</f>
        <v>111298130</v>
      </c>
      <c r="H165" s="19">
        <v>3708274</v>
      </c>
    </row>
    <row r="166" spans="1:8" x14ac:dyDescent="0.35">
      <c r="A166" t="s">
        <v>110</v>
      </c>
      <c r="B166" t="s">
        <v>14</v>
      </c>
      <c r="C166" t="s">
        <v>169</v>
      </c>
      <c r="D166">
        <v>0</v>
      </c>
      <c r="E166">
        <v>0</v>
      </c>
      <c r="F166">
        <v>0</v>
      </c>
      <c r="G166" cm="1">
        <f t="array" ref="G166">SUM(D166:E166-F166)</f>
        <v>0</v>
      </c>
      <c r="H166" s="19">
        <v>1888935</v>
      </c>
    </row>
    <row r="167" spans="1:8" x14ac:dyDescent="0.35">
      <c r="A167" t="s">
        <v>113</v>
      </c>
      <c r="B167" t="s">
        <v>16</v>
      </c>
      <c r="C167" t="s">
        <v>169</v>
      </c>
      <c r="D167">
        <v>301888058</v>
      </c>
      <c r="E167">
        <v>95377768</v>
      </c>
      <c r="F167">
        <v>1335355</v>
      </c>
      <c r="G167" cm="1">
        <f t="array" ref="G167">SUM(D167:E167-F167)</f>
        <v>394595116</v>
      </c>
      <c r="H167" s="19">
        <v>316684</v>
      </c>
    </row>
    <row r="168" spans="1:8" x14ac:dyDescent="0.35">
      <c r="A168" t="s">
        <v>118</v>
      </c>
      <c r="B168" t="s">
        <v>24</v>
      </c>
      <c r="C168" t="s">
        <v>169</v>
      </c>
      <c r="D168">
        <v>100084532</v>
      </c>
      <c r="E168">
        <v>61823126</v>
      </c>
      <c r="F168">
        <v>51262</v>
      </c>
      <c r="G168" cm="1">
        <f t="array" ref="G168">SUM(D168:E168-F168)</f>
        <v>161805134</v>
      </c>
      <c r="H168" s="19">
        <v>3104521</v>
      </c>
    </row>
    <row r="169" spans="1:8" x14ac:dyDescent="0.35">
      <c r="A169" t="s">
        <v>119</v>
      </c>
      <c r="B169" t="s">
        <v>23</v>
      </c>
      <c r="C169" t="s">
        <v>169</v>
      </c>
      <c r="D169">
        <v>25216283</v>
      </c>
      <c r="E169">
        <v>11559887</v>
      </c>
      <c r="F169">
        <v>142670</v>
      </c>
      <c r="G169" cm="1">
        <f t="array" ref="G169">SUM(D169:E169-F169)</f>
        <v>36490830</v>
      </c>
      <c r="H169" s="19">
        <v>6636014</v>
      </c>
    </row>
    <row r="170" spans="1:8" x14ac:dyDescent="0.35">
      <c r="A170" t="s">
        <v>130</v>
      </c>
      <c r="B170" t="s">
        <v>33</v>
      </c>
      <c r="C170" t="s">
        <v>169</v>
      </c>
      <c r="D170">
        <v>171235557</v>
      </c>
      <c r="E170">
        <v>61019853</v>
      </c>
      <c r="F170">
        <v>104950</v>
      </c>
      <c r="G170" cm="1">
        <f t="array" ref="G170">SUM(D170:E170-F170)</f>
        <v>232045510</v>
      </c>
      <c r="H170" s="19">
        <v>30328896</v>
      </c>
    </row>
    <row r="171" spans="1:8" x14ac:dyDescent="0.35">
      <c r="A171" t="s">
        <v>133</v>
      </c>
      <c r="B171" t="s">
        <v>35</v>
      </c>
      <c r="C171" t="s">
        <v>169</v>
      </c>
      <c r="D171">
        <v>1594968581</v>
      </c>
      <c r="E171">
        <v>939325656</v>
      </c>
      <c r="F171">
        <v>6190641</v>
      </c>
      <c r="G171" cm="1">
        <f t="array" ref="G171">SUM(D171:E171-F171)</f>
        <v>2521912955</v>
      </c>
      <c r="H171" s="19">
        <v>18162255</v>
      </c>
    </row>
    <row r="172" spans="1:8" x14ac:dyDescent="0.35">
      <c r="A172" t="s">
        <v>134</v>
      </c>
      <c r="B172" t="s">
        <v>37</v>
      </c>
      <c r="C172" t="s">
        <v>169</v>
      </c>
      <c r="D172">
        <v>11019019</v>
      </c>
      <c r="E172">
        <v>12381855</v>
      </c>
      <c r="F172">
        <v>103660</v>
      </c>
      <c r="G172" cm="1">
        <f t="array" ref="G172">SUM(D172:E172-F172)</f>
        <v>23193554</v>
      </c>
      <c r="H172" s="19">
        <v>515002</v>
      </c>
    </row>
    <row r="173" spans="1:8" x14ac:dyDescent="0.35">
      <c r="A173" t="s">
        <v>137</v>
      </c>
      <c r="B173" t="s">
        <v>40</v>
      </c>
      <c r="C173" t="s">
        <v>169</v>
      </c>
      <c r="D173">
        <v>90072407</v>
      </c>
      <c r="E173">
        <v>44917116</v>
      </c>
      <c r="F173">
        <v>379616</v>
      </c>
      <c r="G173" cm="1">
        <f t="array" ref="G173">SUM(D173:E173-F173)</f>
        <v>134230291</v>
      </c>
      <c r="H173" s="19">
        <v>4926331</v>
      </c>
    </row>
    <row r="174" spans="1:8" x14ac:dyDescent="0.35">
      <c r="A174" t="s">
        <v>138</v>
      </c>
      <c r="B174" t="s">
        <v>40</v>
      </c>
      <c r="C174" t="s">
        <v>169</v>
      </c>
      <c r="D174">
        <v>29076727</v>
      </c>
      <c r="E174">
        <v>25201678</v>
      </c>
      <c r="F174">
        <v>0</v>
      </c>
      <c r="G174" cm="1">
        <f t="array" ref="G174">SUM(D174:E174-F174)</f>
        <v>54278405</v>
      </c>
      <c r="H174" s="19">
        <v>4926331</v>
      </c>
    </row>
    <row r="175" spans="1:8" x14ac:dyDescent="0.35">
      <c r="A175" t="s">
        <v>101</v>
      </c>
      <c r="B175" t="s">
        <v>7</v>
      </c>
      <c r="C175" t="s">
        <v>170</v>
      </c>
      <c r="D175">
        <v>162471212</v>
      </c>
      <c r="E175">
        <v>78005584</v>
      </c>
      <c r="F175">
        <v>37363916</v>
      </c>
      <c r="G175" cm="1">
        <f t="array" ref="G175">SUM(D175:E175-F175)</f>
        <v>165748964</v>
      </c>
      <c r="H175" s="19">
        <v>17653453</v>
      </c>
    </row>
    <row r="176" spans="1:8" x14ac:dyDescent="0.35">
      <c r="A176" t="s">
        <v>102</v>
      </c>
      <c r="B176" t="s">
        <v>8</v>
      </c>
      <c r="C176" t="s">
        <v>170</v>
      </c>
      <c r="D176">
        <v>51073942</v>
      </c>
      <c r="E176">
        <v>10952917</v>
      </c>
      <c r="F176">
        <v>0</v>
      </c>
      <c r="G176" cm="1">
        <f t="array" ref="G176">SUM(D176:E176-F176)</f>
        <v>62026859</v>
      </c>
      <c r="H176" s="19">
        <v>3275162</v>
      </c>
    </row>
    <row r="177" spans="1:8" x14ac:dyDescent="0.35">
      <c r="A177" t="s">
        <v>103</v>
      </c>
      <c r="B177" t="s">
        <v>9</v>
      </c>
      <c r="C177" t="s">
        <v>170</v>
      </c>
      <c r="D177">
        <v>15804043</v>
      </c>
      <c r="E177">
        <v>11627649</v>
      </c>
      <c r="F177">
        <v>0</v>
      </c>
      <c r="G177" cm="1">
        <f t="array" ref="G177">SUM(D177:E177-F177)</f>
        <v>27431692</v>
      </c>
      <c r="H177" s="19">
        <v>1302927</v>
      </c>
    </row>
    <row r="178" spans="1:8" x14ac:dyDescent="0.35">
      <c r="A178" t="s">
        <v>105</v>
      </c>
      <c r="B178" t="s">
        <v>10</v>
      </c>
      <c r="C178" t="s">
        <v>170</v>
      </c>
      <c r="D178">
        <v>0</v>
      </c>
      <c r="E178">
        <v>0</v>
      </c>
      <c r="F178">
        <v>0</v>
      </c>
      <c r="G178" cm="1">
        <f t="array" ref="G178">SUM(D178:E178-F178)</f>
        <v>0</v>
      </c>
      <c r="H178" s="19">
        <v>0</v>
      </c>
    </row>
    <row r="179" spans="1:8" x14ac:dyDescent="0.35">
      <c r="A179" t="s">
        <v>106</v>
      </c>
      <c r="B179" t="s">
        <v>12</v>
      </c>
      <c r="C179" t="s">
        <v>170</v>
      </c>
      <c r="D179">
        <v>47665427</v>
      </c>
      <c r="E179">
        <v>26696213</v>
      </c>
      <c r="F179">
        <v>10059374</v>
      </c>
      <c r="G179" cm="1">
        <f t="array" ref="G179">SUM(D179:E179-F179)</f>
        <v>54242892</v>
      </c>
      <c r="H179" s="19">
        <v>1206534</v>
      </c>
    </row>
    <row r="180" spans="1:8" x14ac:dyDescent="0.35">
      <c r="A180" t="s">
        <v>113</v>
      </c>
      <c r="B180" t="s">
        <v>16</v>
      </c>
      <c r="C180" t="s">
        <v>170</v>
      </c>
      <c r="D180">
        <v>347413556</v>
      </c>
      <c r="E180">
        <v>176918482</v>
      </c>
      <c r="F180">
        <v>61777392</v>
      </c>
      <c r="G180" cm="1">
        <f t="array" ref="G180">SUM(D180:E180-F180)</f>
        <v>400777254</v>
      </c>
      <c r="H180" s="19">
        <v>316684</v>
      </c>
    </row>
    <row r="181" spans="1:8" x14ac:dyDescent="0.35">
      <c r="A181" t="s">
        <v>114</v>
      </c>
      <c r="B181" t="s">
        <v>17</v>
      </c>
      <c r="C181" t="s">
        <v>170</v>
      </c>
      <c r="D181">
        <v>23254128</v>
      </c>
      <c r="E181">
        <v>13170157</v>
      </c>
      <c r="F181">
        <v>282798</v>
      </c>
      <c r="G181" cm="1">
        <f t="array" ref="G181">SUM(D181:E181-F181)</f>
        <v>35858689</v>
      </c>
      <c r="H181" s="19">
        <v>450990</v>
      </c>
    </row>
    <row r="182" spans="1:8" x14ac:dyDescent="0.35">
      <c r="A182" t="s">
        <v>118</v>
      </c>
      <c r="B182" t="s">
        <v>24</v>
      </c>
      <c r="C182" t="s">
        <v>170</v>
      </c>
      <c r="D182">
        <v>190479607</v>
      </c>
      <c r="E182">
        <v>94249591</v>
      </c>
      <c r="F182">
        <v>0</v>
      </c>
      <c r="G182" cm="1">
        <f t="array" ref="G182">SUM(D182:E182-F182)</f>
        <v>284729198</v>
      </c>
      <c r="H182" s="19">
        <v>3104521</v>
      </c>
    </row>
    <row r="183" spans="1:8" x14ac:dyDescent="0.35">
      <c r="A183" t="s">
        <v>119</v>
      </c>
      <c r="B183" t="s">
        <v>23</v>
      </c>
      <c r="C183" t="s">
        <v>170</v>
      </c>
      <c r="D183">
        <v>89460828</v>
      </c>
      <c r="E183">
        <v>32464462</v>
      </c>
      <c r="F183">
        <v>7905943</v>
      </c>
      <c r="G183" cm="1">
        <f t="array" ref="G183">SUM(D183:E183-F183)</f>
        <v>106113404</v>
      </c>
      <c r="H183" s="19">
        <v>6636014</v>
      </c>
    </row>
    <row r="184" spans="1:8" x14ac:dyDescent="0.35">
      <c r="A184" t="s">
        <v>120</v>
      </c>
      <c r="B184" t="s">
        <v>22</v>
      </c>
      <c r="C184" t="s">
        <v>170</v>
      </c>
      <c r="D184">
        <v>11993422</v>
      </c>
      <c r="E184">
        <v>7652354</v>
      </c>
      <c r="F184">
        <v>0</v>
      </c>
      <c r="G184" cm="1">
        <f t="array" ref="G184">SUM(D184:E184-F184)</f>
        <v>19645776</v>
      </c>
      <c r="H184" s="19">
        <v>265210</v>
      </c>
    </row>
    <row r="185" spans="1:8" x14ac:dyDescent="0.35">
      <c r="A185" t="s">
        <v>122</v>
      </c>
      <c r="B185" t="s">
        <v>26</v>
      </c>
      <c r="C185" t="s">
        <v>170</v>
      </c>
      <c r="D185">
        <v>5345792</v>
      </c>
      <c r="E185">
        <v>3672967</v>
      </c>
      <c r="F185">
        <v>1189721</v>
      </c>
      <c r="G185" cm="1">
        <f t="array" ref="G185">SUM(D185:E185-F185)</f>
        <v>6639317</v>
      </c>
      <c r="H185" s="19">
        <v>217003</v>
      </c>
    </row>
    <row r="186" spans="1:8" x14ac:dyDescent="0.35">
      <c r="A186" t="s">
        <v>130</v>
      </c>
      <c r="B186" t="s">
        <v>33</v>
      </c>
      <c r="C186" t="s">
        <v>170</v>
      </c>
      <c r="D186">
        <v>478027218</v>
      </c>
      <c r="E186">
        <v>242969345</v>
      </c>
      <c r="F186">
        <v>23414641</v>
      </c>
      <c r="G186" cm="1">
        <f t="array" ref="G186">SUM(D186:E186-F186)</f>
        <v>674167281</v>
      </c>
      <c r="H186" s="19">
        <v>30328896</v>
      </c>
    </row>
    <row r="187" spans="1:8" x14ac:dyDescent="0.35">
      <c r="A187" t="s">
        <v>131</v>
      </c>
      <c r="B187" t="s">
        <v>34</v>
      </c>
      <c r="C187" t="s">
        <v>170</v>
      </c>
      <c r="D187">
        <v>9917063</v>
      </c>
      <c r="E187">
        <v>4199198</v>
      </c>
      <c r="F187">
        <v>2502368</v>
      </c>
      <c r="G187" cm="1">
        <f t="array" ref="G187">SUM(D187:E187-F187)</f>
        <v>9111525</v>
      </c>
      <c r="H187" s="19">
        <v>331362</v>
      </c>
    </row>
    <row r="188" spans="1:8" x14ac:dyDescent="0.35">
      <c r="A188" t="s">
        <v>133</v>
      </c>
      <c r="B188" t="s">
        <v>35</v>
      </c>
      <c r="C188" t="s">
        <v>170</v>
      </c>
      <c r="D188">
        <v>949949740</v>
      </c>
      <c r="E188">
        <v>803266161</v>
      </c>
      <c r="F188">
        <v>36573827</v>
      </c>
      <c r="G188" cm="1">
        <f t="array" ref="G188">SUM(D188:E188-F188)</f>
        <v>1680068247</v>
      </c>
      <c r="H188" s="19">
        <v>18162255</v>
      </c>
    </row>
    <row r="189" spans="1:8" x14ac:dyDescent="0.35">
      <c r="A189" t="s">
        <v>137</v>
      </c>
      <c r="B189" t="s">
        <v>40</v>
      </c>
      <c r="C189" t="s">
        <v>170</v>
      </c>
      <c r="D189">
        <v>174941419</v>
      </c>
      <c r="E189">
        <v>73380579</v>
      </c>
      <c r="F189">
        <v>482740</v>
      </c>
      <c r="G189" cm="1">
        <f t="array" ref="G189">SUM(D189:E189-F189)</f>
        <v>247356518</v>
      </c>
      <c r="H189" s="19">
        <v>4926331</v>
      </c>
    </row>
    <row r="190" spans="1:8" x14ac:dyDescent="0.35">
      <c r="A190" t="s">
        <v>142</v>
      </c>
      <c r="B190" t="s">
        <v>43</v>
      </c>
      <c r="C190" t="s">
        <v>170</v>
      </c>
      <c r="D190">
        <v>998357</v>
      </c>
      <c r="E190">
        <v>1363940</v>
      </c>
      <c r="F190">
        <v>462389</v>
      </c>
      <c r="G190" cm="1">
        <f t="array" ref="G190">SUM(D190:E190-F190)</f>
        <v>1437519</v>
      </c>
      <c r="H190" s="19">
        <v>326460</v>
      </c>
    </row>
    <row r="191" spans="1:8" x14ac:dyDescent="0.35">
      <c r="A191" t="s">
        <v>143</v>
      </c>
      <c r="B191" t="s">
        <v>44</v>
      </c>
      <c r="C191" t="s">
        <v>170</v>
      </c>
      <c r="D191">
        <v>16192562</v>
      </c>
      <c r="E191">
        <v>6422795</v>
      </c>
      <c r="F191">
        <v>42592</v>
      </c>
      <c r="G191" cm="1">
        <f t="array" ref="G191">SUM(D191:E191-F191)</f>
        <v>22530173</v>
      </c>
      <c r="H191" s="19">
        <v>14830278</v>
      </c>
    </row>
    <row r="192" spans="1:8" x14ac:dyDescent="0.35">
      <c r="A192" t="s">
        <v>144</v>
      </c>
      <c r="B192" t="s">
        <v>45</v>
      </c>
      <c r="C192" t="s">
        <v>170</v>
      </c>
      <c r="D192">
        <v>16284736</v>
      </c>
      <c r="E192">
        <v>11550441</v>
      </c>
      <c r="F192">
        <v>5698785</v>
      </c>
      <c r="G192" cm="1">
        <f t="array" ref="G192">SUM(D192:E192-F192)</f>
        <v>16437607</v>
      </c>
      <c r="H192" s="19">
        <v>904101</v>
      </c>
    </row>
    <row r="193" spans="1:8" x14ac:dyDescent="0.35">
      <c r="A193" t="s">
        <v>145</v>
      </c>
      <c r="B193" t="s">
        <v>47</v>
      </c>
      <c r="C193" t="s">
        <v>170</v>
      </c>
      <c r="D193">
        <v>37562160</v>
      </c>
      <c r="E193">
        <v>12408361</v>
      </c>
      <c r="F193">
        <v>3737506</v>
      </c>
      <c r="G193" cm="1">
        <f t="array" ref="G193">SUM(D193:E193-F193)</f>
        <v>42495509</v>
      </c>
      <c r="H193" s="19">
        <v>4031352</v>
      </c>
    </row>
    <row r="194" spans="1:8" x14ac:dyDescent="0.35">
      <c r="A194" t="s">
        <v>148</v>
      </c>
      <c r="B194" t="s">
        <v>48</v>
      </c>
      <c r="C194" t="s">
        <v>170</v>
      </c>
      <c r="D194">
        <v>18304739</v>
      </c>
      <c r="E194">
        <v>15174291</v>
      </c>
      <c r="F194">
        <v>3247786</v>
      </c>
      <c r="G194" cm="1">
        <f t="array" ref="G194">SUM(D194:E194-F194)</f>
        <v>26983458</v>
      </c>
      <c r="H194" s="19">
        <v>15447471</v>
      </c>
    </row>
    <row r="195" spans="1:8" x14ac:dyDescent="0.35">
      <c r="A195" t="s">
        <v>335</v>
      </c>
      <c r="B195" t="s">
        <v>336</v>
      </c>
      <c r="C195" t="s">
        <v>165</v>
      </c>
      <c r="D195" s="19">
        <f>SUMIF($C$2:$C$194,$C195,D$2:D$194)</f>
        <v>13246007643</v>
      </c>
      <c r="E195" s="19">
        <f>SUMIF($C$2:$C$194,$C195,E$2:E$194)</f>
        <v>4248207983</v>
      </c>
      <c r="F195" s="19">
        <f>SUMIF($C$2:$C$194,$C195,F$2:F$194)</f>
        <v>962587700</v>
      </c>
      <c r="G195" s="5" cm="1">
        <f t="array" ref="G195">SUM(D195:E195-F195)</f>
        <v>15569040226</v>
      </c>
      <c r="H195" s="19">
        <f>SUMIF($C$2:$C$194,$C195,H$2:H$194)</f>
        <v>2471604408</v>
      </c>
    </row>
    <row r="196" spans="1:8" x14ac:dyDescent="0.35">
      <c r="A196" t="s">
        <v>335</v>
      </c>
      <c r="B196" t="s">
        <v>336</v>
      </c>
      <c r="C196" t="s">
        <v>166</v>
      </c>
      <c r="D196" s="19">
        <f t="shared" ref="D196:F200" si="0">SUMIF($C$2:$C$194,$C196,D$2:D$194)</f>
        <v>2494076570</v>
      </c>
      <c r="E196" s="19">
        <f t="shared" si="0"/>
        <v>436723409</v>
      </c>
      <c r="F196" s="19">
        <f t="shared" si="0"/>
        <v>137483092</v>
      </c>
      <c r="G196" s="5" cm="1">
        <f t="array" ref="G196">SUM(D196:E196-F196)</f>
        <v>2655833795</v>
      </c>
      <c r="H196" s="19">
        <f t="shared" ref="H196:H200" si="1">SUMIF($C$2:$C$194,$C196,H$2:H$194)</f>
        <v>1254850087</v>
      </c>
    </row>
    <row r="197" spans="1:8" x14ac:dyDescent="0.35">
      <c r="A197" t="s">
        <v>335</v>
      </c>
      <c r="B197" t="s">
        <v>336</v>
      </c>
      <c r="C197" t="s">
        <v>167</v>
      </c>
      <c r="D197" s="19">
        <f t="shared" si="0"/>
        <v>602844496</v>
      </c>
      <c r="E197" s="19">
        <f t="shared" si="0"/>
        <v>188986607</v>
      </c>
      <c r="F197" s="19">
        <f t="shared" si="0"/>
        <v>67751734</v>
      </c>
      <c r="G197" s="5" cm="1">
        <f t="array" ref="G197">SUM(D197:E197-F197)</f>
        <v>656327635</v>
      </c>
      <c r="H197" s="19">
        <f t="shared" si="1"/>
        <v>159162025</v>
      </c>
    </row>
    <row r="198" spans="1:8" x14ac:dyDescent="0.35">
      <c r="A198" t="s">
        <v>335</v>
      </c>
      <c r="B198" t="s">
        <v>336</v>
      </c>
      <c r="C198" t="s">
        <v>168</v>
      </c>
      <c r="D198" s="19">
        <f t="shared" si="0"/>
        <v>1002711808</v>
      </c>
      <c r="E198" s="19">
        <f t="shared" si="0"/>
        <v>517289901</v>
      </c>
      <c r="F198" s="19">
        <f t="shared" si="0"/>
        <v>3686449</v>
      </c>
      <c r="G198" s="5" cm="1">
        <f t="array" ref="G198">SUM(D198:E198-F198)</f>
        <v>1512628811</v>
      </c>
      <c r="H198" s="19">
        <f t="shared" si="1"/>
        <v>124469090</v>
      </c>
    </row>
    <row r="199" spans="1:8" x14ac:dyDescent="0.35">
      <c r="A199" t="s">
        <v>335</v>
      </c>
      <c r="B199" t="s">
        <v>336</v>
      </c>
      <c r="C199" t="s">
        <v>169</v>
      </c>
      <c r="D199" s="19">
        <f t="shared" si="0"/>
        <v>3129955799</v>
      </c>
      <c r="E199" s="19">
        <f t="shared" si="0"/>
        <v>1591432092</v>
      </c>
      <c r="F199" s="19">
        <f t="shared" si="0"/>
        <v>14271999</v>
      </c>
      <c r="G199" s="5" cm="1">
        <f t="array" ref="G199">SUM(D199:E199-F199)</f>
        <v>4692843893</v>
      </c>
      <c r="H199" s="19">
        <f t="shared" si="1"/>
        <v>93373230</v>
      </c>
    </row>
    <row r="200" spans="1:8" x14ac:dyDescent="0.35">
      <c r="A200" t="s">
        <v>335</v>
      </c>
      <c r="B200" t="s">
        <v>336</v>
      </c>
      <c r="C200" t="s">
        <v>170</v>
      </c>
      <c r="D200" s="19">
        <f t="shared" si="0"/>
        <v>2647139951</v>
      </c>
      <c r="E200" s="19">
        <f t="shared" si="0"/>
        <v>1626145487</v>
      </c>
      <c r="F200" s="19">
        <f t="shared" si="0"/>
        <v>194741778</v>
      </c>
      <c r="G200" s="5" cm="1">
        <f t="array" ref="G200">SUM(D200:E200-F200)</f>
        <v>3883801882</v>
      </c>
      <c r="H200" s="19">
        <f t="shared" si="1"/>
        <v>123717004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61"/>
  <sheetViews>
    <sheetView workbookViewId="0">
      <selection activeCell="E48" sqref="E48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91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242</v>
      </c>
      <c r="B992">
        <v>2021</v>
      </c>
      <c r="C992">
        <v>117734</v>
      </c>
    </row>
    <row r="993" spans="1:3" x14ac:dyDescent="0.35">
      <c r="A993" t="s">
        <v>242</v>
      </c>
      <c r="B993">
        <v>2022</v>
      </c>
      <c r="C993">
        <v>118965.94291047599</v>
      </c>
    </row>
    <row r="994" spans="1:3" x14ac:dyDescent="0.35">
      <c r="A994" t="s">
        <v>242</v>
      </c>
      <c r="B994">
        <v>2023</v>
      </c>
      <c r="C994">
        <v>120197.88582095198</v>
      </c>
    </row>
    <row r="995" spans="1:3" x14ac:dyDescent="0.35">
      <c r="A995" t="s">
        <v>242</v>
      </c>
      <c r="B995">
        <v>2024</v>
      </c>
      <c r="C995">
        <v>121429.82873142799</v>
      </c>
    </row>
    <row r="996" spans="1:3" x14ac:dyDescent="0.35">
      <c r="A996" t="s">
        <v>242</v>
      </c>
      <c r="B996">
        <v>2025</v>
      </c>
      <c r="C996">
        <v>122661.77164190395</v>
      </c>
    </row>
    <row r="997" spans="1:3" x14ac:dyDescent="0.35">
      <c r="A997" t="s">
        <v>242</v>
      </c>
      <c r="B997">
        <v>2026</v>
      </c>
      <c r="C997">
        <v>123893.71455237994</v>
      </c>
    </row>
    <row r="998" spans="1:3" x14ac:dyDescent="0.35">
      <c r="A998" t="s">
        <v>242</v>
      </c>
      <c r="B998">
        <v>2027</v>
      </c>
      <c r="C998">
        <v>125125.65746285593</v>
      </c>
    </row>
    <row r="999" spans="1:3" x14ac:dyDescent="0.35">
      <c r="A999" t="s">
        <v>242</v>
      </c>
      <c r="B999">
        <v>2028</v>
      </c>
      <c r="C999">
        <v>126357.60037333192</v>
      </c>
    </row>
    <row r="1000" spans="1:3" x14ac:dyDescent="0.35">
      <c r="A1000" t="s">
        <v>242</v>
      </c>
      <c r="B1000">
        <v>2029</v>
      </c>
      <c r="C1000">
        <v>127589.54328380793</v>
      </c>
    </row>
    <row r="1001" spans="1:3" x14ac:dyDescent="0.35">
      <c r="A1001" t="s">
        <v>242</v>
      </c>
      <c r="B1001">
        <v>2030</v>
      </c>
      <c r="C1001">
        <v>128821.48619428392</v>
      </c>
    </row>
    <row r="1002" spans="1:3" x14ac:dyDescent="0.35">
      <c r="A1002" t="s">
        <v>242</v>
      </c>
      <c r="B1002">
        <v>2031</v>
      </c>
      <c r="C1002">
        <v>130053.42910475978</v>
      </c>
    </row>
    <row r="1003" spans="1:3" x14ac:dyDescent="0.35">
      <c r="A1003" t="s">
        <v>242</v>
      </c>
      <c r="B1003">
        <v>2032</v>
      </c>
      <c r="C1003">
        <v>131150.86294994285</v>
      </c>
    </row>
    <row r="1004" spans="1:3" x14ac:dyDescent="0.35">
      <c r="A1004" t="s">
        <v>242</v>
      </c>
      <c r="B1004">
        <v>2033</v>
      </c>
      <c r="C1004">
        <v>132248.29679512593</v>
      </c>
    </row>
    <row r="1005" spans="1:3" x14ac:dyDescent="0.35">
      <c r="A1005" t="s">
        <v>242</v>
      </c>
      <c r="B1005">
        <v>2034</v>
      </c>
      <c r="C1005">
        <v>133345.73064030899</v>
      </c>
    </row>
    <row r="1006" spans="1:3" x14ac:dyDescent="0.35">
      <c r="A1006" t="s">
        <v>242</v>
      </c>
      <c r="B1006">
        <v>2035</v>
      </c>
      <c r="C1006">
        <v>134443.16448549205</v>
      </c>
    </row>
    <row r="1007" spans="1:3" x14ac:dyDescent="0.35">
      <c r="A1007" t="s">
        <v>242</v>
      </c>
      <c r="B1007">
        <v>2036</v>
      </c>
      <c r="C1007">
        <v>135540.5983306751</v>
      </c>
    </row>
    <row r="1008" spans="1:3" x14ac:dyDescent="0.35">
      <c r="A1008" t="s">
        <v>242</v>
      </c>
      <c r="B1008">
        <v>2037</v>
      </c>
      <c r="C1008">
        <v>136638.03217585818</v>
      </c>
    </row>
    <row r="1009" spans="1:3" x14ac:dyDescent="0.35">
      <c r="A1009" t="s">
        <v>242</v>
      </c>
      <c r="B1009">
        <v>2038</v>
      </c>
      <c r="C1009">
        <v>137735.46602104124</v>
      </c>
    </row>
    <row r="1010" spans="1:3" x14ac:dyDescent="0.35">
      <c r="A1010" t="s">
        <v>242</v>
      </c>
      <c r="B1010">
        <v>2039</v>
      </c>
      <c r="C1010">
        <v>138832.89986622432</v>
      </c>
    </row>
    <row r="1011" spans="1:3" x14ac:dyDescent="0.35">
      <c r="A1011" t="s">
        <v>242</v>
      </c>
      <c r="B1011">
        <v>2040</v>
      </c>
      <c r="C1011">
        <v>139930.33371140735</v>
      </c>
    </row>
    <row r="1012" spans="1:3" x14ac:dyDescent="0.35">
      <c r="A1012" t="s">
        <v>242</v>
      </c>
      <c r="B1012">
        <v>2041</v>
      </c>
      <c r="C1012">
        <v>141027.76755659049</v>
      </c>
    </row>
    <row r="1013" spans="1:3" x14ac:dyDescent="0.35">
      <c r="A1013" t="s">
        <v>242</v>
      </c>
      <c r="B1013">
        <v>2042</v>
      </c>
      <c r="C1013">
        <v>142217.80649898967</v>
      </c>
    </row>
    <row r="1014" spans="1:3" x14ac:dyDescent="0.35">
      <c r="A1014" t="s">
        <v>242</v>
      </c>
      <c r="B1014">
        <v>2043</v>
      </c>
      <c r="C1014">
        <v>143407.84544138884</v>
      </c>
    </row>
    <row r="1015" spans="1:3" x14ac:dyDescent="0.35">
      <c r="A1015" t="s">
        <v>242</v>
      </c>
      <c r="B1015">
        <v>2044</v>
      </c>
      <c r="C1015">
        <v>144597.88438378801</v>
      </c>
    </row>
    <row r="1016" spans="1:3" x14ac:dyDescent="0.35">
      <c r="A1016" t="s">
        <v>242</v>
      </c>
      <c r="B1016">
        <v>2045</v>
      </c>
      <c r="C1016">
        <v>145787.92332618716</v>
      </c>
    </row>
    <row r="1017" spans="1:3" x14ac:dyDescent="0.35">
      <c r="A1017" t="s">
        <v>242</v>
      </c>
      <c r="B1017">
        <v>2046</v>
      </c>
      <c r="C1017">
        <v>146977.9622685863</v>
      </c>
    </row>
    <row r="1018" spans="1:3" x14ac:dyDescent="0.35">
      <c r="A1018" t="s">
        <v>242</v>
      </c>
      <c r="B1018">
        <v>2047</v>
      </c>
      <c r="C1018">
        <v>148168.00121098547</v>
      </c>
    </row>
    <row r="1019" spans="1:3" x14ac:dyDescent="0.35">
      <c r="A1019" t="s">
        <v>242</v>
      </c>
      <c r="B1019">
        <v>2048</v>
      </c>
      <c r="C1019">
        <v>149358.04015338465</v>
      </c>
    </row>
    <row r="1020" spans="1:3" x14ac:dyDescent="0.35">
      <c r="A1020" t="s">
        <v>242</v>
      </c>
      <c r="B1020">
        <v>2049</v>
      </c>
      <c r="C1020">
        <v>150548.07909578382</v>
      </c>
    </row>
    <row r="1021" spans="1:3" x14ac:dyDescent="0.35">
      <c r="A1021" t="s">
        <v>242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243</v>
      </c>
      <c r="B1202">
        <v>2021</v>
      </c>
      <c r="C1202">
        <v>57492</v>
      </c>
    </row>
    <row r="1203" spans="1:3" x14ac:dyDescent="0.35">
      <c r="A1203" t="s">
        <v>243</v>
      </c>
      <c r="B1203">
        <v>2022</v>
      </c>
      <c r="C1203">
        <v>58165.863726137752</v>
      </c>
    </row>
    <row r="1204" spans="1:3" x14ac:dyDescent="0.35">
      <c r="A1204" t="s">
        <v>243</v>
      </c>
      <c r="B1204">
        <v>2023</v>
      </c>
      <c r="C1204">
        <v>58839.727452275503</v>
      </c>
    </row>
    <row r="1205" spans="1:3" x14ac:dyDescent="0.35">
      <c r="A1205" t="s">
        <v>243</v>
      </c>
      <c r="B1205">
        <v>2024</v>
      </c>
      <c r="C1205">
        <v>59513.591178413255</v>
      </c>
    </row>
    <row r="1206" spans="1:3" x14ac:dyDescent="0.35">
      <c r="A1206" t="s">
        <v>243</v>
      </c>
      <c r="B1206">
        <v>2025</v>
      </c>
      <c r="C1206">
        <v>60187.454904551014</v>
      </c>
    </row>
    <row r="1207" spans="1:3" x14ac:dyDescent="0.35">
      <c r="A1207" t="s">
        <v>243</v>
      </c>
      <c r="B1207">
        <v>2026</v>
      </c>
      <c r="C1207">
        <v>60861.318630688766</v>
      </c>
    </row>
    <row r="1208" spans="1:3" x14ac:dyDescent="0.35">
      <c r="A1208" t="s">
        <v>243</v>
      </c>
      <c r="B1208">
        <v>2027</v>
      </c>
      <c r="C1208">
        <v>61535.182356826517</v>
      </c>
    </row>
    <row r="1209" spans="1:3" x14ac:dyDescent="0.35">
      <c r="A1209" t="s">
        <v>243</v>
      </c>
      <c r="B1209">
        <v>2028</v>
      </c>
      <c r="C1209">
        <v>62209.046082964269</v>
      </c>
    </row>
    <row r="1210" spans="1:3" x14ac:dyDescent="0.35">
      <c r="A1210" t="s">
        <v>243</v>
      </c>
      <c r="B1210">
        <v>2029</v>
      </c>
      <c r="C1210">
        <v>62882.909809102021</v>
      </c>
    </row>
    <row r="1211" spans="1:3" x14ac:dyDescent="0.35">
      <c r="A1211" t="s">
        <v>243</v>
      </c>
      <c r="B1211">
        <v>2030</v>
      </c>
      <c r="C1211">
        <v>63556.773535239772</v>
      </c>
    </row>
    <row r="1212" spans="1:3" x14ac:dyDescent="0.35">
      <c r="A1212" t="s">
        <v>243</v>
      </c>
      <c r="B1212">
        <v>2031</v>
      </c>
      <c r="C1212">
        <v>64230.637261377538</v>
      </c>
    </row>
    <row r="1213" spans="1:3" x14ac:dyDescent="0.35">
      <c r="A1213" t="s">
        <v>243</v>
      </c>
      <c r="B1213">
        <v>2032</v>
      </c>
      <c r="C1213">
        <v>64851.907869280156</v>
      </c>
    </row>
    <row r="1214" spans="1:3" x14ac:dyDescent="0.35">
      <c r="A1214" t="s">
        <v>243</v>
      </c>
      <c r="B1214">
        <v>2033</v>
      </c>
      <c r="C1214">
        <v>65473.178477182781</v>
      </c>
    </row>
    <row r="1215" spans="1:3" x14ac:dyDescent="0.35">
      <c r="A1215" t="s">
        <v>243</v>
      </c>
      <c r="B1215">
        <v>2034</v>
      </c>
      <c r="C1215">
        <v>66094.449085085391</v>
      </c>
    </row>
    <row r="1216" spans="1:3" x14ac:dyDescent="0.35">
      <c r="A1216" t="s">
        <v>243</v>
      </c>
      <c r="B1216">
        <v>2035</v>
      </c>
      <c r="C1216">
        <v>66715.719692988016</v>
      </c>
    </row>
    <row r="1217" spans="1:3" x14ac:dyDescent="0.35">
      <c r="A1217" t="s">
        <v>243</v>
      </c>
      <c r="B1217">
        <v>2036</v>
      </c>
      <c r="C1217">
        <v>67336.990300890626</v>
      </c>
    </row>
    <row r="1218" spans="1:3" x14ac:dyDescent="0.35">
      <c r="A1218" t="s">
        <v>243</v>
      </c>
      <c r="B1218">
        <v>2037</v>
      </c>
      <c r="C1218">
        <v>67958.260908793236</v>
      </c>
    </row>
    <row r="1219" spans="1:3" x14ac:dyDescent="0.35">
      <c r="A1219" t="s">
        <v>243</v>
      </c>
      <c r="B1219">
        <v>2038</v>
      </c>
      <c r="C1219">
        <v>68579.531516695846</v>
      </c>
    </row>
    <row r="1220" spans="1:3" x14ac:dyDescent="0.35">
      <c r="A1220" t="s">
        <v>243</v>
      </c>
      <c r="B1220">
        <v>2039</v>
      </c>
      <c r="C1220">
        <v>69200.802124598471</v>
      </c>
    </row>
    <row r="1221" spans="1:3" x14ac:dyDescent="0.35">
      <c r="A1221" t="s">
        <v>243</v>
      </c>
      <c r="B1221">
        <v>2040</v>
      </c>
      <c r="C1221">
        <v>69822.072732501096</v>
      </c>
    </row>
    <row r="1222" spans="1:3" x14ac:dyDescent="0.35">
      <c r="A1222" t="s">
        <v>243</v>
      </c>
      <c r="B1222">
        <v>2041</v>
      </c>
      <c r="C1222">
        <v>70443.343340403691</v>
      </c>
    </row>
    <row r="1223" spans="1:3" x14ac:dyDescent="0.35">
      <c r="A1223" t="s">
        <v>243</v>
      </c>
      <c r="B1223">
        <v>2042</v>
      </c>
      <c r="C1223">
        <v>71124.706325511448</v>
      </c>
    </row>
    <row r="1224" spans="1:3" x14ac:dyDescent="0.35">
      <c r="A1224" t="s">
        <v>243</v>
      </c>
      <c r="B1224">
        <v>2043</v>
      </c>
      <c r="C1224">
        <v>71806.069310619205</v>
      </c>
    </row>
    <row r="1225" spans="1:3" x14ac:dyDescent="0.35">
      <c r="A1225" t="s">
        <v>243</v>
      </c>
      <c r="B1225">
        <v>2044</v>
      </c>
      <c r="C1225">
        <v>72487.432295726961</v>
      </c>
    </row>
    <row r="1226" spans="1:3" x14ac:dyDescent="0.35">
      <c r="A1226" t="s">
        <v>243</v>
      </c>
      <c r="B1226">
        <v>2045</v>
      </c>
      <c r="C1226">
        <v>73168.795280834689</v>
      </c>
    </row>
    <row r="1227" spans="1:3" x14ac:dyDescent="0.35">
      <c r="A1227" t="s">
        <v>243</v>
      </c>
      <c r="B1227">
        <v>2046</v>
      </c>
      <c r="C1227">
        <v>73850.158265942446</v>
      </c>
    </row>
    <row r="1228" spans="1:3" x14ac:dyDescent="0.35">
      <c r="A1228" t="s">
        <v>243</v>
      </c>
      <c r="B1228">
        <v>2047</v>
      </c>
      <c r="C1228">
        <v>74531.521251050202</v>
      </c>
    </row>
    <row r="1229" spans="1:3" x14ac:dyDescent="0.35">
      <c r="A1229" t="s">
        <v>243</v>
      </c>
      <c r="B1229">
        <v>2048</v>
      </c>
      <c r="C1229">
        <v>75212.884236157945</v>
      </c>
    </row>
    <row r="1230" spans="1:3" x14ac:dyDescent="0.35">
      <c r="A1230" t="s">
        <v>243</v>
      </c>
      <c r="B1230">
        <v>2049</v>
      </c>
      <c r="C1230">
        <v>75894.247221265701</v>
      </c>
    </row>
    <row r="1231" spans="1:3" x14ac:dyDescent="0.35">
      <c r="A1231" t="s">
        <v>243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  <row r="1532" spans="1:3" x14ac:dyDescent="0.35">
      <c r="A1532" t="s">
        <v>336</v>
      </c>
      <c r="B1532">
        <v>2021</v>
      </c>
      <c r="C1532">
        <f>SUMIF($B$1:$B$1531,$B1532,$C$1:$C$1531)</f>
        <v>3140090</v>
      </c>
    </row>
    <row r="1533" spans="1:3" x14ac:dyDescent="0.35">
      <c r="A1533" t="s">
        <v>336</v>
      </c>
      <c r="B1533">
        <v>2022</v>
      </c>
      <c r="C1533">
        <f t="shared" ref="C1533:C1561" si="0">SUMIF($B$1:$B$1531,$B1533,$C$1:$C$1531)</f>
        <v>3164369.3907809621</v>
      </c>
    </row>
    <row r="1534" spans="1:3" x14ac:dyDescent="0.35">
      <c r="A1534" t="s">
        <v>336</v>
      </c>
      <c r="B1534">
        <v>2023</v>
      </c>
      <c r="C1534">
        <f t="shared" si="0"/>
        <v>3188648.7815619218</v>
      </c>
    </row>
    <row r="1535" spans="1:3" x14ac:dyDescent="0.35">
      <c r="A1535" t="s">
        <v>336</v>
      </c>
      <c r="B1535">
        <v>2024</v>
      </c>
      <c r="C1535">
        <f t="shared" si="0"/>
        <v>3212928.1723428858</v>
      </c>
    </row>
    <row r="1536" spans="1:3" x14ac:dyDescent="0.35">
      <c r="A1536" t="s">
        <v>336</v>
      </c>
      <c r="B1536">
        <v>2025</v>
      </c>
      <c r="C1536">
        <f t="shared" si="0"/>
        <v>3237207.5631238469</v>
      </c>
    </row>
    <row r="1537" spans="1:3" x14ac:dyDescent="0.35">
      <c r="A1537" t="s">
        <v>336</v>
      </c>
      <c r="B1537">
        <v>2026</v>
      </c>
      <c r="C1537">
        <f t="shared" si="0"/>
        <v>3261486.9539048085</v>
      </c>
    </row>
    <row r="1538" spans="1:3" x14ac:dyDescent="0.35">
      <c r="A1538" t="s">
        <v>336</v>
      </c>
      <c r="B1538">
        <v>2027</v>
      </c>
      <c r="C1538">
        <f t="shared" si="0"/>
        <v>3285766.3446857701</v>
      </c>
    </row>
    <row r="1539" spans="1:3" x14ac:dyDescent="0.35">
      <c r="A1539" t="s">
        <v>336</v>
      </c>
      <c r="B1539">
        <v>2028</v>
      </c>
      <c r="C1539">
        <f t="shared" si="0"/>
        <v>3310045.7354667317</v>
      </c>
    </row>
    <row r="1540" spans="1:3" x14ac:dyDescent="0.35">
      <c r="A1540" t="s">
        <v>336</v>
      </c>
      <c r="B1540">
        <v>2029</v>
      </c>
      <c r="C1540">
        <f t="shared" si="0"/>
        <v>3334325.1262476938</v>
      </c>
    </row>
    <row r="1541" spans="1:3" x14ac:dyDescent="0.35">
      <c r="A1541" t="s">
        <v>336</v>
      </c>
      <c r="B1541">
        <v>2030</v>
      </c>
      <c r="C1541">
        <f t="shared" si="0"/>
        <v>3358604.5170286549</v>
      </c>
    </row>
    <row r="1542" spans="1:3" x14ac:dyDescent="0.35">
      <c r="A1542" t="s">
        <v>336</v>
      </c>
      <c r="B1542">
        <v>2031</v>
      </c>
      <c r="C1542">
        <f t="shared" si="0"/>
        <v>3382883.9078096175</v>
      </c>
    </row>
    <row r="1543" spans="1:3" x14ac:dyDescent="0.35">
      <c r="A1543" t="s">
        <v>336</v>
      </c>
      <c r="B1543">
        <v>2032</v>
      </c>
      <c r="C1543">
        <f t="shared" si="0"/>
        <v>3403381.9481576658</v>
      </c>
    </row>
    <row r="1544" spans="1:3" x14ac:dyDescent="0.35">
      <c r="A1544" t="s">
        <v>336</v>
      </c>
      <c r="B1544">
        <v>2033</v>
      </c>
      <c r="C1544">
        <f t="shared" si="0"/>
        <v>3423879.9885057146</v>
      </c>
    </row>
    <row r="1545" spans="1:3" x14ac:dyDescent="0.35">
      <c r="A1545" t="s">
        <v>336</v>
      </c>
      <c r="B1545">
        <v>2034</v>
      </c>
      <c r="C1545">
        <f t="shared" si="0"/>
        <v>3444378.0288537624</v>
      </c>
    </row>
    <row r="1546" spans="1:3" x14ac:dyDescent="0.35">
      <c r="A1546" t="s">
        <v>336</v>
      </c>
      <c r="B1546">
        <v>2035</v>
      </c>
      <c r="C1546">
        <f t="shared" si="0"/>
        <v>3464876.0692018117</v>
      </c>
    </row>
    <row r="1547" spans="1:3" x14ac:dyDescent="0.35">
      <c r="A1547" t="s">
        <v>336</v>
      </c>
      <c r="B1547">
        <v>2036</v>
      </c>
      <c r="C1547">
        <f t="shared" si="0"/>
        <v>3485374.1095498591</v>
      </c>
    </row>
    <row r="1548" spans="1:3" x14ac:dyDescent="0.35">
      <c r="A1548" t="s">
        <v>336</v>
      </c>
      <c r="B1548">
        <v>2037</v>
      </c>
      <c r="C1548">
        <f t="shared" si="0"/>
        <v>3505872.1498979069</v>
      </c>
    </row>
    <row r="1549" spans="1:3" x14ac:dyDescent="0.35">
      <c r="A1549" t="s">
        <v>336</v>
      </c>
      <c r="B1549">
        <v>2038</v>
      </c>
      <c r="C1549">
        <f t="shared" si="0"/>
        <v>3526370.1902459553</v>
      </c>
    </row>
    <row r="1550" spans="1:3" x14ac:dyDescent="0.35">
      <c r="A1550" t="s">
        <v>336</v>
      </c>
      <c r="B1550">
        <v>2039</v>
      </c>
      <c r="C1550">
        <f t="shared" si="0"/>
        <v>3546868.2305940031</v>
      </c>
    </row>
    <row r="1551" spans="1:3" x14ac:dyDescent="0.35">
      <c r="A1551" t="s">
        <v>336</v>
      </c>
      <c r="B1551">
        <v>2040</v>
      </c>
      <c r="C1551">
        <f t="shared" si="0"/>
        <v>3567366.2709420524</v>
      </c>
    </row>
    <row r="1552" spans="1:3" x14ac:dyDescent="0.35">
      <c r="A1552" t="s">
        <v>336</v>
      </c>
      <c r="B1552">
        <v>2041</v>
      </c>
      <c r="C1552">
        <f t="shared" si="0"/>
        <v>3587864.3112901007</v>
      </c>
    </row>
    <row r="1553" spans="1:3" x14ac:dyDescent="0.35">
      <c r="A1553" t="s">
        <v>336</v>
      </c>
      <c r="B1553">
        <v>2042</v>
      </c>
      <c r="C1553">
        <f t="shared" si="0"/>
        <v>3610702.773454316</v>
      </c>
    </row>
    <row r="1554" spans="1:3" x14ac:dyDescent="0.35">
      <c r="A1554" t="s">
        <v>336</v>
      </c>
      <c r="B1554">
        <v>2043</v>
      </c>
      <c r="C1554">
        <f t="shared" si="0"/>
        <v>3633541.2356185312</v>
      </c>
    </row>
    <row r="1555" spans="1:3" x14ac:dyDescent="0.35">
      <c r="A1555" t="s">
        <v>336</v>
      </c>
      <c r="B1555">
        <v>2044</v>
      </c>
      <c r="C1555">
        <f t="shared" si="0"/>
        <v>3656379.697782747</v>
      </c>
    </row>
    <row r="1556" spans="1:3" x14ac:dyDescent="0.35">
      <c r="A1556" t="s">
        <v>336</v>
      </c>
      <c r="B1556">
        <v>2045</v>
      </c>
      <c r="C1556">
        <f t="shared" si="0"/>
        <v>3679218.1599469618</v>
      </c>
    </row>
    <row r="1557" spans="1:3" x14ac:dyDescent="0.35">
      <c r="A1557" t="s">
        <v>336</v>
      </c>
      <c r="B1557">
        <v>2046</v>
      </c>
      <c r="C1557">
        <f t="shared" si="0"/>
        <v>3702056.6221111771</v>
      </c>
    </row>
    <row r="1558" spans="1:3" x14ac:dyDescent="0.35">
      <c r="A1558" t="s">
        <v>336</v>
      </c>
      <c r="B1558">
        <v>2047</v>
      </c>
      <c r="C1558">
        <f t="shared" si="0"/>
        <v>3724895.0842753923</v>
      </c>
    </row>
    <row r="1559" spans="1:3" x14ac:dyDescent="0.35">
      <c r="A1559" t="s">
        <v>336</v>
      </c>
      <c r="B1559">
        <v>2048</v>
      </c>
      <c r="C1559">
        <f t="shared" si="0"/>
        <v>3747733.5464396081</v>
      </c>
    </row>
    <row r="1560" spans="1:3" x14ac:dyDescent="0.35">
      <c r="A1560" t="s">
        <v>336</v>
      </c>
      <c r="B1560">
        <v>2049</v>
      </c>
      <c r="C1560">
        <f t="shared" si="0"/>
        <v>3770572.0086038234</v>
      </c>
    </row>
    <row r="1561" spans="1:3" x14ac:dyDescent="0.35">
      <c r="A1561" t="s">
        <v>336</v>
      </c>
      <c r="B1561">
        <v>2050</v>
      </c>
      <c r="C1561">
        <f t="shared" si="0"/>
        <v>3793410.4707680391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102"/>
  <sheetViews>
    <sheetView workbookViewId="0"/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92</v>
      </c>
      <c r="B1" s="10" t="s">
        <v>0</v>
      </c>
      <c r="C1" s="10" t="s">
        <v>198</v>
      </c>
      <c r="D1" s="10" t="s">
        <v>199</v>
      </c>
      <c r="E1" s="10" t="s">
        <v>200</v>
      </c>
      <c r="F1" s="10" t="s">
        <v>201</v>
      </c>
      <c r="G1" s="10" t="s">
        <v>202</v>
      </c>
      <c r="H1" s="10" t="s">
        <v>203</v>
      </c>
      <c r="I1" s="10" t="s">
        <v>204</v>
      </c>
      <c r="J1" s="10" t="s">
        <v>205</v>
      </c>
    </row>
    <row r="2" spans="1:10" x14ac:dyDescent="0.35">
      <c r="A2" s="2" t="s">
        <v>93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93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93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93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93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93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93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93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93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93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93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93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93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93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93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93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93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93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93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93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93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93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93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93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93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93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93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93</v>
      </c>
      <c r="B29" s="2" t="s">
        <v>242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93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93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93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93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93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93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93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93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93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93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93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93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93</v>
      </c>
      <c r="B42" s="2" t="s">
        <v>243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93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93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93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93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93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93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93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93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93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93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  <row r="53" spans="1:10" x14ac:dyDescent="0.35">
      <c r="A53" s="2" t="s">
        <v>285</v>
      </c>
      <c r="B53" s="2" t="s">
        <v>336</v>
      </c>
      <c r="C53" s="3">
        <f>AVERAGE(C2:C52)</f>
        <v>3.5496078431372533</v>
      </c>
      <c r="D53" s="3">
        <f t="shared" ref="D53:G53" si="0">AVERAGE(D2:D52)</f>
        <v>3.9098039215686269</v>
      </c>
      <c r="E53" s="3">
        <f t="shared" si="0"/>
        <v>4.2462745098039223</v>
      </c>
      <c r="F53" s="3">
        <f t="shared" si="0"/>
        <v>4.0600000000000005</v>
      </c>
      <c r="G53" s="3">
        <f t="shared" si="0"/>
        <v>11.676078431372549</v>
      </c>
      <c r="H53" s="2">
        <f>SUM(H2:H52)</f>
        <v>1145861</v>
      </c>
      <c r="I53" s="2">
        <f t="shared" ref="I53:J53" si="1">SUM(I2:I52)</f>
        <v>4108302836</v>
      </c>
      <c r="J53" s="2">
        <f t="shared" si="1"/>
        <v>3805874253</v>
      </c>
    </row>
    <row r="55" spans="1:10" x14ac:dyDescent="0.35">
      <c r="C55" s="5"/>
      <c r="D55" s="5"/>
      <c r="E55" s="5"/>
      <c r="F55" s="5"/>
      <c r="G55" s="5"/>
      <c r="H55" s="5"/>
      <c r="I55" s="5"/>
      <c r="J55" s="5"/>
    </row>
    <row r="56" spans="1:10" x14ac:dyDescent="0.35">
      <c r="C56" s="5"/>
      <c r="D56" s="5"/>
      <c r="E56" s="5"/>
      <c r="F56" s="5"/>
      <c r="G56" s="5"/>
      <c r="H56" s="5"/>
      <c r="I56" s="5"/>
      <c r="J56" s="5"/>
    </row>
    <row r="57" spans="1:10" x14ac:dyDescent="0.35">
      <c r="C57" s="5"/>
      <c r="D57" s="5"/>
      <c r="E57" s="5"/>
      <c r="F57" s="5"/>
      <c r="G57" s="5"/>
      <c r="H57" s="5"/>
      <c r="I57" s="5"/>
      <c r="J57" s="5"/>
    </row>
    <row r="58" spans="1:10" x14ac:dyDescent="0.35">
      <c r="C58" s="5"/>
      <c r="D58" s="5"/>
      <c r="E58" s="5"/>
      <c r="F58" s="5"/>
      <c r="G58" s="5"/>
      <c r="H58" s="5"/>
      <c r="I58" s="5"/>
      <c r="J58" s="5"/>
    </row>
    <row r="59" spans="1:10" x14ac:dyDescent="0.35">
      <c r="C59" s="5"/>
      <c r="D59" s="5"/>
      <c r="E59" s="5"/>
      <c r="F59" s="5"/>
      <c r="G59" s="5"/>
      <c r="H59" s="5"/>
      <c r="I59" s="5"/>
      <c r="J59" s="5"/>
    </row>
    <row r="60" spans="1:10" x14ac:dyDescent="0.35">
      <c r="C60" s="5"/>
      <c r="D60" s="5"/>
      <c r="E60" s="5"/>
      <c r="F60" s="5"/>
      <c r="G60" s="5"/>
      <c r="H60" s="5"/>
      <c r="I60" s="5"/>
      <c r="J60" s="5"/>
    </row>
    <row r="61" spans="1:10" x14ac:dyDescent="0.35">
      <c r="C61" s="5"/>
      <c r="D61" s="5"/>
      <c r="E61" s="5"/>
      <c r="F61" s="5"/>
      <c r="G61" s="5"/>
      <c r="H61" s="5"/>
      <c r="I61" s="5"/>
      <c r="J61" s="5"/>
    </row>
    <row r="62" spans="1:10" x14ac:dyDescent="0.35">
      <c r="C62" s="5"/>
      <c r="D62" s="5"/>
      <c r="E62" s="5"/>
      <c r="F62" s="5"/>
      <c r="G62" s="5"/>
      <c r="H62" s="5"/>
      <c r="I62" s="5"/>
      <c r="J62" s="5"/>
    </row>
    <row r="63" spans="1:10" x14ac:dyDescent="0.35">
      <c r="C63" s="5"/>
      <c r="D63" s="5"/>
      <c r="E63" s="5"/>
      <c r="F63" s="5"/>
      <c r="G63" s="5"/>
      <c r="H63" s="5"/>
      <c r="I63" s="5"/>
      <c r="J63" s="5"/>
    </row>
    <row r="64" spans="1:10" x14ac:dyDescent="0.35">
      <c r="C64" s="5"/>
      <c r="D64" s="5"/>
      <c r="E64" s="5"/>
      <c r="F64" s="5"/>
      <c r="G64" s="5"/>
      <c r="H64" s="5"/>
      <c r="I64" s="5"/>
      <c r="J64" s="5"/>
    </row>
    <row r="65" spans="3:10" x14ac:dyDescent="0.35">
      <c r="C65" s="5"/>
      <c r="D65" s="5"/>
      <c r="E65" s="5"/>
      <c r="F65" s="5"/>
      <c r="G65" s="5"/>
      <c r="H65" s="5"/>
      <c r="I65" s="5"/>
      <c r="J65" s="5"/>
    </row>
    <row r="66" spans="3:10" x14ac:dyDescent="0.35">
      <c r="C66" s="5"/>
      <c r="D66" s="5"/>
      <c r="E66" s="5"/>
      <c r="F66" s="5"/>
      <c r="G66" s="5"/>
      <c r="H66" s="5"/>
      <c r="I66" s="5"/>
      <c r="J66" s="5"/>
    </row>
    <row r="67" spans="3:10" x14ac:dyDescent="0.35">
      <c r="C67" s="5"/>
      <c r="D67" s="5"/>
      <c r="E67" s="5"/>
      <c r="F67" s="5"/>
      <c r="G67" s="5"/>
      <c r="H67" s="5"/>
      <c r="I67" s="5"/>
      <c r="J67" s="5"/>
    </row>
    <row r="68" spans="3:10" x14ac:dyDescent="0.35">
      <c r="C68" s="5"/>
      <c r="D68" s="5"/>
      <c r="E68" s="5"/>
      <c r="F68" s="5"/>
      <c r="G68" s="5"/>
      <c r="H68" s="5"/>
      <c r="I68" s="5"/>
      <c r="J68" s="5"/>
    </row>
    <row r="69" spans="3:10" x14ac:dyDescent="0.35">
      <c r="C69" s="5"/>
      <c r="D69" s="5"/>
      <c r="E69" s="5"/>
      <c r="F69" s="5"/>
      <c r="G69" s="5"/>
      <c r="H69" s="5"/>
      <c r="I69" s="5"/>
      <c r="J69" s="5"/>
    </row>
    <row r="70" spans="3:10" x14ac:dyDescent="0.35">
      <c r="C70" s="5"/>
      <c r="D70" s="5"/>
      <c r="E70" s="5"/>
      <c r="F70" s="5"/>
      <c r="G70" s="5"/>
      <c r="H70" s="5"/>
      <c r="I70" s="5"/>
      <c r="J70" s="5"/>
    </row>
    <row r="71" spans="3:10" x14ac:dyDescent="0.35">
      <c r="C71" s="5"/>
      <c r="D71" s="5"/>
      <c r="E71" s="5"/>
      <c r="F71" s="5"/>
      <c r="G71" s="5"/>
      <c r="H71" s="5"/>
      <c r="I71" s="5"/>
      <c r="J71" s="5"/>
    </row>
    <row r="72" spans="3:10" x14ac:dyDescent="0.35">
      <c r="C72" s="5"/>
      <c r="D72" s="5"/>
      <c r="E72" s="5"/>
      <c r="F72" s="5"/>
      <c r="G72" s="5"/>
      <c r="H72" s="5"/>
      <c r="I72" s="5"/>
      <c r="J72" s="5"/>
    </row>
    <row r="73" spans="3:10" x14ac:dyDescent="0.35">
      <c r="C73" s="5"/>
      <c r="D73" s="5"/>
      <c r="E73" s="5"/>
      <c r="F73" s="5"/>
      <c r="G73" s="5"/>
      <c r="H73" s="5"/>
      <c r="I73" s="5"/>
      <c r="J73" s="5"/>
    </row>
    <row r="74" spans="3:10" x14ac:dyDescent="0.35">
      <c r="C74" s="5"/>
      <c r="D74" s="5"/>
      <c r="E74" s="5"/>
      <c r="F74" s="5"/>
      <c r="G74" s="5"/>
      <c r="H74" s="5"/>
      <c r="I74" s="5"/>
      <c r="J74" s="5"/>
    </row>
    <row r="75" spans="3:10" x14ac:dyDescent="0.35">
      <c r="C75" s="5"/>
      <c r="D75" s="5"/>
      <c r="E75" s="5"/>
      <c r="F75" s="5"/>
      <c r="G75" s="5"/>
      <c r="H75" s="5"/>
      <c r="I75" s="5"/>
      <c r="J75" s="5"/>
    </row>
    <row r="76" spans="3:10" x14ac:dyDescent="0.35">
      <c r="C76" s="5"/>
      <c r="D76" s="5"/>
      <c r="E76" s="5"/>
      <c r="F76" s="5"/>
      <c r="G76" s="5"/>
      <c r="H76" s="5"/>
      <c r="I76" s="5"/>
      <c r="J76" s="5"/>
    </row>
    <row r="77" spans="3:10" x14ac:dyDescent="0.35">
      <c r="C77" s="5"/>
      <c r="D77" s="5"/>
      <c r="E77" s="5"/>
      <c r="F77" s="5"/>
      <c r="G77" s="5"/>
      <c r="H77" s="5"/>
      <c r="I77" s="5"/>
      <c r="J77" s="5"/>
    </row>
    <row r="78" spans="3:10" x14ac:dyDescent="0.35">
      <c r="C78" s="5"/>
      <c r="D78" s="5"/>
      <c r="E78" s="5"/>
      <c r="F78" s="5"/>
      <c r="G78" s="5"/>
      <c r="H78" s="5"/>
      <c r="I78" s="5"/>
      <c r="J78" s="5"/>
    </row>
    <row r="79" spans="3:10" x14ac:dyDescent="0.35">
      <c r="C79" s="5"/>
      <c r="D79" s="5"/>
      <c r="E79" s="5"/>
      <c r="F79" s="5"/>
      <c r="G79" s="5"/>
      <c r="H79" s="5"/>
      <c r="I79" s="5"/>
      <c r="J79" s="5"/>
    </row>
    <row r="80" spans="3:10" x14ac:dyDescent="0.35">
      <c r="C80" s="5"/>
      <c r="D80" s="5"/>
      <c r="E80" s="5"/>
      <c r="F80" s="5"/>
      <c r="G80" s="5"/>
      <c r="H80" s="5"/>
      <c r="I80" s="5"/>
      <c r="J80" s="5"/>
    </row>
    <row r="81" spans="3:10" x14ac:dyDescent="0.35">
      <c r="C81" s="5"/>
      <c r="D81" s="5"/>
      <c r="E81" s="5"/>
      <c r="F81" s="5"/>
      <c r="G81" s="5"/>
      <c r="H81" s="5"/>
      <c r="I81" s="5"/>
      <c r="J81" s="5"/>
    </row>
    <row r="82" spans="3:10" x14ac:dyDescent="0.35">
      <c r="C82" s="5"/>
      <c r="D82" s="5"/>
      <c r="E82" s="5"/>
      <c r="F82" s="5"/>
      <c r="G82" s="5"/>
      <c r="H82" s="5"/>
      <c r="I82" s="5"/>
      <c r="J82" s="5"/>
    </row>
    <row r="83" spans="3:10" x14ac:dyDescent="0.35">
      <c r="C83" s="5"/>
      <c r="D83" s="5"/>
      <c r="E83" s="5"/>
      <c r="F83" s="5"/>
      <c r="G83" s="5"/>
      <c r="H83" s="5"/>
      <c r="I83" s="5"/>
      <c r="J83" s="5"/>
    </row>
    <row r="84" spans="3:10" x14ac:dyDescent="0.35">
      <c r="C84" s="5"/>
      <c r="D84" s="5"/>
      <c r="E84" s="5"/>
      <c r="F84" s="5"/>
      <c r="G84" s="5"/>
      <c r="H84" s="5"/>
      <c r="I84" s="5"/>
      <c r="J84" s="5"/>
    </row>
    <row r="85" spans="3:10" x14ac:dyDescent="0.35">
      <c r="C85" s="5"/>
      <c r="D85" s="5"/>
      <c r="E85" s="5"/>
      <c r="F85" s="5"/>
      <c r="G85" s="5"/>
      <c r="H85" s="5"/>
      <c r="I85" s="5"/>
      <c r="J85" s="5"/>
    </row>
    <row r="86" spans="3:10" x14ac:dyDescent="0.35">
      <c r="C86" s="5"/>
      <c r="D86" s="5"/>
      <c r="E86" s="5"/>
      <c r="F86" s="5"/>
      <c r="G86" s="5"/>
      <c r="H86" s="5"/>
      <c r="I86" s="5"/>
      <c r="J86" s="5"/>
    </row>
    <row r="87" spans="3:10" x14ac:dyDescent="0.35">
      <c r="C87" s="5"/>
      <c r="D87" s="5"/>
      <c r="E87" s="5"/>
      <c r="F87" s="5"/>
      <c r="G87" s="5"/>
      <c r="H87" s="5"/>
      <c r="I87" s="5"/>
      <c r="J87" s="5"/>
    </row>
    <row r="88" spans="3:10" x14ac:dyDescent="0.35">
      <c r="C88" s="5"/>
      <c r="D88" s="5"/>
      <c r="E88" s="5"/>
      <c r="F88" s="5"/>
      <c r="G88" s="5"/>
      <c r="H88" s="5"/>
      <c r="I88" s="5"/>
      <c r="J88" s="5"/>
    </row>
    <row r="89" spans="3:10" x14ac:dyDescent="0.35">
      <c r="C89" s="5"/>
      <c r="D89" s="5"/>
      <c r="E89" s="5"/>
      <c r="F89" s="5"/>
      <c r="G89" s="5"/>
      <c r="H89" s="5"/>
      <c r="I89" s="5"/>
      <c r="J89" s="5"/>
    </row>
    <row r="90" spans="3:10" x14ac:dyDescent="0.35">
      <c r="C90" s="5"/>
      <c r="D90" s="5"/>
      <c r="E90" s="5"/>
      <c r="F90" s="5"/>
      <c r="G90" s="5"/>
      <c r="H90" s="5"/>
      <c r="I90" s="5"/>
      <c r="J90" s="5"/>
    </row>
    <row r="91" spans="3:10" x14ac:dyDescent="0.35">
      <c r="C91" s="5"/>
      <c r="D91" s="5"/>
      <c r="E91" s="5"/>
      <c r="F91" s="5"/>
      <c r="G91" s="5"/>
      <c r="H91" s="5"/>
      <c r="I91" s="5"/>
      <c r="J91" s="5"/>
    </row>
    <row r="92" spans="3:10" x14ac:dyDescent="0.35">
      <c r="C92" s="5"/>
      <c r="D92" s="5"/>
      <c r="E92" s="5"/>
      <c r="F92" s="5"/>
      <c r="G92" s="5"/>
      <c r="H92" s="5"/>
      <c r="I92" s="5"/>
      <c r="J92" s="5"/>
    </row>
    <row r="93" spans="3:10" x14ac:dyDescent="0.35">
      <c r="C93" s="5"/>
      <c r="D93" s="5"/>
      <c r="E93" s="5"/>
      <c r="F93" s="5"/>
      <c r="G93" s="5"/>
      <c r="H93" s="5"/>
      <c r="I93" s="5"/>
      <c r="J93" s="5"/>
    </row>
    <row r="94" spans="3:10" x14ac:dyDescent="0.35">
      <c r="C94" s="5"/>
      <c r="D94" s="5"/>
      <c r="E94" s="5"/>
      <c r="F94" s="5"/>
      <c r="G94" s="5"/>
      <c r="H94" s="5"/>
      <c r="I94" s="5"/>
      <c r="J94" s="5"/>
    </row>
    <row r="95" spans="3:10" x14ac:dyDescent="0.35">
      <c r="C95" s="5"/>
      <c r="D95" s="5"/>
      <c r="E95" s="5"/>
      <c r="F95" s="5"/>
      <c r="G95" s="5"/>
      <c r="H95" s="5"/>
      <c r="I95" s="5"/>
      <c r="J95" s="5"/>
    </row>
    <row r="96" spans="3:10" x14ac:dyDescent="0.35">
      <c r="C96" s="5"/>
      <c r="D96" s="5"/>
      <c r="E96" s="5"/>
      <c r="F96" s="5"/>
      <c r="G96" s="5"/>
      <c r="H96" s="5"/>
      <c r="I96" s="5"/>
      <c r="J96" s="5"/>
    </row>
    <row r="97" spans="3:10" x14ac:dyDescent="0.35">
      <c r="C97" s="5"/>
      <c r="D97" s="5"/>
      <c r="E97" s="5"/>
      <c r="F97" s="5"/>
      <c r="G97" s="5"/>
      <c r="H97" s="5"/>
      <c r="I97" s="5"/>
      <c r="J97" s="5"/>
    </row>
    <row r="98" spans="3:10" x14ac:dyDescent="0.35">
      <c r="C98" s="5"/>
      <c r="D98" s="5"/>
      <c r="E98" s="5"/>
      <c r="F98" s="5"/>
      <c r="G98" s="5"/>
      <c r="H98" s="5"/>
      <c r="I98" s="5"/>
      <c r="J98" s="5"/>
    </row>
    <row r="99" spans="3:10" x14ac:dyDescent="0.35">
      <c r="C99" s="5"/>
      <c r="D99" s="5"/>
      <c r="E99" s="5"/>
      <c r="F99" s="5"/>
      <c r="G99" s="5"/>
      <c r="H99" s="5"/>
      <c r="I99" s="5"/>
      <c r="J99" s="5"/>
    </row>
    <row r="100" spans="3:10" x14ac:dyDescent="0.35">
      <c r="C100" s="5"/>
      <c r="D100" s="5"/>
      <c r="E100" s="5"/>
      <c r="F100" s="5"/>
      <c r="G100" s="5"/>
      <c r="H100" s="5"/>
      <c r="I100" s="5"/>
      <c r="J100" s="5"/>
    </row>
    <row r="101" spans="3:10" x14ac:dyDescent="0.35">
      <c r="C101" s="5"/>
      <c r="D101" s="5"/>
      <c r="E101" s="5"/>
      <c r="F101" s="5"/>
      <c r="G101" s="5"/>
      <c r="H101" s="5"/>
      <c r="I101" s="5"/>
      <c r="J101" s="5"/>
    </row>
    <row r="102" spans="3:10" x14ac:dyDescent="0.35">
      <c r="C102" s="5"/>
      <c r="D102" s="5"/>
      <c r="E102" s="5"/>
      <c r="F102" s="5"/>
      <c r="G102" s="5"/>
      <c r="H102" s="5"/>
      <c r="I102" s="5"/>
      <c r="J102" s="5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E1" sqref="E1"/>
    </sheetView>
  </sheetViews>
  <sheetFormatPr defaultRowHeight="14.5" x14ac:dyDescent="0.35"/>
  <cols>
    <col min="1" max="2" width="42.1796875" customWidth="1"/>
    <col min="3" max="3" width="19.6328125" customWidth="1"/>
    <col min="4" max="4" width="18.81640625" customWidth="1"/>
    <col min="5" max="5" width="27.6328125" customWidth="1"/>
  </cols>
  <sheetData>
    <row r="1" spans="1:5" x14ac:dyDescent="0.35">
      <c r="A1" s="4" t="s">
        <v>316</v>
      </c>
      <c r="B1" s="4" t="s">
        <v>78</v>
      </c>
      <c r="C1" s="4" t="s">
        <v>152</v>
      </c>
      <c r="D1" s="4" t="s">
        <v>153</v>
      </c>
      <c r="E1" s="4" t="s">
        <v>154</v>
      </c>
    </row>
    <row r="2" spans="1:5" x14ac:dyDescent="0.35">
      <c r="A2" t="s">
        <v>317</v>
      </c>
      <c r="B2" t="s">
        <v>323</v>
      </c>
      <c r="C2">
        <v>327</v>
      </c>
      <c r="D2">
        <v>798</v>
      </c>
      <c r="E2">
        <v>0</v>
      </c>
    </row>
    <row r="3" spans="1:5" x14ac:dyDescent="0.35">
      <c r="A3" t="s">
        <v>317</v>
      </c>
      <c r="B3" t="s">
        <v>89</v>
      </c>
      <c r="C3">
        <v>174.4</v>
      </c>
      <c r="D3">
        <v>247</v>
      </c>
      <c r="E3">
        <v>0</v>
      </c>
    </row>
    <row r="4" spans="1:5" x14ac:dyDescent="0.35">
      <c r="A4" t="s">
        <v>317</v>
      </c>
      <c r="B4" t="s">
        <v>156</v>
      </c>
      <c r="C4">
        <v>54.5</v>
      </c>
      <c r="D4">
        <v>13</v>
      </c>
      <c r="E4">
        <v>0</v>
      </c>
    </row>
    <row r="5" spans="1:5" x14ac:dyDescent="0.35">
      <c r="A5" t="s">
        <v>317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318</v>
      </c>
      <c r="B6" t="s">
        <v>323</v>
      </c>
      <c r="C6">
        <v>150</v>
      </c>
      <c r="D6">
        <v>0</v>
      </c>
      <c r="E6">
        <v>0</v>
      </c>
    </row>
    <row r="7" spans="1:5" x14ac:dyDescent="0.35">
      <c r="A7" t="s">
        <v>318</v>
      </c>
      <c r="B7" t="s">
        <v>89</v>
      </c>
      <c r="C7">
        <v>80</v>
      </c>
      <c r="D7">
        <v>0</v>
      </c>
      <c r="E7">
        <v>0</v>
      </c>
    </row>
    <row r="8" spans="1:5" x14ac:dyDescent="0.35">
      <c r="A8" t="s">
        <v>318</v>
      </c>
      <c r="B8" t="s">
        <v>156</v>
      </c>
      <c r="C8">
        <v>25</v>
      </c>
      <c r="D8">
        <v>0</v>
      </c>
      <c r="E8">
        <v>0</v>
      </c>
    </row>
    <row r="9" spans="1:5" x14ac:dyDescent="0.35">
      <c r="A9" t="s">
        <v>318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319</v>
      </c>
      <c r="B10" t="s">
        <v>323</v>
      </c>
      <c r="C10">
        <v>203.25</v>
      </c>
      <c r="D10">
        <v>0</v>
      </c>
      <c r="E10">
        <v>0</v>
      </c>
    </row>
    <row r="11" spans="1:5" x14ac:dyDescent="0.35">
      <c r="A11" t="s">
        <v>319</v>
      </c>
      <c r="B11" t="s">
        <v>89</v>
      </c>
      <c r="C11">
        <v>108.4</v>
      </c>
      <c r="D11">
        <v>0</v>
      </c>
      <c r="E11">
        <v>0</v>
      </c>
    </row>
    <row r="12" spans="1:5" x14ac:dyDescent="0.35">
      <c r="A12" t="s">
        <v>319</v>
      </c>
      <c r="B12" t="s">
        <v>156</v>
      </c>
      <c r="C12">
        <v>33.875</v>
      </c>
      <c r="D12">
        <v>0</v>
      </c>
      <c r="E12">
        <v>0</v>
      </c>
    </row>
    <row r="13" spans="1:5" x14ac:dyDescent="0.35">
      <c r="A13" t="s">
        <v>319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320</v>
      </c>
      <c r="B14" t="s">
        <v>323</v>
      </c>
      <c r="C14">
        <v>0</v>
      </c>
      <c r="D14">
        <v>798</v>
      </c>
      <c r="E14">
        <v>0</v>
      </c>
    </row>
    <row r="15" spans="1:5" x14ac:dyDescent="0.35">
      <c r="A15" t="s">
        <v>320</v>
      </c>
      <c r="B15" t="s">
        <v>89</v>
      </c>
      <c r="C15">
        <v>0</v>
      </c>
      <c r="D15">
        <v>247</v>
      </c>
      <c r="E15">
        <v>0</v>
      </c>
    </row>
    <row r="16" spans="1:5" x14ac:dyDescent="0.35">
      <c r="A16" t="s">
        <v>320</v>
      </c>
      <c r="B16" t="s">
        <v>156</v>
      </c>
      <c r="C16">
        <v>0</v>
      </c>
      <c r="D16">
        <v>13</v>
      </c>
      <c r="E16">
        <v>0</v>
      </c>
    </row>
    <row r="17" spans="1:5" x14ac:dyDescent="0.35">
      <c r="A17" t="s">
        <v>320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321</v>
      </c>
      <c r="B18" t="s">
        <v>323</v>
      </c>
      <c r="C18">
        <v>150</v>
      </c>
      <c r="D18">
        <v>798</v>
      </c>
      <c r="E18">
        <v>0</v>
      </c>
    </row>
    <row r="19" spans="1:5" x14ac:dyDescent="0.35">
      <c r="A19" t="s">
        <v>321</v>
      </c>
      <c r="B19" t="s">
        <v>89</v>
      </c>
      <c r="C19">
        <v>80</v>
      </c>
      <c r="D19">
        <v>247</v>
      </c>
      <c r="E19">
        <v>0</v>
      </c>
    </row>
    <row r="20" spans="1:5" x14ac:dyDescent="0.35">
      <c r="A20" t="s">
        <v>321</v>
      </c>
      <c r="B20" t="s">
        <v>156</v>
      </c>
      <c r="C20">
        <v>25</v>
      </c>
      <c r="D20">
        <v>798</v>
      </c>
      <c r="E20">
        <v>0</v>
      </c>
    </row>
    <row r="21" spans="1:5" x14ac:dyDescent="0.35">
      <c r="A21" t="s">
        <v>322</v>
      </c>
      <c r="B21" t="s">
        <v>156</v>
      </c>
      <c r="C21">
        <v>25</v>
      </c>
      <c r="D21">
        <v>0</v>
      </c>
      <c r="E21">
        <v>0</v>
      </c>
    </row>
    <row r="22" spans="1:5" x14ac:dyDescent="0.35">
      <c r="A22" t="s">
        <v>322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S286"/>
  <sheetViews>
    <sheetView topLeftCell="F1" zoomScale="70" zoomScaleNormal="70" workbookViewId="0">
      <selection activeCell="M2" sqref="M2:S103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21" customWidth="1"/>
    <col min="9" max="9" width="20" customWidth="1"/>
    <col min="10" max="10" width="12.453125" customWidth="1"/>
    <col min="11" max="11" width="15.90625" customWidth="1"/>
    <col min="16" max="16" width="11.1796875" bestFit="1" customWidth="1"/>
  </cols>
  <sheetData>
    <row r="1" spans="1:16" x14ac:dyDescent="0.35">
      <c r="A1" t="s">
        <v>164</v>
      </c>
      <c r="B1" t="s">
        <v>78</v>
      </c>
      <c r="C1" t="s">
        <v>94</v>
      </c>
      <c r="D1" t="s">
        <v>0</v>
      </c>
      <c r="E1" t="s">
        <v>157</v>
      </c>
      <c r="F1" t="s">
        <v>158</v>
      </c>
      <c r="G1" t="s">
        <v>159</v>
      </c>
      <c r="H1" t="s">
        <v>161</v>
      </c>
      <c r="I1" t="s">
        <v>160</v>
      </c>
      <c r="J1" t="s">
        <v>162</v>
      </c>
      <c r="K1" t="s">
        <v>163</v>
      </c>
    </row>
    <row r="2" spans="1:16" x14ac:dyDescent="0.35">
      <c r="A2" t="s">
        <v>165</v>
      </c>
      <c r="B2" t="s">
        <v>89</v>
      </c>
      <c r="C2" t="s">
        <v>95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  <c r="P2" s="5"/>
    </row>
    <row r="3" spans="1:16" x14ac:dyDescent="0.35">
      <c r="A3" t="s">
        <v>165</v>
      </c>
      <c r="B3" t="s">
        <v>89</v>
      </c>
      <c r="C3" t="s">
        <v>96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  <c r="P3" s="5"/>
    </row>
    <row r="4" spans="1:16" x14ac:dyDescent="0.35">
      <c r="A4" t="s">
        <v>165</v>
      </c>
      <c r="B4" t="s">
        <v>89</v>
      </c>
      <c r="C4" t="s">
        <v>97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  <c r="P4" s="5"/>
    </row>
    <row r="5" spans="1:16" x14ac:dyDescent="0.35">
      <c r="A5" t="s">
        <v>165</v>
      </c>
      <c r="B5" t="s">
        <v>89</v>
      </c>
      <c r="C5" t="s">
        <v>100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  <c r="P5" s="5"/>
    </row>
    <row r="6" spans="1:16" x14ac:dyDescent="0.35">
      <c r="A6" t="s">
        <v>165</v>
      </c>
      <c r="B6" t="s">
        <v>89</v>
      </c>
      <c r="C6" t="s">
        <v>101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  <c r="P6" s="5"/>
    </row>
    <row r="7" spans="1:16" x14ac:dyDescent="0.35">
      <c r="A7" t="s">
        <v>165</v>
      </c>
      <c r="B7" t="s">
        <v>89</v>
      </c>
      <c r="C7" t="s">
        <v>102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  <c r="P7" s="5"/>
    </row>
    <row r="8" spans="1:16" x14ac:dyDescent="0.35">
      <c r="A8" t="s">
        <v>165</v>
      </c>
      <c r="B8" t="s">
        <v>89</v>
      </c>
      <c r="C8" t="s">
        <v>103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  <c r="P8" s="5"/>
    </row>
    <row r="9" spans="1:16" x14ac:dyDescent="0.35">
      <c r="A9" t="s">
        <v>165</v>
      </c>
      <c r="B9" t="s">
        <v>89</v>
      </c>
      <c r="C9" t="s">
        <v>104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  <c r="P9" s="5"/>
    </row>
    <row r="10" spans="1:16" x14ac:dyDescent="0.35">
      <c r="A10" t="s">
        <v>165</v>
      </c>
      <c r="B10" t="s">
        <v>89</v>
      </c>
      <c r="C10" t="s">
        <v>105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  <c r="P10" s="5"/>
    </row>
    <row r="11" spans="1:16" x14ac:dyDescent="0.35">
      <c r="A11" t="s">
        <v>165</v>
      </c>
      <c r="B11" t="s">
        <v>89</v>
      </c>
      <c r="C11" t="s">
        <v>106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  <c r="P11" s="5"/>
    </row>
    <row r="12" spans="1:16" x14ac:dyDescent="0.35">
      <c r="A12" t="s">
        <v>165</v>
      </c>
      <c r="B12" t="s">
        <v>89</v>
      </c>
      <c r="C12" t="s">
        <v>107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  <c r="P12" s="5"/>
    </row>
    <row r="13" spans="1:16" x14ac:dyDescent="0.35">
      <c r="A13" t="s">
        <v>165</v>
      </c>
      <c r="B13" t="s">
        <v>89</v>
      </c>
      <c r="C13" t="s">
        <v>110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  <c r="P13" s="5"/>
    </row>
    <row r="14" spans="1:16" x14ac:dyDescent="0.35">
      <c r="A14" t="s">
        <v>165</v>
      </c>
      <c r="B14" t="s">
        <v>89</v>
      </c>
      <c r="C14" t="s">
        <v>111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  <c r="P14" s="5"/>
    </row>
    <row r="15" spans="1:16" x14ac:dyDescent="0.35">
      <c r="A15" t="s">
        <v>165</v>
      </c>
      <c r="B15" t="s">
        <v>89</v>
      </c>
      <c r="C15" t="s">
        <v>112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  <c r="P15" s="5"/>
    </row>
    <row r="16" spans="1:16" x14ac:dyDescent="0.35">
      <c r="A16" t="s">
        <v>165</v>
      </c>
      <c r="B16" t="s">
        <v>89</v>
      </c>
      <c r="C16" t="s">
        <v>113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  <c r="P16" s="5"/>
    </row>
    <row r="17" spans="1:16" x14ac:dyDescent="0.35">
      <c r="A17" t="s">
        <v>165</v>
      </c>
      <c r="B17" t="s">
        <v>89</v>
      </c>
      <c r="C17" t="s">
        <v>114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  <c r="P17" s="5"/>
    </row>
    <row r="18" spans="1:16" x14ac:dyDescent="0.35">
      <c r="A18" t="s">
        <v>165</v>
      </c>
      <c r="B18" t="s">
        <v>89</v>
      </c>
      <c r="C18" t="s">
        <v>115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  <c r="P18" s="5"/>
    </row>
    <row r="19" spans="1:16" x14ac:dyDescent="0.35">
      <c r="A19" t="s">
        <v>165</v>
      </c>
      <c r="B19" t="s">
        <v>89</v>
      </c>
      <c r="C19" t="s">
        <v>116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  <c r="P19" s="5"/>
    </row>
    <row r="20" spans="1:16" x14ac:dyDescent="0.35">
      <c r="A20" t="s">
        <v>165</v>
      </c>
      <c r="B20" t="s">
        <v>89</v>
      </c>
      <c r="C20" t="s">
        <v>117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  <c r="P20" s="5"/>
    </row>
    <row r="21" spans="1:16" x14ac:dyDescent="0.35">
      <c r="A21" t="s">
        <v>165</v>
      </c>
      <c r="B21" t="s">
        <v>89</v>
      </c>
      <c r="C21" t="s">
        <v>118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  <c r="P21" s="5"/>
    </row>
    <row r="22" spans="1:16" x14ac:dyDescent="0.35">
      <c r="A22" t="s">
        <v>165</v>
      </c>
      <c r="B22" t="s">
        <v>89</v>
      </c>
      <c r="C22" t="s">
        <v>119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  <c r="P22" s="5"/>
    </row>
    <row r="23" spans="1:16" x14ac:dyDescent="0.35">
      <c r="A23" t="s">
        <v>165</v>
      </c>
      <c r="B23" t="s">
        <v>89</v>
      </c>
      <c r="C23" t="s">
        <v>120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  <c r="P23" s="5"/>
    </row>
    <row r="24" spans="1:16" x14ac:dyDescent="0.35">
      <c r="A24" t="s">
        <v>165</v>
      </c>
      <c r="B24" t="s">
        <v>89</v>
      </c>
      <c r="C24" t="s">
        <v>121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  <c r="P24" s="5"/>
    </row>
    <row r="25" spans="1:16" x14ac:dyDescent="0.35">
      <c r="A25" t="s">
        <v>165</v>
      </c>
      <c r="B25" t="s">
        <v>89</v>
      </c>
      <c r="C25" t="s">
        <v>122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  <c r="P25" s="5"/>
    </row>
    <row r="26" spans="1:16" x14ac:dyDescent="0.35">
      <c r="A26" t="s">
        <v>165</v>
      </c>
      <c r="B26" t="s">
        <v>89</v>
      </c>
      <c r="C26" t="s">
        <v>123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  <c r="P26" s="5"/>
    </row>
    <row r="27" spans="1:16" x14ac:dyDescent="0.35">
      <c r="A27" t="s">
        <v>165</v>
      </c>
      <c r="B27" t="s">
        <v>89</v>
      </c>
      <c r="C27" t="s">
        <v>124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  <c r="P27" s="5"/>
    </row>
    <row r="28" spans="1:16" x14ac:dyDescent="0.35">
      <c r="A28" t="s">
        <v>165</v>
      </c>
      <c r="B28" t="s">
        <v>89</v>
      </c>
      <c r="C28" t="s">
        <v>125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  <c r="P28" s="5"/>
    </row>
    <row r="29" spans="1:16" x14ac:dyDescent="0.35">
      <c r="A29" t="s">
        <v>165</v>
      </c>
      <c r="B29" t="s">
        <v>89</v>
      </c>
      <c r="C29" t="s">
        <v>126</v>
      </c>
      <c r="D29" t="s">
        <v>242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  <c r="P29" s="5"/>
    </row>
    <row r="30" spans="1:16" x14ac:dyDescent="0.35">
      <c r="A30" t="s">
        <v>165</v>
      </c>
      <c r="B30" t="s">
        <v>89</v>
      </c>
      <c r="C30" t="s">
        <v>127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  <c r="P30" s="5"/>
    </row>
    <row r="31" spans="1:16" x14ac:dyDescent="0.35">
      <c r="A31" t="s">
        <v>165</v>
      </c>
      <c r="B31" t="s">
        <v>89</v>
      </c>
      <c r="C31" t="s">
        <v>128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  <c r="P31" s="5"/>
    </row>
    <row r="32" spans="1:16" x14ac:dyDescent="0.35">
      <c r="A32" t="s">
        <v>165</v>
      </c>
      <c r="B32" t="s">
        <v>89</v>
      </c>
      <c r="C32" t="s">
        <v>129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  <c r="P32" s="5"/>
    </row>
    <row r="33" spans="1:16" x14ac:dyDescent="0.35">
      <c r="A33" t="s">
        <v>165</v>
      </c>
      <c r="B33" t="s">
        <v>89</v>
      </c>
      <c r="C33" t="s">
        <v>130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  <c r="P33" s="5"/>
    </row>
    <row r="34" spans="1:16" x14ac:dyDescent="0.35">
      <c r="A34" t="s">
        <v>165</v>
      </c>
      <c r="B34" t="s">
        <v>89</v>
      </c>
      <c r="C34" t="s">
        <v>131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  <c r="P34" s="5"/>
    </row>
    <row r="35" spans="1:16" x14ac:dyDescent="0.35">
      <c r="A35" t="s">
        <v>165</v>
      </c>
      <c r="B35" t="s">
        <v>89</v>
      </c>
      <c r="C35" t="s">
        <v>132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  <c r="P35" s="5"/>
    </row>
    <row r="36" spans="1:16" x14ac:dyDescent="0.35">
      <c r="A36" t="s">
        <v>165</v>
      </c>
      <c r="B36" t="s">
        <v>89</v>
      </c>
      <c r="C36" t="s">
        <v>133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  <c r="P36" s="5"/>
    </row>
    <row r="37" spans="1:16" x14ac:dyDescent="0.35">
      <c r="A37" t="s">
        <v>165</v>
      </c>
      <c r="B37" t="s">
        <v>89</v>
      </c>
      <c r="C37" t="s">
        <v>134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  <c r="P37" s="5"/>
    </row>
    <row r="38" spans="1:16" x14ac:dyDescent="0.35">
      <c r="A38" t="s">
        <v>165</v>
      </c>
      <c r="B38" t="s">
        <v>89</v>
      </c>
      <c r="C38" t="s">
        <v>135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  <c r="P38" s="5"/>
    </row>
    <row r="39" spans="1:16" x14ac:dyDescent="0.35">
      <c r="A39" t="s">
        <v>165</v>
      </c>
      <c r="B39" t="s">
        <v>89</v>
      </c>
      <c r="C39" t="s">
        <v>136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  <c r="P39" s="5"/>
    </row>
    <row r="40" spans="1:16" x14ac:dyDescent="0.35">
      <c r="A40" t="s">
        <v>165</v>
      </c>
      <c r="B40" t="s">
        <v>89</v>
      </c>
      <c r="C40" t="s">
        <v>137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  <c r="P40" s="5"/>
    </row>
    <row r="41" spans="1:16" x14ac:dyDescent="0.35">
      <c r="A41" t="s">
        <v>165</v>
      </c>
      <c r="B41" t="s">
        <v>89</v>
      </c>
      <c r="C41" t="s">
        <v>138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  <c r="P41" s="5"/>
    </row>
    <row r="42" spans="1:16" x14ac:dyDescent="0.35">
      <c r="A42" t="s">
        <v>165</v>
      </c>
      <c r="B42" t="s">
        <v>89</v>
      </c>
      <c r="C42" t="s">
        <v>139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  <c r="P42" s="5"/>
    </row>
    <row r="43" spans="1:16" x14ac:dyDescent="0.35">
      <c r="A43" t="s">
        <v>165</v>
      </c>
      <c r="B43" t="s">
        <v>89</v>
      </c>
      <c r="C43" t="s">
        <v>140</v>
      </c>
      <c r="D43" t="s">
        <v>243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  <c r="P43" s="5"/>
    </row>
    <row r="44" spans="1:16" x14ac:dyDescent="0.35">
      <c r="A44" t="s">
        <v>165</v>
      </c>
      <c r="B44" t="s">
        <v>89</v>
      </c>
      <c r="C44" t="s">
        <v>141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  <c r="P44" s="5"/>
    </row>
    <row r="45" spans="1:16" x14ac:dyDescent="0.35">
      <c r="A45" t="s">
        <v>165</v>
      </c>
      <c r="B45" t="s">
        <v>89</v>
      </c>
      <c r="C45" t="s">
        <v>142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  <c r="P45" s="5"/>
    </row>
    <row r="46" spans="1:16" x14ac:dyDescent="0.35">
      <c r="A46" t="s">
        <v>165</v>
      </c>
      <c r="B46" t="s">
        <v>89</v>
      </c>
      <c r="C46" t="s">
        <v>143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  <c r="P46" s="5"/>
    </row>
    <row r="47" spans="1:16" x14ac:dyDescent="0.35">
      <c r="A47" t="s">
        <v>165</v>
      </c>
      <c r="B47" t="s">
        <v>89</v>
      </c>
      <c r="C47" t="s">
        <v>144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  <c r="P47" s="5"/>
    </row>
    <row r="48" spans="1:16" x14ac:dyDescent="0.35">
      <c r="A48" t="s">
        <v>165</v>
      </c>
      <c r="B48" t="s">
        <v>89</v>
      </c>
      <c r="C48" t="s">
        <v>145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  <c r="P48" s="5"/>
    </row>
    <row r="49" spans="1:19" x14ac:dyDescent="0.35">
      <c r="A49" t="s">
        <v>165</v>
      </c>
      <c r="B49" t="s">
        <v>89</v>
      </c>
      <c r="C49" t="s">
        <v>147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  <c r="P49" s="5"/>
    </row>
    <row r="50" spans="1:19" x14ac:dyDescent="0.35">
      <c r="A50" t="s">
        <v>165</v>
      </c>
      <c r="B50" t="s">
        <v>89</v>
      </c>
      <c r="C50" t="s">
        <v>148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  <c r="P50" s="5"/>
    </row>
    <row r="51" spans="1:19" x14ac:dyDescent="0.35">
      <c r="A51" t="s">
        <v>165</v>
      </c>
      <c r="B51" t="s">
        <v>89</v>
      </c>
      <c r="C51" t="s">
        <v>149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  <c r="P51" s="5"/>
    </row>
    <row r="52" spans="1:19" x14ac:dyDescent="0.35">
      <c r="A52" t="s">
        <v>165</v>
      </c>
      <c r="B52" t="s">
        <v>89</v>
      </c>
      <c r="C52" t="s">
        <v>150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  <c r="P52" s="5"/>
    </row>
    <row r="53" spans="1:19" x14ac:dyDescent="0.35">
      <c r="A53" t="s">
        <v>166</v>
      </c>
      <c r="B53" t="s">
        <v>89</v>
      </c>
      <c r="C53" t="s">
        <v>95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  <c r="P53" s="5"/>
      <c r="R53" s="5"/>
      <c r="S53" s="5"/>
    </row>
    <row r="54" spans="1:19" x14ac:dyDescent="0.35">
      <c r="A54" t="s">
        <v>166</v>
      </c>
      <c r="B54" t="s">
        <v>89</v>
      </c>
      <c r="C54" t="s">
        <v>96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  <c r="P54" s="5"/>
      <c r="R54" s="5"/>
      <c r="S54" s="5"/>
    </row>
    <row r="55" spans="1:19" x14ac:dyDescent="0.35">
      <c r="A55" t="s">
        <v>166</v>
      </c>
      <c r="B55" t="s">
        <v>89</v>
      </c>
      <c r="C55" t="s">
        <v>97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  <c r="P55" s="5"/>
      <c r="R55" s="5"/>
      <c r="S55" s="5"/>
    </row>
    <row r="56" spans="1:19" x14ac:dyDescent="0.35">
      <c r="A56" t="s">
        <v>166</v>
      </c>
      <c r="B56" t="s">
        <v>89</v>
      </c>
      <c r="C56" t="s">
        <v>100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  <c r="P56" s="5"/>
      <c r="R56" s="5"/>
      <c r="S56" s="5"/>
    </row>
    <row r="57" spans="1:19" x14ac:dyDescent="0.35">
      <c r="A57" t="s">
        <v>166</v>
      </c>
      <c r="B57" t="s">
        <v>89</v>
      </c>
      <c r="C57" t="s">
        <v>101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  <c r="P57" s="5"/>
      <c r="R57" s="5"/>
      <c r="S57" s="5"/>
    </row>
    <row r="58" spans="1:19" x14ac:dyDescent="0.35">
      <c r="A58" t="s">
        <v>166</v>
      </c>
      <c r="B58" t="s">
        <v>89</v>
      </c>
      <c r="C58" t="s">
        <v>102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  <c r="P58" s="5"/>
      <c r="R58" s="5"/>
      <c r="S58" s="5"/>
    </row>
    <row r="59" spans="1:19" x14ac:dyDescent="0.35">
      <c r="A59" t="s">
        <v>166</v>
      </c>
      <c r="B59" t="s">
        <v>89</v>
      </c>
      <c r="C59" t="s">
        <v>103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  <c r="P59" s="5"/>
      <c r="R59" s="5"/>
      <c r="S59" s="5"/>
    </row>
    <row r="60" spans="1:19" x14ac:dyDescent="0.35">
      <c r="A60" t="s">
        <v>166</v>
      </c>
      <c r="B60" t="s">
        <v>89</v>
      </c>
      <c r="C60" t="s">
        <v>104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  <c r="P60" s="5"/>
      <c r="R60" s="5"/>
      <c r="S60" s="5"/>
    </row>
    <row r="61" spans="1:19" x14ac:dyDescent="0.35">
      <c r="A61" t="s">
        <v>166</v>
      </c>
      <c r="B61" t="s">
        <v>89</v>
      </c>
      <c r="C61" t="s">
        <v>105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  <c r="P61" s="5"/>
      <c r="R61" s="5"/>
      <c r="S61" s="5"/>
    </row>
    <row r="62" spans="1:19" x14ac:dyDescent="0.35">
      <c r="A62" t="s">
        <v>166</v>
      </c>
      <c r="B62" t="s">
        <v>89</v>
      </c>
      <c r="C62" t="s">
        <v>106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  <c r="P62" s="5"/>
      <c r="R62" s="5"/>
      <c r="S62" s="5"/>
    </row>
    <row r="63" spans="1:19" x14ac:dyDescent="0.35">
      <c r="A63" t="s">
        <v>166</v>
      </c>
      <c r="B63" t="s">
        <v>89</v>
      </c>
      <c r="C63" t="s">
        <v>107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  <c r="P63" s="5"/>
      <c r="R63" s="5"/>
      <c r="S63" s="5"/>
    </row>
    <row r="64" spans="1:19" x14ac:dyDescent="0.35">
      <c r="A64" t="s">
        <v>166</v>
      </c>
      <c r="B64" t="s">
        <v>89</v>
      </c>
      <c r="C64" t="s">
        <v>110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  <c r="P64" s="5"/>
      <c r="R64" s="5"/>
      <c r="S64" s="5"/>
    </row>
    <row r="65" spans="1:19" x14ac:dyDescent="0.35">
      <c r="A65" t="s">
        <v>166</v>
      </c>
      <c r="B65" t="s">
        <v>89</v>
      </c>
      <c r="C65" t="s">
        <v>111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  <c r="P65" s="5"/>
      <c r="R65" s="5"/>
      <c r="S65" s="5"/>
    </row>
    <row r="66" spans="1:19" x14ac:dyDescent="0.35">
      <c r="A66" t="s">
        <v>166</v>
      </c>
      <c r="B66" t="s">
        <v>89</v>
      </c>
      <c r="C66" t="s">
        <v>112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  <c r="P66" s="5"/>
      <c r="R66" s="5"/>
      <c r="S66" s="5"/>
    </row>
    <row r="67" spans="1:19" x14ac:dyDescent="0.35">
      <c r="A67" t="s">
        <v>166</v>
      </c>
      <c r="B67" t="s">
        <v>89</v>
      </c>
      <c r="C67" t="s">
        <v>113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  <c r="P67" s="5"/>
      <c r="R67" s="5"/>
      <c r="S67" s="5"/>
    </row>
    <row r="68" spans="1:19" x14ac:dyDescent="0.35">
      <c r="A68" t="s">
        <v>166</v>
      </c>
      <c r="B68" t="s">
        <v>89</v>
      </c>
      <c r="C68" t="s">
        <v>114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  <c r="P68" s="5"/>
      <c r="R68" s="5"/>
      <c r="S68" s="5"/>
    </row>
    <row r="69" spans="1:19" x14ac:dyDescent="0.35">
      <c r="A69" t="s">
        <v>166</v>
      </c>
      <c r="B69" t="s">
        <v>89</v>
      </c>
      <c r="C69" t="s">
        <v>115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  <c r="P69" s="5"/>
      <c r="R69" s="5"/>
      <c r="S69" s="5"/>
    </row>
    <row r="70" spans="1:19" x14ac:dyDescent="0.35">
      <c r="A70" t="s">
        <v>166</v>
      </c>
      <c r="B70" t="s">
        <v>89</v>
      </c>
      <c r="C70" t="s">
        <v>116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  <c r="P70" s="5"/>
      <c r="R70" s="5"/>
      <c r="S70" s="5"/>
    </row>
    <row r="71" spans="1:19" x14ac:dyDescent="0.35">
      <c r="A71" t="s">
        <v>166</v>
      </c>
      <c r="B71" t="s">
        <v>89</v>
      </c>
      <c r="C71" t="s">
        <v>117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  <c r="P71" s="5"/>
      <c r="R71" s="5"/>
      <c r="S71" s="5"/>
    </row>
    <row r="72" spans="1:19" x14ac:dyDescent="0.35">
      <c r="A72" t="s">
        <v>166</v>
      </c>
      <c r="B72" t="s">
        <v>89</v>
      </c>
      <c r="C72" t="s">
        <v>118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  <c r="P72" s="5"/>
      <c r="R72" s="5"/>
      <c r="S72" s="5"/>
    </row>
    <row r="73" spans="1:19" x14ac:dyDescent="0.35">
      <c r="A73" t="s">
        <v>166</v>
      </c>
      <c r="B73" t="s">
        <v>89</v>
      </c>
      <c r="C73" t="s">
        <v>119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  <c r="P73" s="5"/>
      <c r="R73" s="5"/>
      <c r="S73" s="5"/>
    </row>
    <row r="74" spans="1:19" x14ac:dyDescent="0.35">
      <c r="A74" t="s">
        <v>166</v>
      </c>
      <c r="B74" t="s">
        <v>89</v>
      </c>
      <c r="C74" t="s">
        <v>120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  <c r="P74" s="5"/>
      <c r="R74" s="5"/>
      <c r="S74" s="5"/>
    </row>
    <row r="75" spans="1:19" x14ac:dyDescent="0.35">
      <c r="A75" t="s">
        <v>166</v>
      </c>
      <c r="B75" t="s">
        <v>89</v>
      </c>
      <c r="C75" t="s">
        <v>121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  <c r="P75" s="5"/>
      <c r="R75" s="5"/>
      <c r="S75" s="5"/>
    </row>
    <row r="76" spans="1:19" x14ac:dyDescent="0.35">
      <c r="A76" t="s">
        <v>166</v>
      </c>
      <c r="B76" t="s">
        <v>89</v>
      </c>
      <c r="C76" t="s">
        <v>122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  <c r="P76" s="5"/>
      <c r="R76" s="5"/>
      <c r="S76" s="5"/>
    </row>
    <row r="77" spans="1:19" x14ac:dyDescent="0.35">
      <c r="A77" t="s">
        <v>166</v>
      </c>
      <c r="B77" t="s">
        <v>89</v>
      </c>
      <c r="C77" t="s">
        <v>123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  <c r="P77" s="5"/>
      <c r="R77" s="5"/>
      <c r="S77" s="5"/>
    </row>
    <row r="78" spans="1:19" x14ac:dyDescent="0.35">
      <c r="A78" t="s">
        <v>166</v>
      </c>
      <c r="B78" t="s">
        <v>89</v>
      </c>
      <c r="C78" t="s">
        <v>124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  <c r="P78" s="5"/>
      <c r="R78" s="5"/>
      <c r="S78" s="5"/>
    </row>
    <row r="79" spans="1:19" x14ac:dyDescent="0.35">
      <c r="A79" t="s">
        <v>166</v>
      </c>
      <c r="B79" t="s">
        <v>89</v>
      </c>
      <c r="C79" t="s">
        <v>125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  <c r="P79" s="5"/>
      <c r="R79" s="5"/>
      <c r="S79" s="5"/>
    </row>
    <row r="80" spans="1:19" x14ac:dyDescent="0.35">
      <c r="A80" t="s">
        <v>166</v>
      </c>
      <c r="B80" t="s">
        <v>89</v>
      </c>
      <c r="C80" t="s">
        <v>126</v>
      </c>
      <c r="D80" t="s">
        <v>242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  <c r="P80" s="5"/>
      <c r="R80" s="5"/>
      <c r="S80" s="5"/>
    </row>
    <row r="81" spans="1:19" x14ac:dyDescent="0.35">
      <c r="A81" t="s">
        <v>166</v>
      </c>
      <c r="B81" t="s">
        <v>89</v>
      </c>
      <c r="C81" t="s">
        <v>127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  <c r="P81" s="5"/>
      <c r="R81" s="5"/>
      <c r="S81" s="5"/>
    </row>
    <row r="82" spans="1:19" x14ac:dyDescent="0.35">
      <c r="A82" t="s">
        <v>166</v>
      </c>
      <c r="B82" t="s">
        <v>89</v>
      </c>
      <c r="C82" t="s">
        <v>128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  <c r="P82" s="5"/>
      <c r="R82" s="5"/>
      <c r="S82" s="5"/>
    </row>
    <row r="83" spans="1:19" x14ac:dyDescent="0.35">
      <c r="A83" t="s">
        <v>166</v>
      </c>
      <c r="B83" t="s">
        <v>89</v>
      </c>
      <c r="C83" t="s">
        <v>129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  <c r="P83" s="5"/>
      <c r="R83" s="5"/>
      <c r="S83" s="5"/>
    </row>
    <row r="84" spans="1:19" x14ac:dyDescent="0.35">
      <c r="A84" t="s">
        <v>166</v>
      </c>
      <c r="B84" t="s">
        <v>89</v>
      </c>
      <c r="C84" t="s">
        <v>130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  <c r="P84" s="5"/>
      <c r="R84" s="5"/>
      <c r="S84" s="5"/>
    </row>
    <row r="85" spans="1:19" x14ac:dyDescent="0.35">
      <c r="A85" t="s">
        <v>166</v>
      </c>
      <c r="B85" t="s">
        <v>89</v>
      </c>
      <c r="C85" t="s">
        <v>131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  <c r="P85" s="5"/>
      <c r="R85" s="5"/>
      <c r="S85" s="5"/>
    </row>
    <row r="86" spans="1:19" x14ac:dyDescent="0.35">
      <c r="A86" t="s">
        <v>166</v>
      </c>
      <c r="B86" t="s">
        <v>89</v>
      </c>
      <c r="C86" t="s">
        <v>132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  <c r="P86" s="5"/>
      <c r="R86" s="5"/>
      <c r="S86" s="5"/>
    </row>
    <row r="87" spans="1:19" x14ac:dyDescent="0.35">
      <c r="A87" t="s">
        <v>166</v>
      </c>
      <c r="B87" t="s">
        <v>89</v>
      </c>
      <c r="C87" t="s">
        <v>133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  <c r="P87" s="5"/>
      <c r="R87" s="5"/>
      <c r="S87" s="5"/>
    </row>
    <row r="88" spans="1:19" x14ac:dyDescent="0.35">
      <c r="A88" t="s">
        <v>166</v>
      </c>
      <c r="B88" t="s">
        <v>89</v>
      </c>
      <c r="C88" t="s">
        <v>134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  <c r="P88" s="5"/>
      <c r="R88" s="5"/>
      <c r="S88" s="5"/>
    </row>
    <row r="89" spans="1:19" x14ac:dyDescent="0.35">
      <c r="A89" t="s">
        <v>166</v>
      </c>
      <c r="B89" t="s">
        <v>89</v>
      </c>
      <c r="C89" t="s">
        <v>135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  <c r="P89" s="5"/>
      <c r="R89" s="5"/>
      <c r="S89" s="5"/>
    </row>
    <row r="90" spans="1:19" x14ac:dyDescent="0.35">
      <c r="A90" t="s">
        <v>166</v>
      </c>
      <c r="B90" t="s">
        <v>89</v>
      </c>
      <c r="C90" t="s">
        <v>136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  <c r="P90" s="5"/>
      <c r="R90" s="5"/>
      <c r="S90" s="5"/>
    </row>
    <row r="91" spans="1:19" x14ac:dyDescent="0.35">
      <c r="A91" t="s">
        <v>166</v>
      </c>
      <c r="B91" t="s">
        <v>89</v>
      </c>
      <c r="C91" t="s">
        <v>137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  <c r="P91" s="5"/>
      <c r="R91" s="5"/>
      <c r="S91" s="5"/>
    </row>
    <row r="92" spans="1:19" x14ac:dyDescent="0.35">
      <c r="A92" t="s">
        <v>166</v>
      </c>
      <c r="B92" t="s">
        <v>89</v>
      </c>
      <c r="C92" t="s">
        <v>138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  <c r="P92" s="5"/>
      <c r="R92" s="5"/>
      <c r="S92" s="5"/>
    </row>
    <row r="93" spans="1:19" x14ac:dyDescent="0.35">
      <c r="A93" t="s">
        <v>166</v>
      </c>
      <c r="B93" t="s">
        <v>89</v>
      </c>
      <c r="C93" t="s">
        <v>139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  <c r="P93" s="5"/>
      <c r="R93" s="5"/>
      <c r="S93" s="5"/>
    </row>
    <row r="94" spans="1:19" x14ac:dyDescent="0.35">
      <c r="A94" t="s">
        <v>166</v>
      </c>
      <c r="B94" t="s">
        <v>89</v>
      </c>
      <c r="C94" t="s">
        <v>140</v>
      </c>
      <c r="D94" t="s">
        <v>243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  <c r="P94" s="5"/>
      <c r="R94" s="5"/>
      <c r="S94" s="5"/>
    </row>
    <row r="95" spans="1:19" x14ac:dyDescent="0.35">
      <c r="A95" t="s">
        <v>166</v>
      </c>
      <c r="B95" t="s">
        <v>89</v>
      </c>
      <c r="C95" t="s">
        <v>141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  <c r="P95" s="5"/>
      <c r="R95" s="5"/>
      <c r="S95" s="5"/>
    </row>
    <row r="96" spans="1:19" x14ac:dyDescent="0.35">
      <c r="A96" t="s">
        <v>166</v>
      </c>
      <c r="B96" t="s">
        <v>89</v>
      </c>
      <c r="C96" t="s">
        <v>142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  <c r="P96" s="5"/>
      <c r="R96" s="5"/>
      <c r="S96" s="5"/>
    </row>
    <row r="97" spans="1:19" x14ac:dyDescent="0.35">
      <c r="A97" t="s">
        <v>166</v>
      </c>
      <c r="B97" t="s">
        <v>89</v>
      </c>
      <c r="C97" t="s">
        <v>143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  <c r="P97" s="5"/>
      <c r="R97" s="5"/>
      <c r="S97" s="5"/>
    </row>
    <row r="98" spans="1:19" x14ac:dyDescent="0.35">
      <c r="A98" t="s">
        <v>166</v>
      </c>
      <c r="B98" t="s">
        <v>89</v>
      </c>
      <c r="C98" t="s">
        <v>144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61" si="8">I98/F98</f>
        <v>1.5119341940755684</v>
      </c>
      <c r="K98" s="5">
        <f t="shared" ref="K98:K103" si="9">I98/G98</f>
        <v>10.941502699690641</v>
      </c>
      <c r="P98" s="5"/>
      <c r="R98" s="5"/>
      <c r="S98" s="5"/>
    </row>
    <row r="99" spans="1:19" x14ac:dyDescent="0.35">
      <c r="A99" t="s">
        <v>166</v>
      </c>
      <c r="B99" t="s">
        <v>89</v>
      </c>
      <c r="C99" t="s">
        <v>145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  <c r="P99" s="5"/>
      <c r="R99" s="5"/>
      <c r="S99" s="5"/>
    </row>
    <row r="100" spans="1:19" x14ac:dyDescent="0.35">
      <c r="A100" t="s">
        <v>166</v>
      </c>
      <c r="B100" t="s">
        <v>89</v>
      </c>
      <c r="C100" t="s">
        <v>147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  <c r="P100" s="5"/>
      <c r="R100" s="5"/>
      <c r="S100" s="5"/>
    </row>
    <row r="101" spans="1:19" x14ac:dyDescent="0.35">
      <c r="A101" t="s">
        <v>166</v>
      </c>
      <c r="B101" t="s">
        <v>89</v>
      </c>
      <c r="C101" t="s">
        <v>148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  <c r="P101" s="5"/>
      <c r="R101" s="5"/>
      <c r="S101" s="5"/>
    </row>
    <row r="102" spans="1:19" x14ac:dyDescent="0.35">
      <c r="A102" t="s">
        <v>166</v>
      </c>
      <c r="B102" t="s">
        <v>89</v>
      </c>
      <c r="C102" t="s">
        <v>149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  <c r="P102" s="5"/>
      <c r="R102" s="5"/>
      <c r="S102" s="5"/>
    </row>
    <row r="103" spans="1:19" x14ac:dyDescent="0.35">
      <c r="A103" t="s">
        <v>166</v>
      </c>
      <c r="B103" t="s">
        <v>89</v>
      </c>
      <c r="C103" t="s">
        <v>150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  <c r="P103" s="5"/>
      <c r="R103" s="5"/>
      <c r="S103" s="5"/>
    </row>
    <row r="104" spans="1:19" x14ac:dyDescent="0.35">
      <c r="A104" t="s">
        <v>166</v>
      </c>
      <c r="B104" t="s">
        <v>80</v>
      </c>
      <c r="C104" t="s">
        <v>95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>
        <f>NTD_Service[[#This Row],[total_unlinked_trips]]*NTD_Service[[#This Row],[avg_trip_length]]</f>
        <v>562925.26999148005</v>
      </c>
      <c r="J104" s="6">
        <f t="shared" si="8"/>
        <v>0.75865223642294488</v>
      </c>
      <c r="K104" s="7">
        <f>K53</f>
        <v>6.3184715798442062</v>
      </c>
    </row>
    <row r="105" spans="1:19" x14ac:dyDescent="0.35">
      <c r="A105" t="s">
        <v>166</v>
      </c>
      <c r="B105" t="s">
        <v>80</v>
      </c>
      <c r="C105" t="s">
        <v>96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>
        <f>NTD_Service[[#This Row],[total_unlinked_trips]]*NTD_Service[[#This Row],[avg_trip_length]]</f>
        <v>10266694.964827895</v>
      </c>
      <c r="J105" s="6">
        <f t="shared" si="8"/>
        <v>2.7379189343981039</v>
      </c>
      <c r="K105" s="7">
        <f>K54</f>
        <v>10.589975135798413</v>
      </c>
    </row>
    <row r="106" spans="1:19" x14ac:dyDescent="0.35">
      <c r="A106" t="s">
        <v>166</v>
      </c>
      <c r="B106" t="s">
        <v>80</v>
      </c>
      <c r="C106" t="s">
        <v>97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>
        <f>NTD_Service[[#This Row],[total_unlinked_trips]]*NTD_Service[[#This Row],[avg_trip_length]]</f>
        <v>7190145.2995057357</v>
      </c>
      <c r="J106" s="6">
        <f t="shared" si="8"/>
        <v>0.60311019905050534</v>
      </c>
      <c r="K106" s="7">
        <f t="shared" ref="K106:K143" si="10">K55</f>
        <v>7.9960602122368787</v>
      </c>
    </row>
    <row r="107" spans="1:19" x14ac:dyDescent="0.35">
      <c r="A107" t="s">
        <v>166</v>
      </c>
      <c r="B107" t="s">
        <v>80</v>
      </c>
      <c r="C107" t="s">
        <v>98</v>
      </c>
      <c r="D107" t="s">
        <v>99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6"/>
      <c r="K107" s="7"/>
    </row>
    <row r="108" spans="1:19" x14ac:dyDescent="0.35">
      <c r="A108" t="s">
        <v>166</v>
      </c>
      <c r="B108" t="s">
        <v>80</v>
      </c>
      <c r="C108" t="s">
        <v>100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>
        <f>NTD_Service[[#This Row],[total_unlinked_trips]]*NTD_Service[[#This Row],[avg_trip_length]]</f>
        <v>566757.62837688648</v>
      </c>
      <c r="J108" s="6">
        <f t="shared" si="8"/>
        <v>1.7097844158359548</v>
      </c>
      <c r="K108" s="7">
        <f>K56</f>
        <v>8.3904427722047501</v>
      </c>
    </row>
    <row r="109" spans="1:19" x14ac:dyDescent="0.35">
      <c r="A109" t="s">
        <v>166</v>
      </c>
      <c r="B109" t="s">
        <v>80</v>
      </c>
      <c r="C109" t="s">
        <v>101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>
        <f>NTD_Service[[#This Row],[total_unlinked_trips]]*NTD_Service[[#This Row],[avg_trip_length]]</f>
        <v>10445818.186677864</v>
      </c>
      <c r="J109" s="6">
        <f t="shared" si="8"/>
        <v>3.2518918914466419</v>
      </c>
      <c r="K109" s="7">
        <f t="shared" ref="K109:K111" si="11">K57</f>
        <v>9.8083168262395954</v>
      </c>
    </row>
    <row r="110" spans="1:19" x14ac:dyDescent="0.35">
      <c r="A110" t="s">
        <v>166</v>
      </c>
      <c r="B110" t="s">
        <v>80</v>
      </c>
      <c r="C110" t="s">
        <v>102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>
        <f>NTD_Service[[#This Row],[total_unlinked_trips]]*NTD_Service[[#This Row],[avg_trip_length]]</f>
        <v>5451540.3241197737</v>
      </c>
      <c r="J110" s="6">
        <f t="shared" si="8"/>
        <v>1.6358249232038988</v>
      </c>
      <c r="K110" s="7">
        <f t="shared" si="11"/>
        <v>8.7570302684673322</v>
      </c>
    </row>
    <row r="111" spans="1:19" x14ac:dyDescent="0.35">
      <c r="A111" t="s">
        <v>166</v>
      </c>
      <c r="B111" t="s">
        <v>80</v>
      </c>
      <c r="C111" t="s">
        <v>103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>
        <f>NTD_Service[[#This Row],[total_unlinked_trips]]*NTD_Service[[#This Row],[avg_trip_length]]</f>
        <v>388794.24323650124</v>
      </c>
      <c r="J111" s="6">
        <f t="shared" si="8"/>
        <v>0.90510512746038652</v>
      </c>
      <c r="K111" s="7">
        <f t="shared" si="11"/>
        <v>7.6653505103704829</v>
      </c>
    </row>
    <row r="112" spans="1:19" x14ac:dyDescent="0.35">
      <c r="A112" t="s">
        <v>166</v>
      </c>
      <c r="B112" t="s">
        <v>80</v>
      </c>
      <c r="C112" t="s">
        <v>106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>
        <f>NTD_Service[[#This Row],[total_unlinked_trips]]*NTD_Service[[#This Row],[avg_trip_length]]</f>
        <v>10569418.168435771</v>
      </c>
      <c r="J112" s="6">
        <f t="shared" si="8"/>
        <v>1.0350989517440832</v>
      </c>
      <c r="K112" s="7">
        <f>K62</f>
        <v>11.469622999146807</v>
      </c>
    </row>
    <row r="113" spans="1:11" x14ac:dyDescent="0.35">
      <c r="A113" t="s">
        <v>166</v>
      </c>
      <c r="B113" t="s">
        <v>80</v>
      </c>
      <c r="C113" t="s">
        <v>107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>
        <f>NTD_Service[[#This Row],[total_unlinked_trips]]*NTD_Service[[#This Row],[avg_trip_length]]</f>
        <v>18426959.093820613</v>
      </c>
      <c r="J113" s="6">
        <f t="shared" si="8"/>
        <v>1.1301181915898102</v>
      </c>
      <c r="K113" s="7">
        <f>K63</f>
        <v>11.780677710975173</v>
      </c>
    </row>
    <row r="114" spans="1:11" x14ac:dyDescent="0.35">
      <c r="A114" t="s">
        <v>166</v>
      </c>
      <c r="B114" t="s">
        <v>80</v>
      </c>
      <c r="C114" t="s">
        <v>108</v>
      </c>
      <c r="D114" t="s">
        <v>109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6"/>
      <c r="K114" s="7"/>
    </row>
    <row r="115" spans="1:11" x14ac:dyDescent="0.35">
      <c r="A115" t="s">
        <v>166</v>
      </c>
      <c r="B115" t="s">
        <v>80</v>
      </c>
      <c r="C115" t="s">
        <v>110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>
        <f>NTD_Service[[#This Row],[total_unlinked_trips]]*NTD_Service[[#This Row],[avg_trip_length]]</f>
        <v>1256438.4904069158</v>
      </c>
      <c r="J115" s="6">
        <f t="shared" si="8"/>
        <v>1.712083953325088</v>
      </c>
      <c r="K115" s="7">
        <f>K64</f>
        <v>10.226087692338936</v>
      </c>
    </row>
    <row r="116" spans="1:11" x14ac:dyDescent="0.35">
      <c r="A116" t="s">
        <v>166</v>
      </c>
      <c r="B116" t="s">
        <v>80</v>
      </c>
      <c r="C116" t="s">
        <v>111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>
        <f>NTD_Service[[#This Row],[total_unlinked_trips]]*NTD_Service[[#This Row],[avg_trip_length]]</f>
        <v>17166627.164271925</v>
      </c>
      <c r="J116" s="6">
        <f t="shared" si="8"/>
        <v>1.3190185806301848</v>
      </c>
      <c r="K116" s="7">
        <f t="shared" si="10"/>
        <v>6.6000155187631542</v>
      </c>
    </row>
    <row r="117" spans="1:11" x14ac:dyDescent="0.35">
      <c r="A117" t="s">
        <v>166</v>
      </c>
      <c r="B117" t="s">
        <v>80</v>
      </c>
      <c r="C117" t="s">
        <v>112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>
        <f>NTD_Service[[#This Row],[total_unlinked_trips]]*NTD_Service[[#This Row],[avg_trip_length]]</f>
        <v>396663.08222224278</v>
      </c>
      <c r="J117" s="6">
        <f t="shared" si="8"/>
        <v>1.3153747101636588</v>
      </c>
      <c r="K117" s="7">
        <f t="shared" si="10"/>
        <v>5.8595624820480507</v>
      </c>
    </row>
    <row r="118" spans="1:11" x14ac:dyDescent="0.35">
      <c r="A118" t="s">
        <v>166</v>
      </c>
      <c r="B118" t="s">
        <v>80</v>
      </c>
      <c r="C118" t="s">
        <v>113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2">F118/E118</f>
        <v>22860.811708860758</v>
      </c>
      <c r="I118" s="6">
        <f>NTD_Service[[#This Row],[total_unlinked_trips]]*NTD_Service[[#This Row],[avg_trip_length]]</f>
        <v>17157202.418264229</v>
      </c>
      <c r="J118" s="6">
        <f t="shared" si="8"/>
        <v>1.1875112977845654</v>
      </c>
      <c r="K118" s="7">
        <f t="shared" si="10"/>
        <v>8.3166476013098567</v>
      </c>
    </row>
    <row r="119" spans="1:11" x14ac:dyDescent="0.35">
      <c r="A119" t="s">
        <v>166</v>
      </c>
      <c r="B119" t="s">
        <v>80</v>
      </c>
      <c r="C119" t="s">
        <v>114</v>
      </c>
      <c r="D119" t="s">
        <v>17</v>
      </c>
      <c r="E119">
        <v>407</v>
      </c>
      <c r="F119">
        <v>9778757</v>
      </c>
      <c r="G119">
        <v>1380760</v>
      </c>
      <c r="H119" s="5">
        <f t="shared" si="12"/>
        <v>24026.429975429975</v>
      </c>
      <c r="I119" s="6">
        <f>NTD_Service[[#This Row],[total_unlinked_trips]]*NTD_Service[[#This Row],[avg_trip_length]]</f>
        <v>11192047.829513034</v>
      </c>
      <c r="J119" s="6">
        <f t="shared" si="8"/>
        <v>1.1445266335499527</v>
      </c>
      <c r="K119" s="7">
        <f t="shared" si="10"/>
        <v>8.1057155693335794</v>
      </c>
    </row>
    <row r="120" spans="1:11" x14ac:dyDescent="0.35">
      <c r="A120" t="s">
        <v>166</v>
      </c>
      <c r="B120" t="s">
        <v>80</v>
      </c>
      <c r="C120" t="s">
        <v>115</v>
      </c>
      <c r="D120" t="s">
        <v>19</v>
      </c>
      <c r="E120">
        <v>315</v>
      </c>
      <c r="F120">
        <v>5475118</v>
      </c>
      <c r="G120">
        <v>905857</v>
      </c>
      <c r="H120" s="5">
        <f t="shared" si="12"/>
        <v>17381.326984126983</v>
      </c>
      <c r="I120" s="6">
        <f>NTD_Service[[#This Row],[total_unlinked_trips]]*NTD_Service[[#This Row],[avg_trip_length]]</f>
        <v>5746081.4878876777</v>
      </c>
      <c r="J120" s="6">
        <f t="shared" si="8"/>
        <v>1.0494899813826255</v>
      </c>
      <c r="K120" s="7">
        <f t="shared" si="10"/>
        <v>6.3432544958946915</v>
      </c>
    </row>
    <row r="121" spans="1:11" x14ac:dyDescent="0.35">
      <c r="A121" t="s">
        <v>166</v>
      </c>
      <c r="B121" t="s">
        <v>80</v>
      </c>
      <c r="C121" t="s">
        <v>116</v>
      </c>
      <c r="D121" t="s">
        <v>20</v>
      </c>
      <c r="E121">
        <v>1019</v>
      </c>
      <c r="F121">
        <v>26592549</v>
      </c>
      <c r="G121">
        <v>2269903</v>
      </c>
      <c r="H121" s="5">
        <f t="shared" si="12"/>
        <v>26096.711481844945</v>
      </c>
      <c r="I121" s="6">
        <f>NTD_Service[[#This Row],[total_unlinked_trips]]*NTD_Service[[#This Row],[avg_trip_length]]</f>
        <v>21782528.59417206</v>
      </c>
      <c r="J121" s="6">
        <f t="shared" si="8"/>
        <v>0.81912149881427543</v>
      </c>
      <c r="K121" s="7">
        <f t="shared" si="10"/>
        <v>9.596237634018749</v>
      </c>
    </row>
    <row r="122" spans="1:11" x14ac:dyDescent="0.35">
      <c r="A122" t="s">
        <v>166</v>
      </c>
      <c r="B122" t="s">
        <v>80</v>
      </c>
      <c r="C122" t="s">
        <v>117</v>
      </c>
      <c r="D122" t="s">
        <v>21</v>
      </c>
      <c r="E122">
        <v>280</v>
      </c>
      <c r="F122">
        <v>5110685</v>
      </c>
      <c r="G122">
        <v>497921</v>
      </c>
      <c r="H122" s="5">
        <f t="shared" si="12"/>
        <v>18252.446428571428</v>
      </c>
      <c r="I122" s="6">
        <f>NTD_Service[[#This Row],[total_unlinked_trips]]*NTD_Service[[#This Row],[avg_trip_length]]</f>
        <v>4667597.9945196146</v>
      </c>
      <c r="J122" s="6">
        <f t="shared" si="8"/>
        <v>0.91330183615691729</v>
      </c>
      <c r="K122" s="7">
        <f t="shared" si="10"/>
        <v>9.3741738037150757</v>
      </c>
    </row>
    <row r="123" spans="1:11" x14ac:dyDescent="0.35">
      <c r="A123" t="s">
        <v>166</v>
      </c>
      <c r="B123" t="s">
        <v>80</v>
      </c>
      <c r="C123" t="s">
        <v>118</v>
      </c>
      <c r="D123" t="s">
        <v>24</v>
      </c>
      <c r="E123">
        <v>24</v>
      </c>
      <c r="F123">
        <v>318591</v>
      </c>
      <c r="G123">
        <v>42409</v>
      </c>
      <c r="H123" s="5">
        <f t="shared" si="12"/>
        <v>13274.625</v>
      </c>
      <c r="I123" s="6">
        <f>NTD_Service[[#This Row],[total_unlinked_trips]]*NTD_Service[[#This Row],[avg_trip_length]]</f>
        <v>319506.09602645307</v>
      </c>
      <c r="J123" s="6">
        <f t="shared" si="8"/>
        <v>1.0028723222766904</v>
      </c>
      <c r="K123" s="7">
        <f t="shared" si="10"/>
        <v>7.533921951153129</v>
      </c>
    </row>
    <row r="124" spans="1:11" x14ac:dyDescent="0.35">
      <c r="A124" t="s">
        <v>166</v>
      </c>
      <c r="B124" t="s">
        <v>80</v>
      </c>
      <c r="C124" t="s">
        <v>119</v>
      </c>
      <c r="D124" t="s">
        <v>23</v>
      </c>
      <c r="E124">
        <v>101</v>
      </c>
      <c r="F124">
        <v>1453758</v>
      </c>
      <c r="G124">
        <v>234160</v>
      </c>
      <c r="H124" s="5">
        <f t="shared" si="12"/>
        <v>14393.643564356436</v>
      </c>
      <c r="I124" s="6">
        <f>NTD_Service[[#This Row],[total_unlinked_trips]]*NTD_Service[[#This Row],[avg_trip_length]]</f>
        <v>2327075.559454829</v>
      </c>
      <c r="J124" s="6">
        <f t="shared" si="8"/>
        <v>1.6007310428935415</v>
      </c>
      <c r="K124" s="7">
        <f t="shared" si="10"/>
        <v>9.937972153462713</v>
      </c>
    </row>
    <row r="125" spans="1:11" x14ac:dyDescent="0.35">
      <c r="A125" t="s">
        <v>166</v>
      </c>
      <c r="B125" t="s">
        <v>80</v>
      </c>
      <c r="C125" t="s">
        <v>120</v>
      </c>
      <c r="D125" t="s">
        <v>22</v>
      </c>
      <c r="E125">
        <v>115</v>
      </c>
      <c r="F125">
        <v>3609321</v>
      </c>
      <c r="G125">
        <v>297325</v>
      </c>
      <c r="H125" s="5">
        <f t="shared" si="12"/>
        <v>31385.4</v>
      </c>
      <c r="I125" s="6">
        <f>NTD_Service[[#This Row],[total_unlinked_trips]]*NTD_Service[[#This Row],[avg_trip_length]]</f>
        <v>1318579.4671502302</v>
      </c>
      <c r="J125" s="6">
        <f t="shared" si="8"/>
        <v>0.36532618383076215</v>
      </c>
      <c r="K125" s="7">
        <f t="shared" si="10"/>
        <v>4.4348086005220893</v>
      </c>
    </row>
    <row r="126" spans="1:11" x14ac:dyDescent="0.35">
      <c r="A126" t="s">
        <v>166</v>
      </c>
      <c r="B126" t="s">
        <v>80</v>
      </c>
      <c r="C126" t="s">
        <v>121</v>
      </c>
      <c r="D126" t="s">
        <v>25</v>
      </c>
      <c r="E126">
        <v>844</v>
      </c>
      <c r="F126">
        <v>22240058</v>
      </c>
      <c r="G126">
        <v>4669434</v>
      </c>
      <c r="H126" s="5">
        <f t="shared" si="12"/>
        <v>26350.779620853082</v>
      </c>
      <c r="I126" s="6">
        <f>NTD_Service[[#This Row],[total_unlinked_trips]]*NTD_Service[[#This Row],[avg_trip_length]]</f>
        <v>41441855.402973965</v>
      </c>
      <c r="J126" s="6">
        <f t="shared" si="8"/>
        <v>1.8633879193558742</v>
      </c>
      <c r="K126" s="7">
        <f t="shared" si="10"/>
        <v>8.8751346315150759</v>
      </c>
    </row>
    <row r="127" spans="1:11" x14ac:dyDescent="0.35">
      <c r="A127" t="s">
        <v>166</v>
      </c>
      <c r="B127" t="s">
        <v>80</v>
      </c>
      <c r="C127" t="s">
        <v>122</v>
      </c>
      <c r="D127" t="s">
        <v>26</v>
      </c>
      <c r="E127">
        <v>416</v>
      </c>
      <c r="F127">
        <v>8140878</v>
      </c>
      <c r="G127">
        <v>2431866</v>
      </c>
      <c r="H127" s="5">
        <f t="shared" si="12"/>
        <v>19569.41826923077</v>
      </c>
      <c r="I127" s="6">
        <f>NTD_Service[[#This Row],[total_unlinked_trips]]*NTD_Service[[#This Row],[avg_trip_length]]</f>
        <v>25849252.874735739</v>
      </c>
      <c r="J127" s="6">
        <f t="shared" si="8"/>
        <v>3.1752414020620061</v>
      </c>
      <c r="K127" s="7">
        <f t="shared" si="10"/>
        <v>10.629390301412881</v>
      </c>
    </row>
    <row r="128" spans="1:11" x14ac:dyDescent="0.35">
      <c r="A128" t="s">
        <v>166</v>
      </c>
      <c r="B128" t="s">
        <v>80</v>
      </c>
      <c r="C128" t="s">
        <v>123</v>
      </c>
      <c r="D128" t="s">
        <v>28</v>
      </c>
      <c r="E128">
        <v>907</v>
      </c>
      <c r="F128">
        <v>16445697</v>
      </c>
      <c r="G128">
        <v>1733737</v>
      </c>
      <c r="H128" s="5">
        <f t="shared" si="12"/>
        <v>18131.970231532523</v>
      </c>
      <c r="I128" s="6">
        <f>NTD_Service[[#This Row],[total_unlinked_trips]]*NTD_Service[[#This Row],[avg_trip_length]]</f>
        <v>17039455.336933136</v>
      </c>
      <c r="J128" s="6">
        <f t="shared" si="8"/>
        <v>1.0361041758785374</v>
      </c>
      <c r="K128" s="7">
        <f t="shared" si="10"/>
        <v>9.8281661733775856</v>
      </c>
    </row>
    <row r="129" spans="1:11" x14ac:dyDescent="0.35">
      <c r="A129" t="s">
        <v>166</v>
      </c>
      <c r="B129" t="s">
        <v>80</v>
      </c>
      <c r="C129" t="s">
        <v>124</v>
      </c>
      <c r="D129" t="s">
        <v>27</v>
      </c>
      <c r="E129">
        <v>338</v>
      </c>
      <c r="F129">
        <v>9036099</v>
      </c>
      <c r="G129">
        <v>1062766</v>
      </c>
      <c r="H129" s="5">
        <f t="shared" si="12"/>
        <v>26734.020710059172</v>
      </c>
      <c r="I129" s="6">
        <f>NTD_Service[[#This Row],[total_unlinked_trips]]*NTD_Service[[#This Row],[avg_trip_length]]</f>
        <v>9647055.461188646</v>
      </c>
      <c r="J129" s="6">
        <f t="shared" si="8"/>
        <v>1.0676128560774563</v>
      </c>
      <c r="K129" s="7">
        <f t="shared" si="10"/>
        <v>9.0773090795044684</v>
      </c>
    </row>
    <row r="130" spans="1:11" x14ac:dyDescent="0.35">
      <c r="A130" t="s">
        <v>166</v>
      </c>
      <c r="B130" t="s">
        <v>80</v>
      </c>
      <c r="C130" t="s">
        <v>125</v>
      </c>
      <c r="D130" t="s">
        <v>29</v>
      </c>
      <c r="E130">
        <v>147</v>
      </c>
      <c r="F130">
        <v>1764970</v>
      </c>
      <c r="G130">
        <v>455064</v>
      </c>
      <c r="H130" s="5">
        <f t="shared" si="12"/>
        <v>12006.598639455782</v>
      </c>
      <c r="I130" s="6">
        <f>NTD_Service[[#This Row],[total_unlinked_trips]]*NTD_Service[[#This Row],[avg_trip_length]]</f>
        <v>1924446.144762831</v>
      </c>
      <c r="J130" s="6">
        <f t="shared" si="8"/>
        <v>1.0903562920405623</v>
      </c>
      <c r="K130" s="7">
        <f t="shared" si="10"/>
        <v>4.2289571241909512</v>
      </c>
    </row>
    <row r="131" spans="1:11" x14ac:dyDescent="0.35">
      <c r="A131" t="s">
        <v>166</v>
      </c>
      <c r="B131" t="s">
        <v>80</v>
      </c>
      <c r="C131" t="s">
        <v>126</v>
      </c>
      <c r="D131" t="s">
        <v>242</v>
      </c>
      <c r="E131">
        <v>666</v>
      </c>
      <c r="F131">
        <v>24570612</v>
      </c>
      <c r="G131">
        <v>2320652</v>
      </c>
      <c r="H131" s="5">
        <f t="shared" si="12"/>
        <v>36892.810810810814</v>
      </c>
      <c r="I131" s="6">
        <f>NTD_Service[[#This Row],[total_unlinked_trips]]*NTD_Service[[#This Row],[avg_trip_length]]</f>
        <v>22028847.3625088</v>
      </c>
      <c r="J131" s="6">
        <f t="shared" si="8"/>
        <v>0.89655265251467076</v>
      </c>
      <c r="K131" s="7">
        <f t="shared" si="10"/>
        <v>9.4925251017855334</v>
      </c>
    </row>
    <row r="132" spans="1:11" x14ac:dyDescent="0.35">
      <c r="A132" t="s">
        <v>166</v>
      </c>
      <c r="B132" t="s">
        <v>80</v>
      </c>
      <c r="C132" t="s">
        <v>127</v>
      </c>
      <c r="D132" t="s">
        <v>36</v>
      </c>
      <c r="E132">
        <v>166</v>
      </c>
      <c r="F132">
        <v>2724881</v>
      </c>
      <c r="G132">
        <v>453979</v>
      </c>
      <c r="H132" s="5">
        <f t="shared" si="12"/>
        <v>16414.945783132531</v>
      </c>
      <c r="I132" s="6">
        <f>NTD_Service[[#This Row],[total_unlinked_trips]]*NTD_Service[[#This Row],[avg_trip_length]]</f>
        <v>1931670.4571676846</v>
      </c>
      <c r="J132" s="6">
        <f t="shared" si="8"/>
        <v>0.70890085004361092</v>
      </c>
      <c r="K132" s="7">
        <f t="shared" si="10"/>
        <v>4.2549775588026861</v>
      </c>
    </row>
    <row r="133" spans="1:11" x14ac:dyDescent="0.35">
      <c r="A133" t="s">
        <v>166</v>
      </c>
      <c r="B133" t="s">
        <v>80</v>
      </c>
      <c r="C133" t="s">
        <v>128</v>
      </c>
      <c r="D133" t="s">
        <v>30</v>
      </c>
      <c r="E133">
        <v>259</v>
      </c>
      <c r="F133">
        <v>3164205</v>
      </c>
      <c r="G133">
        <v>606943</v>
      </c>
      <c r="H133" s="5">
        <f t="shared" si="12"/>
        <v>12217.007722007722</v>
      </c>
      <c r="I133" s="6">
        <f>NTD_Service[[#This Row],[total_unlinked_trips]]*NTD_Service[[#This Row],[avg_trip_length]]</f>
        <v>3856777.3035479723</v>
      </c>
      <c r="J133" s="6">
        <f t="shared" si="8"/>
        <v>1.2188771914423915</v>
      </c>
      <c r="K133" s="7">
        <f t="shared" si="10"/>
        <v>6.3544308173056985</v>
      </c>
    </row>
    <row r="134" spans="1:11" x14ac:dyDescent="0.35">
      <c r="A134" t="s">
        <v>166</v>
      </c>
      <c r="B134" t="s">
        <v>80</v>
      </c>
      <c r="C134" t="s">
        <v>129</v>
      </c>
      <c r="D134" t="s">
        <v>32</v>
      </c>
      <c r="E134">
        <v>18</v>
      </c>
      <c r="F134">
        <v>304250</v>
      </c>
      <c r="G134">
        <v>54931</v>
      </c>
      <c r="H134" s="5">
        <f t="shared" si="12"/>
        <v>16902.777777777777</v>
      </c>
      <c r="I134" s="6">
        <f>NTD_Service[[#This Row],[total_unlinked_trips]]*NTD_Service[[#This Row],[avg_trip_length]]</f>
        <v>352182.71851590934</v>
      </c>
      <c r="J134" s="6">
        <f t="shared" si="8"/>
        <v>1.1575438570777628</v>
      </c>
      <c r="K134" s="7">
        <f t="shared" si="10"/>
        <v>6.4113655042855466</v>
      </c>
    </row>
    <row r="135" spans="1:11" x14ac:dyDescent="0.35">
      <c r="A135" t="s">
        <v>166</v>
      </c>
      <c r="B135" t="s">
        <v>80</v>
      </c>
      <c r="C135" t="s">
        <v>130</v>
      </c>
      <c r="D135" t="s">
        <v>33</v>
      </c>
      <c r="E135">
        <v>68</v>
      </c>
      <c r="F135">
        <v>1139106</v>
      </c>
      <c r="G135">
        <v>153297</v>
      </c>
      <c r="H135" s="5">
        <f t="shared" si="12"/>
        <v>16751.558823529413</v>
      </c>
      <c r="I135" s="6">
        <f>NTD_Service[[#This Row],[total_unlinked_trips]]*NTD_Service[[#This Row],[avg_trip_length]]</f>
        <v>987672.76784286089</v>
      </c>
      <c r="J135" s="6">
        <f t="shared" si="8"/>
        <v>0.86705957816292856</v>
      </c>
      <c r="K135" s="7">
        <f t="shared" si="10"/>
        <v>6.4428708183647485</v>
      </c>
    </row>
    <row r="136" spans="1:11" x14ac:dyDescent="0.35">
      <c r="A136" t="s">
        <v>166</v>
      </c>
      <c r="B136" t="s">
        <v>80</v>
      </c>
      <c r="C136" t="s">
        <v>131</v>
      </c>
      <c r="D136" t="s">
        <v>34</v>
      </c>
      <c r="E136">
        <v>53</v>
      </c>
      <c r="F136">
        <v>938410</v>
      </c>
      <c r="G136">
        <v>254947</v>
      </c>
      <c r="H136" s="5">
        <f t="shared" si="12"/>
        <v>17705.849056603773</v>
      </c>
      <c r="I136" s="6">
        <f>NTD_Service[[#This Row],[total_unlinked_trips]]*NTD_Service[[#This Row],[avg_trip_length]]</f>
        <v>2241251.5829132446</v>
      </c>
      <c r="J136" s="6">
        <f t="shared" si="8"/>
        <v>2.388350063312672</v>
      </c>
      <c r="K136" s="7">
        <f t="shared" si="10"/>
        <v>8.7910490529923653</v>
      </c>
    </row>
    <row r="137" spans="1:11" x14ac:dyDescent="0.35">
      <c r="A137" t="s">
        <v>166</v>
      </c>
      <c r="B137" t="s">
        <v>80</v>
      </c>
      <c r="C137" t="s">
        <v>132</v>
      </c>
      <c r="D137" t="s">
        <v>31</v>
      </c>
      <c r="E137">
        <v>75</v>
      </c>
      <c r="F137">
        <v>971322</v>
      </c>
      <c r="G137">
        <v>170252</v>
      </c>
      <c r="H137" s="5">
        <f t="shared" si="12"/>
        <v>12950.96</v>
      </c>
      <c r="I137" s="6">
        <f>NTD_Service[[#This Row],[total_unlinked_trips]]*NTD_Service[[#This Row],[avg_trip_length]]</f>
        <v>1758040.2651973802</v>
      </c>
      <c r="J137" s="6">
        <f t="shared" si="8"/>
        <v>1.8099458935320936</v>
      </c>
      <c r="K137" s="7">
        <f t="shared" si="10"/>
        <v>10.326106390511596</v>
      </c>
    </row>
    <row r="138" spans="1:11" x14ac:dyDescent="0.35">
      <c r="A138" t="s">
        <v>166</v>
      </c>
      <c r="B138" t="s">
        <v>80</v>
      </c>
      <c r="C138" t="s">
        <v>133</v>
      </c>
      <c r="D138" t="s">
        <v>35</v>
      </c>
      <c r="E138">
        <v>40</v>
      </c>
      <c r="F138">
        <v>773466</v>
      </c>
      <c r="G138">
        <v>177160</v>
      </c>
      <c r="H138" s="5">
        <f t="shared" si="12"/>
        <v>19336.650000000001</v>
      </c>
      <c r="I138" s="6">
        <f>NTD_Service[[#This Row],[total_unlinked_trips]]*NTD_Service[[#This Row],[avg_trip_length]]</f>
        <v>1649181.8958188172</v>
      </c>
      <c r="J138" s="6">
        <f t="shared" si="8"/>
        <v>2.1321970142434408</v>
      </c>
      <c r="K138" s="7">
        <f t="shared" si="10"/>
        <v>9.308996928306712</v>
      </c>
    </row>
    <row r="139" spans="1:11" x14ac:dyDescent="0.35">
      <c r="A139" t="s">
        <v>166</v>
      </c>
      <c r="B139" t="s">
        <v>80</v>
      </c>
      <c r="C139" t="s">
        <v>134</v>
      </c>
      <c r="D139" t="s">
        <v>37</v>
      </c>
      <c r="E139">
        <v>498</v>
      </c>
      <c r="F139">
        <v>12442840</v>
      </c>
      <c r="G139">
        <v>1643216</v>
      </c>
      <c r="H139" s="5">
        <f t="shared" si="12"/>
        <v>24985.622489959838</v>
      </c>
      <c r="I139" s="6">
        <f>NTD_Service[[#This Row],[total_unlinked_trips]]*NTD_Service[[#This Row],[avg_trip_length]]</f>
        <v>15004468.656058287</v>
      </c>
      <c r="J139" s="6">
        <f t="shared" si="8"/>
        <v>1.2058717026063412</v>
      </c>
      <c r="K139" s="7">
        <f t="shared" si="10"/>
        <v>9.1311602711136501</v>
      </c>
    </row>
    <row r="140" spans="1:11" x14ac:dyDescent="0.35">
      <c r="A140" t="s">
        <v>166</v>
      </c>
      <c r="B140" t="s">
        <v>80</v>
      </c>
      <c r="C140" t="s">
        <v>135</v>
      </c>
      <c r="D140" t="s">
        <v>38</v>
      </c>
      <c r="E140">
        <v>761</v>
      </c>
      <c r="F140">
        <v>13976192</v>
      </c>
      <c r="G140">
        <v>1965654</v>
      </c>
      <c r="H140" s="5">
        <f t="shared" si="12"/>
        <v>18365.561103810775</v>
      </c>
      <c r="I140" s="6">
        <f>NTD_Service[[#This Row],[total_unlinked_trips]]*NTD_Service[[#This Row],[avg_trip_length]]</f>
        <v>17187505.577922802</v>
      </c>
      <c r="J140" s="6">
        <f t="shared" si="8"/>
        <v>1.2297702820570011</v>
      </c>
      <c r="K140" s="7">
        <f t="shared" si="10"/>
        <v>8.7439119895580824</v>
      </c>
    </row>
    <row r="141" spans="1:11" x14ac:dyDescent="0.35">
      <c r="A141" t="s">
        <v>166</v>
      </c>
      <c r="B141" t="s">
        <v>80</v>
      </c>
      <c r="C141" t="s">
        <v>136</v>
      </c>
      <c r="D141" t="s">
        <v>39</v>
      </c>
      <c r="E141">
        <v>163</v>
      </c>
      <c r="F141">
        <v>3206243</v>
      </c>
      <c r="G141">
        <v>557464</v>
      </c>
      <c r="H141" s="5">
        <f t="shared" si="12"/>
        <v>19670.202453987731</v>
      </c>
      <c r="I141" s="6">
        <f>NTD_Service[[#This Row],[total_unlinked_trips]]*NTD_Service[[#This Row],[avg_trip_length]]</f>
        <v>4219869.0526957316</v>
      </c>
      <c r="J141" s="6">
        <f t="shared" si="8"/>
        <v>1.3161413694145241</v>
      </c>
      <c r="K141" s="7">
        <f t="shared" si="10"/>
        <v>7.5697606530569352</v>
      </c>
    </row>
    <row r="142" spans="1:11" x14ac:dyDescent="0.35">
      <c r="A142" t="s">
        <v>166</v>
      </c>
      <c r="B142" t="s">
        <v>80</v>
      </c>
      <c r="C142" t="s">
        <v>137</v>
      </c>
      <c r="D142" t="s">
        <v>40</v>
      </c>
      <c r="E142">
        <v>187</v>
      </c>
      <c r="F142">
        <v>3575196</v>
      </c>
      <c r="G142">
        <v>463211</v>
      </c>
      <c r="H142" s="5">
        <f t="shared" si="12"/>
        <v>19118.695187165777</v>
      </c>
      <c r="I142" s="6">
        <f>NTD_Service[[#This Row],[total_unlinked_trips]]*NTD_Service[[#This Row],[avg_trip_length]]</f>
        <v>4169090.6694898754</v>
      </c>
      <c r="J142" s="6">
        <f t="shared" si="8"/>
        <v>1.1661152757750555</v>
      </c>
      <c r="K142" s="7">
        <f t="shared" si="10"/>
        <v>9.0004137844089964</v>
      </c>
    </row>
    <row r="143" spans="1:11" x14ac:dyDescent="0.35">
      <c r="A143" t="s">
        <v>166</v>
      </c>
      <c r="B143" t="s">
        <v>80</v>
      </c>
      <c r="C143" t="s">
        <v>138</v>
      </c>
      <c r="D143" t="s">
        <v>87</v>
      </c>
      <c r="E143">
        <v>2</v>
      </c>
      <c r="F143">
        <v>4680</v>
      </c>
      <c r="G143">
        <v>1691</v>
      </c>
      <c r="H143" s="5">
        <f t="shared" si="12"/>
        <v>2340</v>
      </c>
      <c r="I143" s="6">
        <f>NTD_Service[[#This Row],[total_unlinked_trips]]*NTD_Service[[#This Row],[avg_trip_length]]</f>
        <v>21381.897588192947</v>
      </c>
      <c r="J143" s="6">
        <f t="shared" si="8"/>
        <v>4.5687815359386637</v>
      </c>
      <c r="K143" s="7">
        <f t="shared" si="10"/>
        <v>12.644528437724983</v>
      </c>
    </row>
    <row r="144" spans="1:11" x14ac:dyDescent="0.35">
      <c r="A144" t="s">
        <v>166</v>
      </c>
      <c r="B144" t="s">
        <v>80</v>
      </c>
      <c r="C144" t="s">
        <v>140</v>
      </c>
      <c r="D144" t="s">
        <v>243</v>
      </c>
      <c r="E144">
        <v>152</v>
      </c>
      <c r="F144">
        <v>4965661</v>
      </c>
      <c r="G144">
        <v>394988</v>
      </c>
      <c r="H144" s="5">
        <f t="shared" si="12"/>
        <v>32668.822368421053</v>
      </c>
      <c r="I144" s="6">
        <f>NTD_Service[[#This Row],[total_unlinked_trips]]*NTD_Service[[#This Row],[avg_trip_length]]</f>
        <v>4808799.4207335319</v>
      </c>
      <c r="J144" s="6">
        <f t="shared" si="8"/>
        <v>0.96841073539525391</v>
      </c>
      <c r="K144" s="7">
        <f t="shared" ref="K144:K153" si="13">K94</f>
        <v>12.174545608305904</v>
      </c>
    </row>
    <row r="145" spans="1:11" x14ac:dyDescent="0.35">
      <c r="A145" t="s">
        <v>166</v>
      </c>
      <c r="B145" t="s">
        <v>80</v>
      </c>
      <c r="C145" t="s">
        <v>141</v>
      </c>
      <c r="D145" t="s">
        <v>42</v>
      </c>
      <c r="E145">
        <v>251</v>
      </c>
      <c r="F145">
        <v>3773456</v>
      </c>
      <c r="G145">
        <v>1288016</v>
      </c>
      <c r="H145" s="5">
        <f t="shared" si="12"/>
        <v>15033.689243027888</v>
      </c>
      <c r="I145" s="6">
        <f>NTD_Service[[#This Row],[total_unlinked_trips]]*NTD_Service[[#This Row],[avg_trip_length]]</f>
        <v>8661473.3392003421</v>
      </c>
      <c r="J145" s="6">
        <f t="shared" si="8"/>
        <v>2.2953688446878253</v>
      </c>
      <c r="K145" s="7">
        <f t="shared" si="13"/>
        <v>6.7246628451823129</v>
      </c>
    </row>
    <row r="146" spans="1:11" x14ac:dyDescent="0.35">
      <c r="A146" t="s">
        <v>166</v>
      </c>
      <c r="B146" t="s">
        <v>80</v>
      </c>
      <c r="C146" t="s">
        <v>142</v>
      </c>
      <c r="D146" t="s">
        <v>43</v>
      </c>
      <c r="E146">
        <v>424</v>
      </c>
      <c r="F146">
        <v>13526021</v>
      </c>
      <c r="G146">
        <v>839201</v>
      </c>
      <c r="H146" s="5">
        <f t="shared" si="12"/>
        <v>31900.992924528302</v>
      </c>
      <c r="I146" s="6">
        <f>NTD_Service[[#This Row],[total_unlinked_trips]]*NTD_Service[[#This Row],[avg_trip_length]]</f>
        <v>9722002.1984137688</v>
      </c>
      <c r="J146" s="6">
        <f t="shared" si="8"/>
        <v>0.71876290879732985</v>
      </c>
      <c r="K146" s="7">
        <f t="shared" si="13"/>
        <v>11.584831522381132</v>
      </c>
    </row>
    <row r="147" spans="1:11" x14ac:dyDescent="0.35">
      <c r="A147" t="s">
        <v>166</v>
      </c>
      <c r="B147" t="s">
        <v>80</v>
      </c>
      <c r="C147" t="s">
        <v>143</v>
      </c>
      <c r="D147" t="s">
        <v>44</v>
      </c>
      <c r="E147">
        <v>903</v>
      </c>
      <c r="F147">
        <v>17652473</v>
      </c>
      <c r="G147">
        <v>2244419</v>
      </c>
      <c r="H147" s="5">
        <f t="shared" si="12"/>
        <v>19548.696566998893</v>
      </c>
      <c r="I147" s="6">
        <f>NTD_Service[[#This Row],[total_unlinked_trips]]*NTD_Service[[#This Row],[avg_trip_length]]</f>
        <v>23720977.845690697</v>
      </c>
      <c r="J147" s="6">
        <f t="shared" si="8"/>
        <v>1.3437764694890453</v>
      </c>
      <c r="K147" s="7">
        <f t="shared" si="13"/>
        <v>10.568872320939494</v>
      </c>
    </row>
    <row r="148" spans="1:11" x14ac:dyDescent="0.35">
      <c r="A148" t="s">
        <v>166</v>
      </c>
      <c r="B148" t="s">
        <v>80</v>
      </c>
      <c r="C148" t="s">
        <v>144</v>
      </c>
      <c r="D148" t="s">
        <v>45</v>
      </c>
      <c r="E148">
        <v>11</v>
      </c>
      <c r="F148">
        <v>229272</v>
      </c>
      <c r="G148">
        <v>28456</v>
      </c>
      <c r="H148" s="5">
        <f t="shared" si="12"/>
        <v>20842.909090909092</v>
      </c>
      <c r="I148" s="6">
        <f>NTD_Service[[#This Row],[total_unlinked_trips]]*NTD_Service[[#This Row],[avg_trip_length]]</f>
        <v>311351.40082239691</v>
      </c>
      <c r="J148" s="6">
        <f t="shared" si="8"/>
        <v>1.3580001082661508</v>
      </c>
      <c r="K148" s="7">
        <f t="shared" si="13"/>
        <v>10.941502699690641</v>
      </c>
    </row>
    <row r="149" spans="1:11" x14ac:dyDescent="0.35">
      <c r="A149" t="s">
        <v>166</v>
      </c>
      <c r="B149" t="s">
        <v>80</v>
      </c>
      <c r="C149" t="s">
        <v>145</v>
      </c>
      <c r="D149" t="s">
        <v>47</v>
      </c>
      <c r="E149">
        <v>158</v>
      </c>
      <c r="F149">
        <v>3854289</v>
      </c>
      <c r="G149">
        <v>510914</v>
      </c>
      <c r="H149" s="5">
        <f t="shared" si="12"/>
        <v>24394.234177215189</v>
      </c>
      <c r="I149" s="6">
        <f>NTD_Service[[#This Row],[total_unlinked_trips]]*NTD_Service[[#This Row],[avg_trip_length]]</f>
        <v>4417115.9107361408</v>
      </c>
      <c r="J149" s="6">
        <f t="shared" si="8"/>
        <v>1.1460261310805029</v>
      </c>
      <c r="K149" s="7">
        <f t="shared" si="13"/>
        <v>8.6455174662196388</v>
      </c>
    </row>
    <row r="150" spans="1:11" x14ac:dyDescent="0.35">
      <c r="A150" t="s">
        <v>166</v>
      </c>
      <c r="B150" t="s">
        <v>80</v>
      </c>
      <c r="C150" t="s">
        <v>147</v>
      </c>
      <c r="D150" t="s">
        <v>46</v>
      </c>
      <c r="E150">
        <v>318</v>
      </c>
      <c r="F150">
        <v>11824338</v>
      </c>
      <c r="G150">
        <v>588157</v>
      </c>
      <c r="H150" s="5">
        <f t="shared" si="12"/>
        <v>37183.452830188682</v>
      </c>
      <c r="I150" s="6">
        <f>NTD_Service[[#This Row],[total_unlinked_trips]]*NTD_Service[[#This Row],[avg_trip_length]]</f>
        <v>6032667.5166336065</v>
      </c>
      <c r="J150" s="6">
        <f t="shared" si="8"/>
        <v>0.51019071990614662</v>
      </c>
      <c r="K150" s="7">
        <f t="shared" si="13"/>
        <v>10.25689997166336</v>
      </c>
    </row>
    <row r="151" spans="1:11" x14ac:dyDescent="0.35">
      <c r="A151" t="s">
        <v>166</v>
      </c>
      <c r="B151" t="s">
        <v>80</v>
      </c>
      <c r="C151" t="s">
        <v>148</v>
      </c>
      <c r="D151" t="s">
        <v>48</v>
      </c>
      <c r="E151">
        <v>203</v>
      </c>
      <c r="F151">
        <v>4704331</v>
      </c>
      <c r="G151">
        <v>574097</v>
      </c>
      <c r="H151" s="5">
        <f t="shared" si="12"/>
        <v>23174.04433497537</v>
      </c>
      <c r="I151" s="6">
        <f>NTD_Service[[#This Row],[total_unlinked_trips]]*NTD_Service[[#This Row],[avg_trip_length]]</f>
        <v>4564323.0133147594</v>
      </c>
      <c r="J151" s="6">
        <f t="shared" si="8"/>
        <v>0.97023849157611552</v>
      </c>
      <c r="K151" s="7">
        <f t="shared" si="13"/>
        <v>7.9504387121248845</v>
      </c>
    </row>
    <row r="152" spans="1:11" x14ac:dyDescent="0.35">
      <c r="A152" t="s">
        <v>166</v>
      </c>
      <c r="B152" t="s">
        <v>80</v>
      </c>
      <c r="C152" t="s">
        <v>149</v>
      </c>
      <c r="D152" t="s">
        <v>50</v>
      </c>
      <c r="E152">
        <v>201</v>
      </c>
      <c r="F152">
        <v>6896055</v>
      </c>
      <c r="G152">
        <v>1631275</v>
      </c>
      <c r="H152" s="5">
        <f t="shared" si="12"/>
        <v>34308.73134328358</v>
      </c>
      <c r="I152" s="6">
        <f>NTD_Service[[#This Row],[total_unlinked_trips]]*NTD_Service[[#This Row],[avg_trip_length]]</f>
        <v>12258450.787534608</v>
      </c>
      <c r="J152" s="6">
        <f t="shared" si="8"/>
        <v>1.7776033960771205</v>
      </c>
      <c r="K152" s="7">
        <f t="shared" si="13"/>
        <v>7.5146439365126101</v>
      </c>
    </row>
    <row r="153" spans="1:11" x14ac:dyDescent="0.35">
      <c r="A153" t="s">
        <v>166</v>
      </c>
      <c r="B153" t="s">
        <v>80</v>
      </c>
      <c r="C153" t="s">
        <v>150</v>
      </c>
      <c r="D153" t="s">
        <v>49</v>
      </c>
      <c r="E153">
        <v>95</v>
      </c>
      <c r="F153">
        <v>1844289</v>
      </c>
      <c r="G153">
        <v>189254</v>
      </c>
      <c r="H153" s="5">
        <f t="shared" si="12"/>
        <v>19413.568421052631</v>
      </c>
      <c r="I153" s="6">
        <f>NTD_Service[[#This Row],[total_unlinked_trips]]*NTD_Service[[#This Row],[avg_trip_length]]</f>
        <v>1340806.2775690607</v>
      </c>
      <c r="J153" s="6">
        <f t="shared" si="8"/>
        <v>0.72700443236882106</v>
      </c>
      <c r="K153" s="7">
        <f t="shared" si="13"/>
        <v>7.0846918827029324</v>
      </c>
    </row>
    <row r="154" spans="1:11" x14ac:dyDescent="0.35">
      <c r="A154" t="s">
        <v>166</v>
      </c>
      <c r="B154" t="s">
        <v>80</v>
      </c>
      <c r="C154" t="s">
        <v>151</v>
      </c>
      <c r="D154" t="s">
        <v>51</v>
      </c>
      <c r="E154">
        <v>120</v>
      </c>
      <c r="F154">
        <v>1309583</v>
      </c>
      <c r="G154">
        <v>346839</v>
      </c>
      <c r="H154" s="5">
        <f t="shared" si="12"/>
        <v>10913.191666666668</v>
      </c>
      <c r="I154" s="6"/>
      <c r="J154" s="6"/>
      <c r="K154" s="7"/>
    </row>
    <row r="155" spans="1:11" x14ac:dyDescent="0.35">
      <c r="A155" t="s">
        <v>165</v>
      </c>
      <c r="B155" t="s">
        <v>80</v>
      </c>
      <c r="C155" t="s">
        <v>95</v>
      </c>
      <c r="D155" t="s">
        <v>4</v>
      </c>
      <c r="E155">
        <v>33</v>
      </c>
      <c r="F155">
        <v>1482756</v>
      </c>
      <c r="G155">
        <v>1644967</v>
      </c>
      <c r="H155" s="5">
        <f t="shared" si="12"/>
        <v>44932</v>
      </c>
      <c r="I155" s="6">
        <f>NTD_Service[[#This Row],[total_unlinked_trips]]*NTD_Service[[#This Row],[avg_trip_length]]</f>
        <v>7487683.9930861425</v>
      </c>
      <c r="J155" s="6">
        <f t="shared" si="8"/>
        <v>5.0498423159887009</v>
      </c>
      <c r="K155" s="7">
        <f>K2</f>
        <v>4.5518748966308396</v>
      </c>
    </row>
    <row r="156" spans="1:11" x14ac:dyDescent="0.35">
      <c r="A156" t="s">
        <v>165</v>
      </c>
      <c r="B156" t="s">
        <v>80</v>
      </c>
      <c r="C156" t="s">
        <v>96</v>
      </c>
      <c r="D156" t="s">
        <v>3</v>
      </c>
      <c r="E156">
        <v>2</v>
      </c>
      <c r="F156">
        <v>38435</v>
      </c>
      <c r="G156">
        <v>5662</v>
      </c>
      <c r="H156" s="5">
        <f t="shared" si="12"/>
        <v>19217.5</v>
      </c>
      <c r="I156" s="6">
        <f>NTD_Service[[#This Row],[total_unlinked_trips]]*NTD_Service[[#This Row],[avg_trip_length]]</f>
        <v>31560.920595429841</v>
      </c>
      <c r="J156" s="6">
        <f t="shared" si="8"/>
        <v>0.82115052934642496</v>
      </c>
      <c r="K156" s="7">
        <f t="shared" ref="K156:K161" si="14">K3</f>
        <v>5.574164711308697</v>
      </c>
    </row>
    <row r="157" spans="1:11" x14ac:dyDescent="0.35">
      <c r="A157" t="s">
        <v>165</v>
      </c>
      <c r="B157" t="s">
        <v>80</v>
      </c>
      <c r="C157" t="s">
        <v>97</v>
      </c>
      <c r="D157" t="s">
        <v>6</v>
      </c>
      <c r="E157">
        <v>14</v>
      </c>
      <c r="F157">
        <v>208301</v>
      </c>
      <c r="G157">
        <v>126620</v>
      </c>
      <c r="H157" s="5">
        <f t="shared" si="12"/>
        <v>14878.642857142857</v>
      </c>
      <c r="I157" s="6">
        <f>NTD_Service[[#This Row],[total_unlinked_trips]]*NTD_Service[[#This Row],[avg_trip_length]]</f>
        <v>608571.78036345425</v>
      </c>
      <c r="J157" s="6">
        <f t="shared" si="8"/>
        <v>2.9215979777507273</v>
      </c>
      <c r="K157" s="7">
        <f t="shared" si="14"/>
        <v>4.8062847920032716</v>
      </c>
    </row>
    <row r="158" spans="1:11" x14ac:dyDescent="0.35">
      <c r="A158" t="s">
        <v>165</v>
      </c>
      <c r="B158" t="s">
        <v>80</v>
      </c>
      <c r="C158" t="s">
        <v>100</v>
      </c>
      <c r="D158" t="s">
        <v>5</v>
      </c>
      <c r="E158">
        <v>59</v>
      </c>
      <c r="F158">
        <v>1924113</v>
      </c>
      <c r="G158">
        <v>753766</v>
      </c>
      <c r="H158" s="5">
        <f t="shared" si="12"/>
        <v>32612.084745762713</v>
      </c>
      <c r="I158" s="6">
        <f>NTD_Service[[#This Row],[total_unlinked_trips]]*NTD_Service[[#This Row],[avg_trip_length]]</f>
        <v>2869793.0543611594</v>
      </c>
      <c r="J158" s="6">
        <f t="shared" si="8"/>
        <v>1.4914888337437351</v>
      </c>
      <c r="K158" s="7">
        <f t="shared" si="14"/>
        <v>3.8072731515631637</v>
      </c>
    </row>
    <row r="159" spans="1:11" x14ac:dyDescent="0.35">
      <c r="A159" t="s">
        <v>165</v>
      </c>
      <c r="B159" t="s">
        <v>80</v>
      </c>
      <c r="C159" t="s">
        <v>101</v>
      </c>
      <c r="D159" t="s">
        <v>7</v>
      </c>
      <c r="E159">
        <v>294</v>
      </c>
      <c r="F159">
        <v>11798291</v>
      </c>
      <c r="G159">
        <v>4421176</v>
      </c>
      <c r="H159" s="5">
        <f t="shared" si="12"/>
        <v>40130.241496598639</v>
      </c>
      <c r="I159" s="6">
        <f>NTD_Service[[#This Row],[total_unlinked_trips]]*NTD_Service[[#This Row],[avg_trip_length]]</f>
        <v>17151188.245577399</v>
      </c>
      <c r="J159" s="6">
        <f t="shared" si="8"/>
        <v>1.4537010695512933</v>
      </c>
      <c r="K159" s="7">
        <f t="shared" si="14"/>
        <v>3.8793271847982069</v>
      </c>
    </row>
    <row r="160" spans="1:11" x14ac:dyDescent="0.35">
      <c r="A160" t="s">
        <v>165</v>
      </c>
      <c r="B160" t="s">
        <v>80</v>
      </c>
      <c r="C160" t="s">
        <v>102</v>
      </c>
      <c r="D160" t="s">
        <v>8</v>
      </c>
      <c r="E160">
        <v>200</v>
      </c>
      <c r="F160">
        <v>7818092</v>
      </c>
      <c r="G160">
        <v>11342343</v>
      </c>
      <c r="H160" s="5">
        <f t="shared" si="12"/>
        <v>39090.46</v>
      </c>
      <c r="I160" s="6">
        <f>NTD_Service[[#This Row],[total_unlinked_trips]]*NTD_Service[[#This Row],[avg_trip_length]]</f>
        <v>48981763.702178925</v>
      </c>
      <c r="J160" s="6">
        <f t="shared" si="8"/>
        <v>6.2651812874776764</v>
      </c>
      <c r="K160" s="7">
        <f t="shared" si="14"/>
        <v>4.318487256308412</v>
      </c>
    </row>
    <row r="161" spans="1:11" x14ac:dyDescent="0.35">
      <c r="A161" t="s">
        <v>165</v>
      </c>
      <c r="B161" t="s">
        <v>80</v>
      </c>
      <c r="C161" t="s">
        <v>103</v>
      </c>
      <c r="D161" t="s">
        <v>9</v>
      </c>
      <c r="E161">
        <v>18</v>
      </c>
      <c r="F161">
        <v>479131</v>
      </c>
      <c r="G161">
        <v>202069</v>
      </c>
      <c r="H161" s="5">
        <f t="shared" si="12"/>
        <v>26618.388888888891</v>
      </c>
      <c r="I161" s="6">
        <f>NTD_Service[[#This Row],[total_unlinked_trips]]*NTD_Service[[#This Row],[avg_trip_length]]</f>
        <v>977370.25703065738</v>
      </c>
      <c r="J161" s="6">
        <f t="shared" si="8"/>
        <v>2.0398810701679864</v>
      </c>
      <c r="K161" s="7">
        <f t="shared" si="14"/>
        <v>4.8368144397738266</v>
      </c>
    </row>
    <row r="162" spans="1:11" x14ac:dyDescent="0.35">
      <c r="A162" t="s">
        <v>165</v>
      </c>
      <c r="B162" t="s">
        <v>80</v>
      </c>
      <c r="C162" t="s">
        <v>106</v>
      </c>
      <c r="D162" t="s">
        <v>12</v>
      </c>
      <c r="E162">
        <v>46</v>
      </c>
      <c r="F162">
        <v>1806200</v>
      </c>
      <c r="G162">
        <v>905509</v>
      </c>
      <c r="H162" s="5">
        <f t="shared" si="12"/>
        <v>39265.217391304344</v>
      </c>
      <c r="I162" s="6">
        <f>NTD_Service[[#This Row],[total_unlinked_trips]]*NTD_Service[[#This Row],[avg_trip_length]]</f>
        <v>4687304.8732433245</v>
      </c>
      <c r="J162" s="6">
        <f t="shared" ref="J162:J200" si="15">I162/F162</f>
        <v>2.5951195179068347</v>
      </c>
      <c r="K162" s="7">
        <f>K11</f>
        <v>5.1764310164154352</v>
      </c>
    </row>
    <row r="163" spans="1:11" x14ac:dyDescent="0.35">
      <c r="A163" t="s">
        <v>165</v>
      </c>
      <c r="B163" t="s">
        <v>80</v>
      </c>
      <c r="C163" t="s">
        <v>108</v>
      </c>
      <c r="D163" t="s">
        <v>109</v>
      </c>
      <c r="E163">
        <v>6</v>
      </c>
      <c r="F163">
        <v>422892</v>
      </c>
      <c r="G163">
        <v>104535</v>
      </c>
      <c r="H163" s="5">
        <f t="shared" si="12"/>
        <v>70482</v>
      </c>
      <c r="I163" s="6"/>
      <c r="J163" s="6"/>
      <c r="K163" s="7"/>
    </row>
    <row r="164" spans="1:11" x14ac:dyDescent="0.35">
      <c r="A164" t="s">
        <v>165</v>
      </c>
      <c r="B164" t="s">
        <v>80</v>
      </c>
      <c r="C164" t="s">
        <v>110</v>
      </c>
      <c r="D164" t="s">
        <v>14</v>
      </c>
      <c r="E164">
        <v>23</v>
      </c>
      <c r="F164">
        <v>1099919</v>
      </c>
      <c r="G164">
        <v>682372</v>
      </c>
      <c r="H164" s="5">
        <f t="shared" si="12"/>
        <v>47822.565217391304</v>
      </c>
      <c r="I164" s="6">
        <f>NTD_Service[[#This Row],[total_unlinked_trips]]*NTD_Service[[#This Row],[avg_trip_length]]</f>
        <v>3376717.5830537826</v>
      </c>
      <c r="J164" s="6">
        <f t="shared" si="15"/>
        <v>3.0699693186987247</v>
      </c>
      <c r="K164" s="7">
        <f>K13</f>
        <v>4.9484996205204528</v>
      </c>
    </row>
    <row r="165" spans="1:11" x14ac:dyDescent="0.35">
      <c r="A165" t="s">
        <v>165</v>
      </c>
      <c r="B165" t="s">
        <v>80</v>
      </c>
      <c r="C165" t="s">
        <v>111</v>
      </c>
      <c r="D165" t="s">
        <v>18</v>
      </c>
      <c r="E165">
        <v>60</v>
      </c>
      <c r="F165">
        <v>1610299</v>
      </c>
      <c r="G165">
        <v>1072205</v>
      </c>
      <c r="H165" s="5">
        <f t="shared" si="12"/>
        <v>26838.316666666666</v>
      </c>
      <c r="I165" s="6">
        <f>NTD_Service[[#This Row],[total_unlinked_trips]]*NTD_Service[[#This Row],[avg_trip_length]]</f>
        <v>2795915.4383123419</v>
      </c>
      <c r="J165" s="6">
        <f t="shared" si="15"/>
        <v>1.7362709896189106</v>
      </c>
      <c r="K165" s="7">
        <f>K14</f>
        <v>2.6076314121948152</v>
      </c>
    </row>
    <row r="166" spans="1:11" x14ac:dyDescent="0.35">
      <c r="A166" t="s">
        <v>165</v>
      </c>
      <c r="B166" t="s">
        <v>80</v>
      </c>
      <c r="C166" t="s">
        <v>112</v>
      </c>
      <c r="D166" t="s">
        <v>15</v>
      </c>
      <c r="E166">
        <v>22</v>
      </c>
      <c r="F166">
        <v>831667</v>
      </c>
      <c r="G166">
        <v>828061</v>
      </c>
      <c r="H166" s="5">
        <f t="shared" si="12"/>
        <v>37803.045454545456</v>
      </c>
      <c r="I166" s="6">
        <f>NTD_Service[[#This Row],[total_unlinked_trips]]*NTD_Service[[#This Row],[avg_trip_length]]</f>
        <v>4951804.4797994196</v>
      </c>
      <c r="J166" s="6">
        <f t="shared" si="15"/>
        <v>5.9540711364036563</v>
      </c>
      <c r="K166" s="7">
        <f>K15</f>
        <v>5.979999637465621</v>
      </c>
    </row>
    <row r="167" spans="1:11" x14ac:dyDescent="0.35">
      <c r="A167" t="s">
        <v>165</v>
      </c>
      <c r="B167" t="s">
        <v>80</v>
      </c>
      <c r="C167" t="s">
        <v>113</v>
      </c>
      <c r="D167" t="s">
        <v>16</v>
      </c>
      <c r="E167">
        <v>70</v>
      </c>
      <c r="F167">
        <v>2485196</v>
      </c>
      <c r="G167">
        <v>1463943</v>
      </c>
      <c r="H167" s="5">
        <f t="shared" si="12"/>
        <v>35502.800000000003</v>
      </c>
      <c r="I167" s="6">
        <f>NTD_Service[[#This Row],[total_unlinked_trips]]*NTD_Service[[#This Row],[avg_trip_length]]</f>
        <v>4277524.1957528125</v>
      </c>
      <c r="J167" s="6">
        <f t="shared" si="15"/>
        <v>1.7212019477549507</v>
      </c>
      <c r="K167" s="7">
        <f t="shared" ref="K167:K170" si="16">K16</f>
        <v>2.9219199079150022</v>
      </c>
    </row>
    <row r="168" spans="1:11" x14ac:dyDescent="0.35">
      <c r="A168" t="s">
        <v>165</v>
      </c>
      <c r="B168" t="s">
        <v>80</v>
      </c>
      <c r="C168" t="s">
        <v>114</v>
      </c>
      <c r="D168" t="s">
        <v>17</v>
      </c>
      <c r="E168">
        <v>28</v>
      </c>
      <c r="F168">
        <v>882752</v>
      </c>
      <c r="G168">
        <v>552105</v>
      </c>
      <c r="H168" s="5">
        <f t="shared" si="12"/>
        <v>31526.857142857141</v>
      </c>
      <c r="I168" s="6">
        <f>NTD_Service[[#This Row],[total_unlinked_trips]]*NTD_Service[[#This Row],[avg_trip_length]]</f>
        <v>1894893.1975103866</v>
      </c>
      <c r="J168" s="6">
        <f t="shared" si="15"/>
        <v>2.1465747996157321</v>
      </c>
      <c r="K168" s="7">
        <f t="shared" si="16"/>
        <v>3.4321246819180891</v>
      </c>
    </row>
    <row r="169" spans="1:11" x14ac:dyDescent="0.35">
      <c r="A169" t="s">
        <v>165</v>
      </c>
      <c r="B169" t="s">
        <v>80</v>
      </c>
      <c r="C169" t="s">
        <v>115</v>
      </c>
      <c r="D169" t="s">
        <v>19</v>
      </c>
      <c r="E169">
        <v>50</v>
      </c>
      <c r="F169">
        <v>1447546</v>
      </c>
      <c r="G169">
        <v>556256</v>
      </c>
      <c r="H169" s="5">
        <f t="shared" si="12"/>
        <v>28950.92</v>
      </c>
      <c r="I169" s="6">
        <f>NTD_Service[[#This Row],[total_unlinked_trips]]*NTD_Service[[#This Row],[avg_trip_length]]</f>
        <v>2213667.3806312443</v>
      </c>
      <c r="J169" s="6">
        <f t="shared" si="15"/>
        <v>1.5292552918050579</v>
      </c>
      <c r="K169" s="7">
        <f t="shared" si="16"/>
        <v>3.9795838258486094</v>
      </c>
    </row>
    <row r="170" spans="1:11" x14ac:dyDescent="0.35">
      <c r="A170" t="s">
        <v>165</v>
      </c>
      <c r="B170" t="s">
        <v>80</v>
      </c>
      <c r="C170" t="s">
        <v>116</v>
      </c>
      <c r="D170" t="s">
        <v>20</v>
      </c>
      <c r="E170">
        <v>42</v>
      </c>
      <c r="F170">
        <v>1219425</v>
      </c>
      <c r="G170">
        <v>607069</v>
      </c>
      <c r="H170" s="5">
        <f t="shared" si="12"/>
        <v>29033.928571428572</v>
      </c>
      <c r="I170" s="6">
        <f>NTD_Service[[#This Row],[total_unlinked_trips]]*NTD_Service[[#This Row],[avg_trip_length]]</f>
        <v>2855314.0308135147</v>
      </c>
      <c r="J170" s="6">
        <f t="shared" si="15"/>
        <v>2.3415249242991694</v>
      </c>
      <c r="K170" s="7">
        <f t="shared" si="16"/>
        <v>4.703442328324317</v>
      </c>
    </row>
    <row r="171" spans="1:11" x14ac:dyDescent="0.35">
      <c r="A171" t="s">
        <v>165</v>
      </c>
      <c r="B171" t="s">
        <v>80</v>
      </c>
      <c r="C171" t="s">
        <v>118</v>
      </c>
      <c r="D171" t="s">
        <v>24</v>
      </c>
      <c r="E171">
        <v>52</v>
      </c>
      <c r="F171">
        <v>1791472</v>
      </c>
      <c r="G171">
        <v>1727932</v>
      </c>
      <c r="H171" s="5">
        <f t="shared" si="12"/>
        <v>34451.384615384617</v>
      </c>
      <c r="I171" s="6">
        <f>NTD_Service[[#This Row],[total_unlinked_trips]]*NTD_Service[[#This Row],[avg_trip_length]]</f>
        <v>5181343.8159200875</v>
      </c>
      <c r="J171" s="6">
        <f t="shared" si="15"/>
        <v>2.8922270713246356</v>
      </c>
      <c r="K171" s="7">
        <f>K21</f>
        <v>2.9985808561448524</v>
      </c>
    </row>
    <row r="172" spans="1:11" x14ac:dyDescent="0.35">
      <c r="A172" t="s">
        <v>165</v>
      </c>
      <c r="B172" t="s">
        <v>80</v>
      </c>
      <c r="C172" t="s">
        <v>119</v>
      </c>
      <c r="D172" t="s">
        <v>23</v>
      </c>
      <c r="E172">
        <v>84</v>
      </c>
      <c r="F172">
        <v>1742199</v>
      </c>
      <c r="G172">
        <v>2528081</v>
      </c>
      <c r="H172" s="5">
        <f t="shared" si="12"/>
        <v>20740.464285714286</v>
      </c>
      <c r="I172" s="6">
        <f>NTD_Service[[#This Row],[total_unlinked_trips]]*NTD_Service[[#This Row],[avg_trip_length]]</f>
        <v>10448193.03963992</v>
      </c>
      <c r="J172" s="6">
        <f t="shared" si="15"/>
        <v>5.9971295125527684</v>
      </c>
      <c r="K172" s="7">
        <f t="shared" ref="K172:K191" si="17">K22</f>
        <v>4.1328553316289787</v>
      </c>
    </row>
    <row r="173" spans="1:11" x14ac:dyDescent="0.35">
      <c r="A173" t="s">
        <v>165</v>
      </c>
      <c r="B173" t="s">
        <v>80</v>
      </c>
      <c r="C173" t="s">
        <v>120</v>
      </c>
      <c r="D173" t="s">
        <v>22</v>
      </c>
      <c r="E173">
        <v>49</v>
      </c>
      <c r="F173">
        <v>856647</v>
      </c>
      <c r="G173">
        <v>730764</v>
      </c>
      <c r="H173" s="5">
        <f t="shared" si="12"/>
        <v>17482.591836734693</v>
      </c>
      <c r="I173" s="6">
        <f>NTD_Service[[#This Row],[total_unlinked_trips]]*NTD_Service[[#This Row],[avg_trip_length]]</f>
        <v>2422745.4391558287</v>
      </c>
      <c r="J173" s="6">
        <f t="shared" si="15"/>
        <v>2.8281724434403301</v>
      </c>
      <c r="K173" s="7">
        <f t="shared" si="17"/>
        <v>3.3153595951029726</v>
      </c>
    </row>
    <row r="174" spans="1:11" x14ac:dyDescent="0.35">
      <c r="A174" t="s">
        <v>165</v>
      </c>
      <c r="B174" t="s">
        <v>80</v>
      </c>
      <c r="C174" t="s">
        <v>121</v>
      </c>
      <c r="D174" t="s">
        <v>25</v>
      </c>
      <c r="E174">
        <v>92</v>
      </c>
      <c r="F174">
        <v>3111793</v>
      </c>
      <c r="G174">
        <v>1230982</v>
      </c>
      <c r="H174" s="5">
        <f t="shared" si="12"/>
        <v>33823.836956521736</v>
      </c>
      <c r="I174" s="6">
        <f>NTD_Service[[#This Row],[total_unlinked_trips]]*NTD_Service[[#This Row],[avg_trip_length]]</f>
        <v>5595502.3046290092</v>
      </c>
      <c r="J174" s="6">
        <f t="shared" si="15"/>
        <v>1.7981601940196565</v>
      </c>
      <c r="K174" s="7">
        <f t="shared" si="17"/>
        <v>4.5455598088591138</v>
      </c>
    </row>
    <row r="175" spans="1:11" x14ac:dyDescent="0.35">
      <c r="A175" t="s">
        <v>165</v>
      </c>
      <c r="B175" t="s">
        <v>80</v>
      </c>
      <c r="C175" t="s">
        <v>122</v>
      </c>
      <c r="D175" t="s">
        <v>26</v>
      </c>
      <c r="E175">
        <v>409</v>
      </c>
      <c r="F175">
        <v>5226660</v>
      </c>
      <c r="G175">
        <v>1512707</v>
      </c>
      <c r="H175" s="5">
        <f t="shared" si="12"/>
        <v>12779.119804400978</v>
      </c>
      <c r="I175" s="6">
        <f>NTD_Service[[#This Row],[total_unlinked_trips]]*NTD_Service[[#This Row],[avg_trip_length]]</f>
        <v>6777339.5072349617</v>
      </c>
      <c r="J175" s="6">
        <f t="shared" si="15"/>
        <v>1.2966865086374399</v>
      </c>
      <c r="K175" s="7">
        <f t="shared" si="17"/>
        <v>4.4802724567513481</v>
      </c>
    </row>
    <row r="176" spans="1:11" x14ac:dyDescent="0.35">
      <c r="A176" t="s">
        <v>165</v>
      </c>
      <c r="B176" t="s">
        <v>80</v>
      </c>
      <c r="C176" t="s">
        <v>123</v>
      </c>
      <c r="D176" t="s">
        <v>28</v>
      </c>
      <c r="E176">
        <v>2</v>
      </c>
      <c r="F176">
        <v>25567</v>
      </c>
      <c r="G176">
        <v>8609</v>
      </c>
      <c r="H176" s="5">
        <f t="shared" si="12"/>
        <v>12783.5</v>
      </c>
      <c r="I176" s="6">
        <f>NTD_Service[[#This Row],[total_unlinked_trips]]*NTD_Service[[#This Row],[avg_trip_length]]</f>
        <v>42228.81566450018</v>
      </c>
      <c r="J176" s="6">
        <f t="shared" si="15"/>
        <v>1.6516922464309531</v>
      </c>
      <c r="K176" s="7">
        <f t="shared" si="17"/>
        <v>4.9051940602276893</v>
      </c>
    </row>
    <row r="177" spans="1:11" x14ac:dyDescent="0.35">
      <c r="A177" t="s">
        <v>165</v>
      </c>
      <c r="B177" t="s">
        <v>80</v>
      </c>
      <c r="C177" t="s">
        <v>124</v>
      </c>
      <c r="D177" t="s">
        <v>27</v>
      </c>
      <c r="E177">
        <v>55</v>
      </c>
      <c r="F177">
        <v>1405956</v>
      </c>
      <c r="G177">
        <v>1797877</v>
      </c>
      <c r="H177" s="5">
        <f t="shared" si="12"/>
        <v>25562.836363636365</v>
      </c>
      <c r="I177" s="6">
        <f>NTD_Service[[#This Row],[total_unlinked_trips]]*NTD_Service[[#This Row],[avg_trip_length]]</f>
        <v>5710878.7091272157</v>
      </c>
      <c r="J177" s="6">
        <f t="shared" si="15"/>
        <v>4.0619185160326605</v>
      </c>
      <c r="K177" s="7">
        <f t="shared" si="17"/>
        <v>3.1764568483423594</v>
      </c>
    </row>
    <row r="178" spans="1:11" x14ac:dyDescent="0.35">
      <c r="A178" t="s">
        <v>165</v>
      </c>
      <c r="B178" t="s">
        <v>80</v>
      </c>
      <c r="C178" t="s">
        <v>125</v>
      </c>
      <c r="D178" t="s">
        <v>29</v>
      </c>
      <c r="E178">
        <v>54</v>
      </c>
      <c r="F178">
        <v>1613330</v>
      </c>
      <c r="G178">
        <v>879948</v>
      </c>
      <c r="H178" s="5">
        <f t="shared" si="12"/>
        <v>29876.481481481482</v>
      </c>
      <c r="I178" s="6">
        <f>NTD_Service[[#This Row],[total_unlinked_trips]]*NTD_Service[[#This Row],[avg_trip_length]]</f>
        <v>2195743.0990464366</v>
      </c>
      <c r="J178" s="6">
        <f t="shared" si="15"/>
        <v>1.3610006006498587</v>
      </c>
      <c r="K178" s="7">
        <f t="shared" si="17"/>
        <v>2.4953100626928371</v>
      </c>
    </row>
    <row r="179" spans="1:11" x14ac:dyDescent="0.35">
      <c r="A179" t="s">
        <v>165</v>
      </c>
      <c r="B179" t="s">
        <v>80</v>
      </c>
      <c r="C179" t="s">
        <v>126</v>
      </c>
      <c r="D179" t="s">
        <v>242</v>
      </c>
      <c r="E179">
        <v>62</v>
      </c>
      <c r="F179">
        <v>1916088</v>
      </c>
      <c r="G179">
        <v>2086170</v>
      </c>
      <c r="H179" s="5">
        <f t="shared" si="12"/>
        <v>30904.645161290322</v>
      </c>
      <c r="I179" s="6">
        <f>NTD_Service[[#This Row],[total_unlinked_trips]]*NTD_Service[[#This Row],[avg_trip_length]]</f>
        <v>7264827.8500654902</v>
      </c>
      <c r="J179" s="6">
        <f t="shared" si="15"/>
        <v>3.7914896654357682</v>
      </c>
      <c r="K179" s="7">
        <f t="shared" si="17"/>
        <v>3.4823757651895533</v>
      </c>
    </row>
    <row r="180" spans="1:11" x14ac:dyDescent="0.35">
      <c r="A180" t="s">
        <v>165</v>
      </c>
      <c r="B180" t="s">
        <v>80</v>
      </c>
      <c r="C180" t="s">
        <v>127</v>
      </c>
      <c r="D180" t="s">
        <v>36</v>
      </c>
      <c r="E180">
        <v>5</v>
      </c>
      <c r="F180">
        <v>155967</v>
      </c>
      <c r="G180">
        <v>94738</v>
      </c>
      <c r="H180" s="5">
        <f t="shared" si="12"/>
        <v>31193.4</v>
      </c>
      <c r="I180" s="6">
        <f>NTD_Service[[#This Row],[total_unlinked_trips]]*NTD_Service[[#This Row],[avg_trip_length]]</f>
        <v>399924.59889397107</v>
      </c>
      <c r="J180" s="6">
        <f t="shared" si="15"/>
        <v>2.5641616424882896</v>
      </c>
      <c r="K180" s="7">
        <f t="shared" si="17"/>
        <v>4.2213747270785857</v>
      </c>
    </row>
    <row r="181" spans="1:11" x14ac:dyDescent="0.35">
      <c r="A181" t="s">
        <v>165</v>
      </c>
      <c r="B181" t="s">
        <v>80</v>
      </c>
      <c r="C181" t="s">
        <v>128</v>
      </c>
      <c r="D181" t="s">
        <v>30</v>
      </c>
      <c r="E181">
        <v>7</v>
      </c>
      <c r="F181">
        <v>190991</v>
      </c>
      <c r="G181">
        <v>21557</v>
      </c>
      <c r="H181" s="5">
        <f t="shared" si="12"/>
        <v>27284.428571428572</v>
      </c>
      <c r="I181" s="6">
        <f>NTD_Service[[#This Row],[total_unlinked_trips]]*NTD_Service[[#This Row],[avg_trip_length]]</f>
        <v>70684.282931528622</v>
      </c>
      <c r="J181" s="6">
        <f t="shared" si="15"/>
        <v>0.37009221864657821</v>
      </c>
      <c r="K181" s="7">
        <f t="shared" si="17"/>
        <v>3.2789480415423582</v>
      </c>
    </row>
    <row r="182" spans="1:11" x14ac:dyDescent="0.35">
      <c r="A182" t="s">
        <v>165</v>
      </c>
      <c r="B182" t="s">
        <v>80</v>
      </c>
      <c r="C182" t="s">
        <v>129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8">F182/E182</f>
        <v>26485.214285714286</v>
      </c>
      <c r="I182" s="6">
        <f>NTD_Service[[#This Row],[total_unlinked_trips]]*NTD_Service[[#This Row],[avg_trip_length]]</f>
        <v>923212.23365175619</v>
      </c>
      <c r="J182" s="6">
        <f t="shared" si="15"/>
        <v>2.4898318836972546</v>
      </c>
      <c r="K182" s="7">
        <f t="shared" si="17"/>
        <v>6.264077252661493</v>
      </c>
    </row>
    <row r="183" spans="1:11" x14ac:dyDescent="0.35">
      <c r="A183" t="s">
        <v>165</v>
      </c>
      <c r="B183" t="s">
        <v>80</v>
      </c>
      <c r="C183" t="s">
        <v>130</v>
      </c>
      <c r="D183" t="s">
        <v>33</v>
      </c>
      <c r="E183">
        <v>8</v>
      </c>
      <c r="F183">
        <v>440687</v>
      </c>
      <c r="G183">
        <v>154927</v>
      </c>
      <c r="H183" s="5">
        <f t="shared" si="18"/>
        <v>55085.875</v>
      </c>
      <c r="I183" s="6">
        <f>NTD_Service[[#This Row],[total_unlinked_trips]]*NTD_Service[[#This Row],[avg_trip_length]]</f>
        <v>1001266.493075272</v>
      </c>
      <c r="J183" s="6">
        <f t="shared" si="15"/>
        <v>2.2720581570939737</v>
      </c>
      <c r="K183" s="7">
        <f t="shared" si="17"/>
        <v>6.4628276096178974</v>
      </c>
    </row>
    <row r="184" spans="1:11" x14ac:dyDescent="0.35">
      <c r="A184" t="s">
        <v>165</v>
      </c>
      <c r="B184" t="s">
        <v>80</v>
      </c>
      <c r="C184" t="s">
        <v>131</v>
      </c>
      <c r="D184" t="s">
        <v>34</v>
      </c>
      <c r="E184">
        <v>44</v>
      </c>
      <c r="F184">
        <v>1553740</v>
      </c>
      <c r="G184">
        <v>847899</v>
      </c>
      <c r="H184" s="5">
        <f t="shared" si="18"/>
        <v>35312.272727272728</v>
      </c>
      <c r="I184" s="6">
        <f>NTD_Service[[#This Row],[total_unlinked_trips]]*NTD_Service[[#This Row],[avg_trip_length]]</f>
        <v>2980881.0697388886</v>
      </c>
      <c r="J184" s="6">
        <f t="shared" si="15"/>
        <v>1.9185198744570446</v>
      </c>
      <c r="K184" s="7">
        <f t="shared" si="17"/>
        <v>3.5156086629880314</v>
      </c>
    </row>
    <row r="185" spans="1:11" x14ac:dyDescent="0.35">
      <c r="A185" t="s">
        <v>165</v>
      </c>
      <c r="B185" t="s">
        <v>80</v>
      </c>
      <c r="C185" t="s">
        <v>132</v>
      </c>
      <c r="D185" t="s">
        <v>31</v>
      </c>
      <c r="E185">
        <v>14</v>
      </c>
      <c r="F185">
        <v>490095</v>
      </c>
      <c r="G185">
        <v>356290</v>
      </c>
      <c r="H185" s="5">
        <f t="shared" si="18"/>
        <v>35006.785714285717</v>
      </c>
      <c r="I185" s="6">
        <f>NTD_Service[[#This Row],[total_unlinked_trips]]*NTD_Service[[#This Row],[avg_trip_length]]</f>
        <v>1343812.632806336</v>
      </c>
      <c r="J185" s="6">
        <f t="shared" si="15"/>
        <v>2.7419431596044359</v>
      </c>
      <c r="K185" s="7">
        <f t="shared" si="17"/>
        <v>3.7716821488291448</v>
      </c>
    </row>
    <row r="186" spans="1:11" x14ac:dyDescent="0.35">
      <c r="A186" t="s">
        <v>165</v>
      </c>
      <c r="B186" t="s">
        <v>80</v>
      </c>
      <c r="C186" t="s">
        <v>133</v>
      </c>
      <c r="D186" t="s">
        <v>35</v>
      </c>
      <c r="E186">
        <v>361</v>
      </c>
      <c r="F186">
        <v>11107450</v>
      </c>
      <c r="G186">
        <v>3104146</v>
      </c>
      <c r="H186" s="5">
        <f t="shared" si="18"/>
        <v>30768.559556786702</v>
      </c>
      <c r="I186" s="6">
        <f>NTD_Service[[#This Row],[total_unlinked_trips]]*NTD_Service[[#This Row],[avg_trip_length]]</f>
        <v>7767867.045544548</v>
      </c>
      <c r="J186" s="6">
        <f t="shared" si="15"/>
        <v>0.69933846612359707</v>
      </c>
      <c r="K186" s="7">
        <f t="shared" si="17"/>
        <v>2.5024167824401777</v>
      </c>
    </row>
    <row r="187" spans="1:11" x14ac:dyDescent="0.35">
      <c r="A187" t="s">
        <v>165</v>
      </c>
      <c r="B187" t="s">
        <v>80</v>
      </c>
      <c r="C187" t="s">
        <v>134</v>
      </c>
      <c r="D187" t="s">
        <v>37</v>
      </c>
      <c r="E187">
        <v>44</v>
      </c>
      <c r="F187">
        <v>1658049</v>
      </c>
      <c r="G187">
        <v>1054547</v>
      </c>
      <c r="H187" s="5">
        <f t="shared" si="18"/>
        <v>37682.931818181816</v>
      </c>
      <c r="I187" s="6">
        <f>NTD_Service[[#This Row],[total_unlinked_trips]]*NTD_Service[[#This Row],[avg_trip_length]]</f>
        <v>4901995.4394742195</v>
      </c>
      <c r="J187" s="6">
        <f t="shared" si="15"/>
        <v>2.9564840601660261</v>
      </c>
      <c r="K187" s="7">
        <f t="shared" si="17"/>
        <v>4.6484371388607801</v>
      </c>
    </row>
    <row r="188" spans="1:11" x14ac:dyDescent="0.35">
      <c r="A188" t="s">
        <v>165</v>
      </c>
      <c r="B188" t="s">
        <v>80</v>
      </c>
      <c r="C188" t="s">
        <v>135</v>
      </c>
      <c r="D188" t="s">
        <v>38</v>
      </c>
      <c r="E188">
        <v>23</v>
      </c>
      <c r="F188">
        <v>765333</v>
      </c>
      <c r="G188">
        <v>527073</v>
      </c>
      <c r="H188" s="5">
        <f t="shared" si="18"/>
        <v>33275.34782608696</v>
      </c>
      <c r="I188" s="6">
        <f>NTD_Service[[#This Row],[total_unlinked_trips]]*NTD_Service[[#This Row],[avg_trip_length]]</f>
        <v>2691464.8233249485</v>
      </c>
      <c r="J188" s="6">
        <f t="shared" si="15"/>
        <v>3.5167238618025731</v>
      </c>
      <c r="K188" s="7">
        <f t="shared" si="17"/>
        <v>5.1064365340758275</v>
      </c>
    </row>
    <row r="189" spans="1:11" x14ac:dyDescent="0.35">
      <c r="A189" t="s">
        <v>165</v>
      </c>
      <c r="B189" t="s">
        <v>80</v>
      </c>
      <c r="C189" t="s">
        <v>136</v>
      </c>
      <c r="D189" t="s">
        <v>39</v>
      </c>
      <c r="E189">
        <v>81</v>
      </c>
      <c r="F189">
        <v>3120251</v>
      </c>
      <c r="G189">
        <v>1275611</v>
      </c>
      <c r="H189" s="5">
        <f t="shared" si="18"/>
        <v>38521.617283950618</v>
      </c>
      <c r="I189" s="6">
        <f>NTD_Service[[#This Row],[total_unlinked_trips]]*NTD_Service[[#This Row],[avg_trip_length]]</f>
        <v>4605015.1461406611</v>
      </c>
      <c r="J189" s="6">
        <f t="shared" si="15"/>
        <v>1.4758476629414303</v>
      </c>
      <c r="K189" s="7">
        <f t="shared" si="17"/>
        <v>3.6100465942522142</v>
      </c>
    </row>
    <row r="190" spans="1:11" x14ac:dyDescent="0.35">
      <c r="A190" t="s">
        <v>165</v>
      </c>
      <c r="B190" t="s">
        <v>80</v>
      </c>
      <c r="C190" t="s">
        <v>137</v>
      </c>
      <c r="D190" t="s">
        <v>40</v>
      </c>
      <c r="E190">
        <v>97</v>
      </c>
      <c r="F190">
        <v>3413092</v>
      </c>
      <c r="G190">
        <v>1848234</v>
      </c>
      <c r="H190" s="5">
        <f t="shared" si="18"/>
        <v>35186.515463917523</v>
      </c>
      <c r="I190" s="6">
        <f>NTD_Service[[#This Row],[total_unlinked_trips]]*NTD_Service[[#This Row],[avg_trip_length]]</f>
        <v>6560899.5341978986</v>
      </c>
      <c r="J190" s="6">
        <f t="shared" si="15"/>
        <v>1.9222744462199961</v>
      </c>
      <c r="K190" s="7">
        <f t="shared" si="17"/>
        <v>3.5498208204144599</v>
      </c>
    </row>
    <row r="191" spans="1:11" x14ac:dyDescent="0.35">
      <c r="A191" t="s">
        <v>165</v>
      </c>
      <c r="B191" t="s">
        <v>80</v>
      </c>
      <c r="C191" t="s">
        <v>138</v>
      </c>
      <c r="D191" t="s">
        <v>87</v>
      </c>
      <c r="E191">
        <v>31</v>
      </c>
      <c r="F191">
        <v>178384</v>
      </c>
      <c r="G191">
        <v>65280</v>
      </c>
      <c r="H191" s="5">
        <f t="shared" si="18"/>
        <v>5754.322580645161</v>
      </c>
      <c r="I191" s="6">
        <f>NTD_Service[[#This Row],[total_unlinked_trips]]*NTD_Service[[#This Row],[avg_trip_length]]</f>
        <v>454840.22113456915</v>
      </c>
      <c r="J191" s="6">
        <f t="shared" si="15"/>
        <v>2.5497814890044461</v>
      </c>
      <c r="K191" s="7">
        <f t="shared" si="17"/>
        <v>6.9675278972820029</v>
      </c>
    </row>
    <row r="192" spans="1:11" x14ac:dyDescent="0.35">
      <c r="A192" t="s">
        <v>165</v>
      </c>
      <c r="B192" t="s">
        <v>80</v>
      </c>
      <c r="C192" t="s">
        <v>140</v>
      </c>
      <c r="D192" t="s">
        <v>243</v>
      </c>
      <c r="E192">
        <v>10</v>
      </c>
      <c r="F192">
        <v>352125</v>
      </c>
      <c r="G192">
        <v>80569</v>
      </c>
      <c r="H192" s="5">
        <f t="shared" si="18"/>
        <v>35212.5</v>
      </c>
      <c r="I192" s="6">
        <f>NTD_Service[[#This Row],[total_unlinked_trips]]*NTD_Service[[#This Row],[avg_trip_length]]</f>
        <v>345203.12047951459</v>
      </c>
      <c r="J192" s="6">
        <f t="shared" si="15"/>
        <v>0.98034255017256544</v>
      </c>
      <c r="K192" s="7">
        <f>K43</f>
        <v>4.2845650371670816</v>
      </c>
    </row>
    <row r="193" spans="1:11" x14ac:dyDescent="0.35">
      <c r="A193" t="s">
        <v>165</v>
      </c>
      <c r="B193" t="s">
        <v>80</v>
      </c>
      <c r="C193" t="s">
        <v>142</v>
      </c>
      <c r="D193" t="s">
        <v>43</v>
      </c>
      <c r="E193">
        <v>73</v>
      </c>
      <c r="F193">
        <v>1594424</v>
      </c>
      <c r="G193">
        <v>4005461</v>
      </c>
      <c r="H193" s="5">
        <f t="shared" si="18"/>
        <v>21841.424657534248</v>
      </c>
      <c r="I193" s="6">
        <f>NTD_Service[[#This Row],[total_unlinked_trips]]*NTD_Service[[#This Row],[avg_trip_length]]</f>
        <v>17865313.833831929</v>
      </c>
      <c r="J193" s="6">
        <f t="shared" si="15"/>
        <v>11.204870118507955</v>
      </c>
      <c r="K193" s="7">
        <f>K45</f>
        <v>4.4602391170034927</v>
      </c>
    </row>
    <row r="194" spans="1:11" x14ac:dyDescent="0.35">
      <c r="A194" t="s">
        <v>165</v>
      </c>
      <c r="B194" t="s">
        <v>80</v>
      </c>
      <c r="C194" t="s">
        <v>143</v>
      </c>
      <c r="D194" t="s">
        <v>44</v>
      </c>
      <c r="E194">
        <v>39</v>
      </c>
      <c r="F194">
        <v>1036753</v>
      </c>
      <c r="G194">
        <v>637623</v>
      </c>
      <c r="H194" s="5">
        <f t="shared" si="18"/>
        <v>26583.410256410258</v>
      </c>
      <c r="I194" s="6">
        <f>NTD_Service[[#This Row],[total_unlinked_trips]]*NTD_Service[[#This Row],[avg_trip_length]]</f>
        <v>2816528.0971522303</v>
      </c>
      <c r="J194" s="6">
        <f t="shared" si="15"/>
        <v>2.7166818877324013</v>
      </c>
      <c r="K194" s="7">
        <f t="shared" ref="K194:K200" si="19">K46</f>
        <v>4.4172310239000634</v>
      </c>
    </row>
    <row r="195" spans="1:11" x14ac:dyDescent="0.35">
      <c r="A195" t="s">
        <v>165</v>
      </c>
      <c r="B195" t="s">
        <v>80</v>
      </c>
      <c r="C195" t="s">
        <v>144</v>
      </c>
      <c r="D195" t="s">
        <v>45</v>
      </c>
      <c r="E195">
        <v>38</v>
      </c>
      <c r="F195">
        <v>2405733</v>
      </c>
      <c r="G195">
        <v>2710109</v>
      </c>
      <c r="H195" s="5">
        <f t="shared" si="18"/>
        <v>63308.76315789474</v>
      </c>
      <c r="I195" s="6">
        <f>NTD_Service[[#This Row],[total_unlinked_trips]]*NTD_Service[[#This Row],[avg_trip_length]]</f>
        <v>11192681.980814699</v>
      </c>
      <c r="J195" s="6">
        <f t="shared" si="15"/>
        <v>4.6525038234977441</v>
      </c>
      <c r="K195" s="7">
        <f t="shared" si="19"/>
        <v>4.129974838951016</v>
      </c>
    </row>
    <row r="196" spans="1:11" x14ac:dyDescent="0.35">
      <c r="A196" t="s">
        <v>165</v>
      </c>
      <c r="B196" t="s">
        <v>80</v>
      </c>
      <c r="C196" t="s">
        <v>145</v>
      </c>
      <c r="D196" t="s">
        <v>47</v>
      </c>
      <c r="E196">
        <v>105</v>
      </c>
      <c r="F196">
        <v>2849095</v>
      </c>
      <c r="G196">
        <v>1058400</v>
      </c>
      <c r="H196" s="5">
        <f t="shared" si="18"/>
        <v>27134.238095238095</v>
      </c>
      <c r="I196" s="6">
        <f>NTD_Service[[#This Row],[total_unlinked_trips]]*NTD_Service[[#This Row],[avg_trip_length]]</f>
        <v>4480695.265278386</v>
      </c>
      <c r="J196" s="6">
        <f t="shared" si="15"/>
        <v>1.57267316999903</v>
      </c>
      <c r="K196" s="7">
        <f t="shared" si="19"/>
        <v>4.2334611349946956</v>
      </c>
    </row>
    <row r="197" spans="1:11" x14ac:dyDescent="0.35">
      <c r="A197" t="s">
        <v>165</v>
      </c>
      <c r="B197" t="s">
        <v>80</v>
      </c>
      <c r="C197" t="s">
        <v>147</v>
      </c>
      <c r="D197" t="s">
        <v>46</v>
      </c>
      <c r="E197">
        <v>78</v>
      </c>
      <c r="F197">
        <v>2204130</v>
      </c>
      <c r="G197">
        <v>2042483</v>
      </c>
      <c r="H197" s="5">
        <f t="shared" si="18"/>
        <v>28258.076923076922</v>
      </c>
      <c r="I197" s="6">
        <f>NTD_Service[[#This Row],[total_unlinked_trips]]*NTD_Service[[#This Row],[avg_trip_length]]</f>
        <v>5778854.0726393508</v>
      </c>
      <c r="J197" s="6">
        <f t="shared" si="15"/>
        <v>2.6218299613177765</v>
      </c>
      <c r="K197" s="7">
        <f t="shared" si="19"/>
        <v>2.8293278684029932</v>
      </c>
    </row>
    <row r="198" spans="1:11" x14ac:dyDescent="0.35">
      <c r="A198" t="s">
        <v>165</v>
      </c>
      <c r="B198" t="s">
        <v>80</v>
      </c>
      <c r="C198" t="s">
        <v>148</v>
      </c>
      <c r="D198" t="s">
        <v>48</v>
      </c>
      <c r="E198">
        <v>158</v>
      </c>
      <c r="F198">
        <v>8446114</v>
      </c>
      <c r="G198">
        <v>4850158</v>
      </c>
      <c r="H198" s="5">
        <f t="shared" si="18"/>
        <v>53456.417721518985</v>
      </c>
      <c r="I198" s="6">
        <f>NTD_Service[[#This Row],[total_unlinked_trips]]*NTD_Service[[#This Row],[avg_trip_length]]</f>
        <v>22064227.544684567</v>
      </c>
      <c r="J198" s="6">
        <f t="shared" si="15"/>
        <v>2.61235256174432</v>
      </c>
      <c r="K198" s="7">
        <f t="shared" si="19"/>
        <v>4.5491770669501008</v>
      </c>
    </row>
    <row r="199" spans="1:11" x14ac:dyDescent="0.35">
      <c r="A199" t="s">
        <v>165</v>
      </c>
      <c r="B199" t="s">
        <v>80</v>
      </c>
      <c r="C199" t="s">
        <v>149</v>
      </c>
      <c r="D199" t="s">
        <v>50</v>
      </c>
      <c r="E199">
        <v>61</v>
      </c>
      <c r="F199">
        <v>2420152</v>
      </c>
      <c r="G199">
        <v>1011362</v>
      </c>
      <c r="H199" s="5">
        <f t="shared" si="18"/>
        <v>39674.62295081967</v>
      </c>
      <c r="I199" s="6">
        <f>NTD_Service[[#This Row],[total_unlinked_trips]]*NTD_Service[[#This Row],[avg_trip_length]]</f>
        <v>3407415.5796705331</v>
      </c>
      <c r="J199" s="6">
        <f t="shared" si="15"/>
        <v>1.4079345345542482</v>
      </c>
      <c r="K199" s="7">
        <f t="shared" si="19"/>
        <v>3.3691354625450955</v>
      </c>
    </row>
    <row r="200" spans="1:11" x14ac:dyDescent="0.35">
      <c r="A200" t="s">
        <v>165</v>
      </c>
      <c r="B200" t="s">
        <v>80</v>
      </c>
      <c r="C200" t="s">
        <v>150</v>
      </c>
      <c r="D200" t="s">
        <v>49</v>
      </c>
      <c r="E200">
        <v>77</v>
      </c>
      <c r="F200">
        <v>2684823</v>
      </c>
      <c r="G200">
        <v>880304</v>
      </c>
      <c r="H200" s="5">
        <f t="shared" si="18"/>
        <v>34867.831168831166</v>
      </c>
      <c r="I200" s="6">
        <f>NTD_Service[[#This Row],[total_unlinked_trips]]*NTD_Service[[#This Row],[avg_trip_length]]</f>
        <v>4318854.4137460152</v>
      </c>
      <c r="J200" s="6">
        <f t="shared" si="15"/>
        <v>1.6086179289085407</v>
      </c>
      <c r="K200" s="7">
        <f t="shared" si="19"/>
        <v>4.9060942739621938</v>
      </c>
    </row>
    <row r="201" spans="1:11" x14ac:dyDescent="0.35">
      <c r="A201" t="s">
        <v>165</v>
      </c>
      <c r="B201" t="s">
        <v>80</v>
      </c>
      <c r="C201" t="s">
        <v>151</v>
      </c>
      <c r="D201" t="s">
        <v>51</v>
      </c>
      <c r="E201">
        <v>44</v>
      </c>
      <c r="F201">
        <v>1523299</v>
      </c>
      <c r="G201">
        <v>1762981</v>
      </c>
      <c r="H201" s="5">
        <f t="shared" si="18"/>
        <v>34620.431818181816</v>
      </c>
      <c r="I201" s="6"/>
      <c r="J201" s="6"/>
      <c r="K201" s="7"/>
    </row>
    <row r="202" spans="1:11" x14ac:dyDescent="0.35">
      <c r="A202" t="s">
        <v>167</v>
      </c>
      <c r="B202" t="s">
        <v>334</v>
      </c>
      <c r="C202" t="s">
        <v>101</v>
      </c>
      <c r="D202" t="s">
        <v>7</v>
      </c>
      <c r="E202">
        <v>523</v>
      </c>
      <c r="F202">
        <v>15103108</v>
      </c>
      <c r="G202">
        <v>9374397</v>
      </c>
      <c r="H202" s="5">
        <f t="shared" si="18"/>
        <v>28877.835564053537</v>
      </c>
      <c r="I202">
        <v>192363898</v>
      </c>
      <c r="J202" s="5">
        <f t="shared" ref="J202:J230" si="20">I202/F202</f>
        <v>12.73670942431187</v>
      </c>
      <c r="K202" s="5">
        <f t="shared" ref="K202:K230" si="21">I202/G202</f>
        <v>20.520135641791146</v>
      </c>
    </row>
    <row r="203" spans="1:11" x14ac:dyDescent="0.35">
      <c r="A203" t="s">
        <v>167</v>
      </c>
      <c r="B203" t="s">
        <v>334</v>
      </c>
      <c r="C203" t="s">
        <v>103</v>
      </c>
      <c r="D203" t="s">
        <v>9</v>
      </c>
      <c r="E203">
        <v>35</v>
      </c>
      <c r="F203">
        <v>1127828</v>
      </c>
      <c r="G203">
        <v>377936</v>
      </c>
      <c r="H203" s="5">
        <f t="shared" si="18"/>
        <v>32223.657142857144</v>
      </c>
      <c r="I203">
        <v>8462384</v>
      </c>
      <c r="J203" s="5">
        <f t="shared" si="20"/>
        <v>7.5032575889231339</v>
      </c>
      <c r="K203" s="5">
        <f t="shared" si="21"/>
        <v>22.39105033656492</v>
      </c>
    </row>
    <row r="204" spans="1:11" x14ac:dyDescent="0.35">
      <c r="A204" t="s">
        <v>167</v>
      </c>
      <c r="B204" t="s">
        <v>334</v>
      </c>
      <c r="C204" t="s">
        <v>106</v>
      </c>
      <c r="D204" t="s">
        <v>12</v>
      </c>
      <c r="E204">
        <v>12</v>
      </c>
      <c r="F204">
        <v>1206534</v>
      </c>
      <c r="G204">
        <v>338138</v>
      </c>
      <c r="H204" s="5">
        <f t="shared" si="18"/>
        <v>100544.5</v>
      </c>
      <c r="I204">
        <v>12741416</v>
      </c>
      <c r="J204" s="5">
        <f t="shared" si="20"/>
        <v>10.560345584956577</v>
      </c>
      <c r="K204" s="5">
        <f t="shared" si="21"/>
        <v>37.681112445214673</v>
      </c>
    </row>
    <row r="205" spans="1:11" x14ac:dyDescent="0.35">
      <c r="A205" t="s">
        <v>167</v>
      </c>
      <c r="B205" t="s">
        <v>334</v>
      </c>
      <c r="C205" t="s">
        <v>107</v>
      </c>
      <c r="D205" t="s">
        <v>13</v>
      </c>
      <c r="E205">
        <v>181</v>
      </c>
      <c r="F205">
        <v>3708274</v>
      </c>
      <c r="G205">
        <v>2590004</v>
      </c>
      <c r="H205" s="5">
        <f t="shared" si="18"/>
        <v>20487.701657458565</v>
      </c>
      <c r="I205">
        <v>65536645</v>
      </c>
      <c r="J205" s="5">
        <f t="shared" si="20"/>
        <v>17.673085915442062</v>
      </c>
      <c r="K205" s="5">
        <f t="shared" si="21"/>
        <v>25.303684859173963</v>
      </c>
    </row>
    <row r="206" spans="1:11" x14ac:dyDescent="0.35">
      <c r="A206" t="s">
        <v>167</v>
      </c>
      <c r="B206" t="s">
        <v>334</v>
      </c>
      <c r="C206" t="s">
        <v>110</v>
      </c>
      <c r="D206" t="s">
        <v>14</v>
      </c>
      <c r="E206">
        <v>7</v>
      </c>
      <c r="F206">
        <v>183859</v>
      </c>
      <c r="G206">
        <v>170366</v>
      </c>
      <c r="H206" s="5">
        <f t="shared" si="18"/>
        <v>26265.571428571428</v>
      </c>
      <c r="I206">
        <v>4806706</v>
      </c>
      <c r="J206" s="5">
        <f t="shared" si="20"/>
        <v>26.143436002588942</v>
      </c>
      <c r="K206" s="5">
        <f t="shared" si="21"/>
        <v>28.213998098212084</v>
      </c>
    </row>
    <row r="207" spans="1:11" x14ac:dyDescent="0.35">
      <c r="A207" t="s">
        <v>167</v>
      </c>
      <c r="B207" t="s">
        <v>334</v>
      </c>
      <c r="C207" t="s">
        <v>113</v>
      </c>
      <c r="D207" t="s">
        <v>16</v>
      </c>
      <c r="E207">
        <v>2</v>
      </c>
      <c r="F207">
        <v>316684</v>
      </c>
      <c r="G207">
        <v>23175</v>
      </c>
      <c r="H207" s="5">
        <f t="shared" si="18"/>
        <v>158342</v>
      </c>
      <c r="I207">
        <v>1112304</v>
      </c>
      <c r="J207" s="5">
        <f t="shared" si="20"/>
        <v>3.512346692602089</v>
      </c>
      <c r="K207" s="5">
        <f t="shared" si="21"/>
        <v>47.995857605177996</v>
      </c>
    </row>
    <row r="208" spans="1:11" x14ac:dyDescent="0.35">
      <c r="A208" t="s">
        <v>167</v>
      </c>
      <c r="B208" t="s">
        <v>334</v>
      </c>
      <c r="C208" t="s">
        <v>114</v>
      </c>
      <c r="D208" t="s">
        <v>17</v>
      </c>
      <c r="E208">
        <v>3</v>
      </c>
      <c r="F208">
        <v>177480</v>
      </c>
      <c r="G208">
        <v>40303</v>
      </c>
      <c r="H208" s="5">
        <f t="shared" si="18"/>
        <v>59160</v>
      </c>
      <c r="I208">
        <v>281137</v>
      </c>
      <c r="J208" s="5">
        <f t="shared" si="20"/>
        <v>1.5840489069190895</v>
      </c>
      <c r="K208" s="5">
        <f t="shared" si="21"/>
        <v>6.9755849440488298</v>
      </c>
    </row>
    <row r="209" spans="1:11" x14ac:dyDescent="0.35">
      <c r="A209" t="s">
        <v>167</v>
      </c>
      <c r="B209" t="s">
        <v>334</v>
      </c>
      <c r="C209" t="s">
        <v>115</v>
      </c>
      <c r="D209" t="s">
        <v>19</v>
      </c>
      <c r="E209">
        <v>21</v>
      </c>
      <c r="F209">
        <v>366540</v>
      </c>
      <c r="G209">
        <v>125389</v>
      </c>
      <c r="H209" s="5">
        <f t="shared" si="18"/>
        <v>17454.285714285714</v>
      </c>
      <c r="I209">
        <v>2319261</v>
      </c>
      <c r="J209" s="5">
        <f t="shared" si="20"/>
        <v>6.327443116713046</v>
      </c>
      <c r="K209" s="5">
        <f t="shared" si="21"/>
        <v>18.496526808571726</v>
      </c>
    </row>
    <row r="210" spans="1:11" x14ac:dyDescent="0.35">
      <c r="A210" t="s">
        <v>167</v>
      </c>
      <c r="B210" t="s">
        <v>334</v>
      </c>
      <c r="C210" t="s">
        <v>118</v>
      </c>
      <c r="D210" t="s">
        <v>24</v>
      </c>
      <c r="E210">
        <v>5</v>
      </c>
      <c r="F210">
        <v>82175</v>
      </c>
      <c r="G210">
        <v>60822</v>
      </c>
      <c r="H210" s="5">
        <f t="shared" si="18"/>
        <v>16435</v>
      </c>
      <c r="I210">
        <v>1650309</v>
      </c>
      <c r="J210" s="5">
        <f t="shared" si="20"/>
        <v>20.0828597505324</v>
      </c>
      <c r="K210" s="5">
        <f t="shared" si="21"/>
        <v>27.133422116997139</v>
      </c>
    </row>
    <row r="211" spans="1:11" x14ac:dyDescent="0.35">
      <c r="A211" t="s">
        <v>167</v>
      </c>
      <c r="B211" t="s">
        <v>334</v>
      </c>
      <c r="C211" t="s">
        <v>119</v>
      </c>
      <c r="D211" t="s">
        <v>23</v>
      </c>
      <c r="E211">
        <v>280</v>
      </c>
      <c r="F211">
        <v>6636014</v>
      </c>
      <c r="G211">
        <v>3623587</v>
      </c>
      <c r="H211" s="5">
        <f t="shared" si="18"/>
        <v>23700.05</v>
      </c>
      <c r="I211">
        <v>104182716</v>
      </c>
      <c r="J211" s="5">
        <f t="shared" si="20"/>
        <v>15.699592556616064</v>
      </c>
      <c r="K211" s="5">
        <f t="shared" si="21"/>
        <v>28.751266631655319</v>
      </c>
    </row>
    <row r="212" spans="1:11" x14ac:dyDescent="0.35">
      <c r="A212" t="s">
        <v>167</v>
      </c>
      <c r="B212" t="s">
        <v>334</v>
      </c>
      <c r="C212" t="s">
        <v>120</v>
      </c>
      <c r="D212" t="s">
        <v>22</v>
      </c>
      <c r="E212">
        <v>6</v>
      </c>
      <c r="F212">
        <v>113758</v>
      </c>
      <c r="G212">
        <v>9947</v>
      </c>
      <c r="H212" s="5">
        <f t="shared" si="18"/>
        <v>18959.666666666668</v>
      </c>
      <c r="I212">
        <v>456779</v>
      </c>
      <c r="J212" s="5">
        <f t="shared" si="20"/>
        <v>4.0153571616941228</v>
      </c>
      <c r="K212" s="5">
        <f t="shared" si="21"/>
        <v>45.921282798833822</v>
      </c>
    </row>
    <row r="213" spans="1:11" x14ac:dyDescent="0.35">
      <c r="A213" t="s">
        <v>167</v>
      </c>
      <c r="B213" t="s">
        <v>334</v>
      </c>
      <c r="C213" t="s">
        <v>121</v>
      </c>
      <c r="D213" t="s">
        <v>25</v>
      </c>
      <c r="E213">
        <v>8</v>
      </c>
      <c r="F213">
        <v>432546</v>
      </c>
      <c r="G213">
        <v>137512</v>
      </c>
      <c r="H213" s="5">
        <f t="shared" si="18"/>
        <v>54068.25</v>
      </c>
      <c r="I213">
        <v>3398659</v>
      </c>
      <c r="J213" s="5">
        <f t="shared" si="20"/>
        <v>7.8573354047893176</v>
      </c>
      <c r="K213" s="5">
        <f t="shared" si="21"/>
        <v>24.71536302286346</v>
      </c>
    </row>
    <row r="214" spans="1:11" x14ac:dyDescent="0.35">
      <c r="A214" t="s">
        <v>167</v>
      </c>
      <c r="B214" t="s">
        <v>334</v>
      </c>
      <c r="C214" t="s">
        <v>122</v>
      </c>
      <c r="D214" t="s">
        <v>26</v>
      </c>
      <c r="E214">
        <v>4</v>
      </c>
      <c r="F214">
        <v>174446</v>
      </c>
      <c r="G214">
        <v>47147</v>
      </c>
      <c r="H214" s="5">
        <f t="shared" si="18"/>
        <v>43611.5</v>
      </c>
      <c r="I214">
        <v>1293261</v>
      </c>
      <c r="J214" s="5">
        <f t="shared" si="20"/>
        <v>7.4135319812434792</v>
      </c>
      <c r="K214" s="5">
        <f t="shared" si="21"/>
        <v>27.430398540734299</v>
      </c>
    </row>
    <row r="215" spans="1:11" x14ac:dyDescent="0.35">
      <c r="A215" t="s">
        <v>167</v>
      </c>
      <c r="B215" t="s">
        <v>334</v>
      </c>
      <c r="C215" t="s">
        <v>126</v>
      </c>
      <c r="D215" t="s">
        <v>242</v>
      </c>
      <c r="E215">
        <v>94</v>
      </c>
      <c r="F215">
        <v>2548230</v>
      </c>
      <c r="G215">
        <v>1141134</v>
      </c>
      <c r="H215" s="5">
        <f t="shared" si="18"/>
        <v>27108.829787234041</v>
      </c>
      <c r="I215">
        <v>16075368</v>
      </c>
      <c r="J215" s="5">
        <f t="shared" si="20"/>
        <v>6.3084446851343872</v>
      </c>
      <c r="K215" s="5">
        <f t="shared" si="21"/>
        <v>14.08718695613311</v>
      </c>
    </row>
    <row r="216" spans="1:11" x14ac:dyDescent="0.35">
      <c r="A216" t="s">
        <v>167</v>
      </c>
      <c r="B216" t="s">
        <v>334</v>
      </c>
      <c r="C216" t="s">
        <v>130</v>
      </c>
      <c r="D216" t="s">
        <v>33</v>
      </c>
      <c r="E216">
        <v>681</v>
      </c>
      <c r="F216">
        <v>28732680</v>
      </c>
      <c r="G216">
        <v>14852080</v>
      </c>
      <c r="H216" s="5">
        <f t="shared" si="18"/>
        <v>42191.894273127757</v>
      </c>
      <c r="I216">
        <v>549918356</v>
      </c>
      <c r="J216" s="5">
        <f t="shared" si="20"/>
        <v>19.139125065952776</v>
      </c>
      <c r="K216" s="5">
        <f t="shared" si="21"/>
        <v>37.026352941810174</v>
      </c>
    </row>
    <row r="217" spans="1:11" x14ac:dyDescent="0.35">
      <c r="A217" t="s">
        <v>167</v>
      </c>
      <c r="B217" t="s">
        <v>334</v>
      </c>
      <c r="C217" t="s">
        <v>131</v>
      </c>
      <c r="D217" t="s">
        <v>34</v>
      </c>
      <c r="E217">
        <v>8</v>
      </c>
      <c r="F217">
        <v>331362</v>
      </c>
      <c r="G217">
        <v>57678</v>
      </c>
      <c r="H217" s="5">
        <f t="shared" si="18"/>
        <v>41420.25</v>
      </c>
      <c r="I217">
        <v>1106442</v>
      </c>
      <c r="J217" s="5">
        <f t="shared" si="20"/>
        <v>3.3390732793742193</v>
      </c>
      <c r="K217" s="5">
        <f t="shared" si="21"/>
        <v>19.183085405180485</v>
      </c>
    </row>
    <row r="218" spans="1:11" x14ac:dyDescent="0.35">
      <c r="A218" t="s">
        <v>167</v>
      </c>
      <c r="B218" t="s">
        <v>334</v>
      </c>
      <c r="C218" t="s">
        <v>132</v>
      </c>
      <c r="D218" t="s">
        <v>31</v>
      </c>
      <c r="E218">
        <v>7</v>
      </c>
      <c r="F218">
        <v>303754</v>
      </c>
      <c r="G218">
        <v>61361</v>
      </c>
      <c r="H218" s="5">
        <f t="shared" si="18"/>
        <v>43393.428571428572</v>
      </c>
      <c r="I218">
        <v>1213835</v>
      </c>
      <c r="J218" s="5">
        <f t="shared" si="20"/>
        <v>3.9961119853565714</v>
      </c>
      <c r="K218" s="5">
        <f t="shared" si="21"/>
        <v>19.781864702335358</v>
      </c>
    </row>
    <row r="219" spans="1:11" x14ac:dyDescent="0.35">
      <c r="A219" t="s">
        <v>167</v>
      </c>
      <c r="B219" t="s">
        <v>334</v>
      </c>
      <c r="C219" t="s">
        <v>133</v>
      </c>
      <c r="D219" t="s">
        <v>35</v>
      </c>
      <c r="E219">
        <v>610</v>
      </c>
      <c r="F219">
        <v>17139928</v>
      </c>
      <c r="G219">
        <v>13931103</v>
      </c>
      <c r="H219" s="5">
        <f t="shared" si="18"/>
        <v>28098.24262295082</v>
      </c>
      <c r="I219">
        <v>310211405</v>
      </c>
      <c r="J219" s="5">
        <f t="shared" si="20"/>
        <v>18.098757766076965</v>
      </c>
      <c r="K219" s="5">
        <f t="shared" si="21"/>
        <v>22.267540840089978</v>
      </c>
    </row>
    <row r="220" spans="1:11" x14ac:dyDescent="0.35">
      <c r="A220" t="s">
        <v>167</v>
      </c>
      <c r="B220" t="s">
        <v>334</v>
      </c>
      <c r="C220" t="s">
        <v>134</v>
      </c>
      <c r="D220" t="s">
        <v>37</v>
      </c>
      <c r="E220">
        <v>16</v>
      </c>
      <c r="F220">
        <v>515002</v>
      </c>
      <c r="G220">
        <v>154101</v>
      </c>
      <c r="H220" s="5">
        <f t="shared" si="18"/>
        <v>32187.625</v>
      </c>
      <c r="I220">
        <v>3460980</v>
      </c>
      <c r="J220" s="5">
        <f t="shared" si="20"/>
        <v>6.7203234162197427</v>
      </c>
      <c r="K220" s="5">
        <f t="shared" si="21"/>
        <v>22.459166390873516</v>
      </c>
    </row>
    <row r="221" spans="1:11" x14ac:dyDescent="0.35">
      <c r="A221" t="s">
        <v>167</v>
      </c>
      <c r="B221" t="s">
        <v>334</v>
      </c>
      <c r="C221" t="s">
        <v>136</v>
      </c>
      <c r="D221" t="s">
        <v>39</v>
      </c>
      <c r="E221">
        <v>16</v>
      </c>
      <c r="F221">
        <v>489945</v>
      </c>
      <c r="G221">
        <v>216547</v>
      </c>
      <c r="H221" s="5">
        <f t="shared" si="18"/>
        <v>30621.5625</v>
      </c>
      <c r="I221">
        <v>2903895</v>
      </c>
      <c r="J221" s="5">
        <f t="shared" si="20"/>
        <v>5.9269815999755071</v>
      </c>
      <c r="K221" s="5">
        <f t="shared" si="21"/>
        <v>13.409998753157513</v>
      </c>
    </row>
    <row r="222" spans="1:11" x14ac:dyDescent="0.35">
      <c r="A222" t="s">
        <v>167</v>
      </c>
      <c r="B222" t="s">
        <v>334</v>
      </c>
      <c r="C222" t="s">
        <v>137</v>
      </c>
      <c r="D222" t="s">
        <v>40</v>
      </c>
      <c r="E222">
        <v>68</v>
      </c>
      <c r="F222">
        <v>4429626</v>
      </c>
      <c r="G222">
        <v>1255523</v>
      </c>
      <c r="H222" s="5">
        <f t="shared" si="18"/>
        <v>65141.558823529413</v>
      </c>
      <c r="I222">
        <v>79306068</v>
      </c>
      <c r="J222" s="5">
        <f t="shared" si="20"/>
        <v>17.90355844940408</v>
      </c>
      <c r="K222" s="5">
        <f t="shared" si="21"/>
        <v>63.165762793672435</v>
      </c>
    </row>
    <row r="223" spans="1:11" x14ac:dyDescent="0.35">
      <c r="A223" t="s">
        <v>167</v>
      </c>
      <c r="B223" t="s">
        <v>334</v>
      </c>
      <c r="C223" t="s">
        <v>140</v>
      </c>
      <c r="D223" t="s">
        <v>243</v>
      </c>
      <c r="E223">
        <v>15</v>
      </c>
      <c r="F223">
        <v>292486</v>
      </c>
      <c r="G223">
        <v>145672</v>
      </c>
      <c r="H223" s="5">
        <f t="shared" si="18"/>
        <v>19499.066666666666</v>
      </c>
      <c r="I223">
        <v>2568847</v>
      </c>
      <c r="J223" s="5">
        <f t="shared" si="20"/>
        <v>8.7828032794732049</v>
      </c>
      <c r="K223" s="5">
        <f t="shared" si="21"/>
        <v>17.63445960788621</v>
      </c>
    </row>
    <row r="224" spans="1:11" x14ac:dyDescent="0.35">
      <c r="A224" t="s">
        <v>167</v>
      </c>
      <c r="B224" t="s">
        <v>334</v>
      </c>
      <c r="C224" t="s">
        <v>142</v>
      </c>
      <c r="D224" t="s">
        <v>43</v>
      </c>
      <c r="E224">
        <v>19</v>
      </c>
      <c r="F224">
        <v>326460</v>
      </c>
      <c r="G224">
        <v>181831</v>
      </c>
      <c r="H224" s="5">
        <f t="shared" si="18"/>
        <v>17182.105263157893</v>
      </c>
      <c r="I224">
        <v>5898100</v>
      </c>
      <c r="J224" s="5">
        <f t="shared" si="20"/>
        <v>18.066838203761563</v>
      </c>
      <c r="K224" s="5">
        <f t="shared" si="21"/>
        <v>32.437263172946309</v>
      </c>
    </row>
    <row r="225" spans="1:11" x14ac:dyDescent="0.35">
      <c r="A225" t="s">
        <v>167</v>
      </c>
      <c r="B225" t="s">
        <v>334</v>
      </c>
      <c r="C225" t="s">
        <v>143</v>
      </c>
      <c r="D225" t="s">
        <v>44</v>
      </c>
      <c r="E225">
        <v>406</v>
      </c>
      <c r="F225">
        <v>11966269</v>
      </c>
      <c r="G225">
        <v>9588110</v>
      </c>
      <c r="H225" s="5">
        <f t="shared" si="18"/>
        <v>29473.568965517243</v>
      </c>
      <c r="I225">
        <v>187884928</v>
      </c>
      <c r="J225" s="5">
        <f t="shared" si="20"/>
        <v>15.70121213220261</v>
      </c>
      <c r="K225" s="5">
        <f t="shared" si="21"/>
        <v>19.595616654377139</v>
      </c>
    </row>
    <row r="226" spans="1:11" x14ac:dyDescent="0.35">
      <c r="A226" t="s">
        <v>167</v>
      </c>
      <c r="B226" t="s">
        <v>334</v>
      </c>
      <c r="C226" t="s">
        <v>144</v>
      </c>
      <c r="D226" t="s">
        <v>45</v>
      </c>
      <c r="E226">
        <v>41</v>
      </c>
      <c r="F226">
        <v>904101</v>
      </c>
      <c r="G226">
        <v>549661</v>
      </c>
      <c r="H226" s="5">
        <f t="shared" si="18"/>
        <v>22051.243902439026</v>
      </c>
      <c r="I226">
        <v>12128093</v>
      </c>
      <c r="J226" s="5">
        <f t="shared" si="20"/>
        <v>13.414533332006048</v>
      </c>
      <c r="K226" s="5">
        <f t="shared" si="21"/>
        <v>22.064678047014432</v>
      </c>
    </row>
    <row r="227" spans="1:11" x14ac:dyDescent="0.35">
      <c r="A227" t="s">
        <v>167</v>
      </c>
      <c r="B227" t="s">
        <v>334</v>
      </c>
      <c r="C227" t="s">
        <v>145</v>
      </c>
      <c r="D227" t="s">
        <v>47</v>
      </c>
      <c r="E227">
        <v>158</v>
      </c>
      <c r="F227">
        <v>4031352</v>
      </c>
      <c r="G227">
        <v>2849753</v>
      </c>
      <c r="H227" s="5">
        <f t="shared" si="18"/>
        <v>25514.886075949365</v>
      </c>
      <c r="I227">
        <v>77545415</v>
      </c>
      <c r="J227" s="5">
        <f t="shared" si="20"/>
        <v>19.235585232944185</v>
      </c>
      <c r="K227" s="5">
        <f t="shared" si="21"/>
        <v>27.211275854433701</v>
      </c>
    </row>
    <row r="228" spans="1:11" x14ac:dyDescent="0.35">
      <c r="A228" t="s">
        <v>167</v>
      </c>
      <c r="B228" t="s">
        <v>334</v>
      </c>
      <c r="C228" t="s">
        <v>147</v>
      </c>
      <c r="D228" t="s">
        <v>46</v>
      </c>
      <c r="E228">
        <v>20</v>
      </c>
      <c r="F228">
        <v>753501</v>
      </c>
      <c r="G228">
        <v>240536</v>
      </c>
      <c r="H228" s="5">
        <f t="shared" si="18"/>
        <v>37675.050000000003</v>
      </c>
      <c r="I228">
        <v>5288242</v>
      </c>
      <c r="J228" s="5">
        <f t="shared" si="20"/>
        <v>7.0182282438908512</v>
      </c>
      <c r="K228" s="5">
        <f t="shared" si="21"/>
        <v>21.98524129444241</v>
      </c>
    </row>
    <row r="229" spans="1:11" x14ac:dyDescent="0.35">
      <c r="A229" t="s">
        <v>167</v>
      </c>
      <c r="B229" t="s">
        <v>334</v>
      </c>
      <c r="C229" t="s">
        <v>148</v>
      </c>
      <c r="D229" t="s">
        <v>48</v>
      </c>
      <c r="E229">
        <v>387</v>
      </c>
      <c r="F229">
        <v>15103857</v>
      </c>
      <c r="G229">
        <v>20957540</v>
      </c>
      <c r="H229" s="5">
        <f t="shared" si="18"/>
        <v>39028.054263565893</v>
      </c>
      <c r="I229">
        <v>318569658</v>
      </c>
      <c r="J229" s="5">
        <f t="shared" si="20"/>
        <v>21.09194082014945</v>
      </c>
      <c r="K229" s="5">
        <f t="shared" si="21"/>
        <v>15.200718118634153</v>
      </c>
    </row>
    <row r="230" spans="1:11" x14ac:dyDescent="0.35">
      <c r="A230" t="s">
        <v>167</v>
      </c>
      <c r="B230" t="s">
        <v>334</v>
      </c>
      <c r="C230" t="s">
        <v>149</v>
      </c>
      <c r="D230" t="s">
        <v>50</v>
      </c>
      <c r="E230">
        <v>29</v>
      </c>
      <c r="F230">
        <v>880327</v>
      </c>
      <c r="G230">
        <v>292768</v>
      </c>
      <c r="H230" s="5">
        <f t="shared" si="18"/>
        <v>30356.103448275862</v>
      </c>
      <c r="I230">
        <v>7130869</v>
      </c>
      <c r="J230" s="5">
        <f t="shared" si="20"/>
        <v>8.1002502479192398</v>
      </c>
      <c r="K230" s="5">
        <f t="shared" si="21"/>
        <v>24.356722729260028</v>
      </c>
    </row>
    <row r="231" spans="1:11" x14ac:dyDescent="0.35">
      <c r="A231" t="s">
        <v>168</v>
      </c>
      <c r="B231" t="s">
        <v>334</v>
      </c>
      <c r="C231" t="s">
        <v>100</v>
      </c>
      <c r="D231" t="s">
        <v>5</v>
      </c>
      <c r="E231">
        <v>38</v>
      </c>
      <c r="F231">
        <v>3351956</v>
      </c>
      <c r="G231">
        <v>15084312</v>
      </c>
      <c r="H231" s="5">
        <f t="shared" si="18"/>
        <v>88209.368421052626</v>
      </c>
      <c r="I231">
        <v>108918663</v>
      </c>
      <c r="J231" s="5">
        <f t="shared" ref="J231:J278" si="22">I231/F231</f>
        <v>32.494061079560709</v>
      </c>
      <c r="K231" s="5">
        <f t="shared" ref="K231:K278" si="23">I231/G231</f>
        <v>7.2206583236941801</v>
      </c>
    </row>
    <row r="232" spans="1:11" x14ac:dyDescent="0.35">
      <c r="A232" t="s">
        <v>168</v>
      </c>
      <c r="B232" t="s">
        <v>334</v>
      </c>
      <c r="C232" t="s">
        <v>101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8"/>
        <v>69855.79755671903</v>
      </c>
      <c r="I232">
        <v>931495117</v>
      </c>
      <c r="J232" s="5">
        <f t="shared" si="22"/>
        <v>23.271453269527662</v>
      </c>
      <c r="K232" s="5">
        <f t="shared" si="23"/>
        <v>5.639831674087973</v>
      </c>
    </row>
    <row r="233" spans="1:11" x14ac:dyDescent="0.35">
      <c r="A233" t="s">
        <v>168</v>
      </c>
      <c r="B233" t="s">
        <v>334</v>
      </c>
      <c r="C233" t="s">
        <v>102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8"/>
        <v>87837.15625</v>
      </c>
      <c r="I233">
        <v>178266835</v>
      </c>
      <c r="J233" s="5">
        <f t="shared" si="22"/>
        <v>12.684469378526812</v>
      </c>
      <c r="K233" s="5">
        <f t="shared" si="23"/>
        <v>7.2509521950108402</v>
      </c>
    </row>
    <row r="234" spans="1:11" x14ac:dyDescent="0.35">
      <c r="A234" t="s">
        <v>168</v>
      </c>
      <c r="B234" t="s">
        <v>334</v>
      </c>
      <c r="C234" t="s">
        <v>118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8"/>
        <v>37740.75496688742</v>
      </c>
      <c r="I234">
        <v>137719112</v>
      </c>
      <c r="J234" s="5">
        <f t="shared" si="22"/>
        <v>24.166106378580675</v>
      </c>
      <c r="K234" s="5">
        <f t="shared" si="23"/>
        <v>2.4171610130967727</v>
      </c>
    </row>
    <row r="235" spans="1:11" x14ac:dyDescent="0.35">
      <c r="A235" t="s">
        <v>168</v>
      </c>
      <c r="B235" t="s">
        <v>334</v>
      </c>
      <c r="C235" t="s">
        <v>119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8"/>
        <v>79462.921052631573</v>
      </c>
      <c r="I235">
        <v>39816955</v>
      </c>
      <c r="J235" s="5">
        <f t="shared" si="22"/>
        <v>13.186207999692673</v>
      </c>
      <c r="K235" s="5">
        <f t="shared" si="23"/>
        <v>5.7158402899079999</v>
      </c>
    </row>
    <row r="236" spans="1:11" x14ac:dyDescent="0.35">
      <c r="A236" t="s">
        <v>168</v>
      </c>
      <c r="B236" t="s">
        <v>334</v>
      </c>
      <c r="C236" t="s">
        <v>122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8"/>
        <v>69137.90789473684</v>
      </c>
      <c r="I236">
        <v>100499405</v>
      </c>
      <c r="J236" s="5">
        <f t="shared" si="22"/>
        <v>19.126418955554318</v>
      </c>
      <c r="K236" s="5">
        <f t="shared" si="23"/>
        <v>3.9723961105545333</v>
      </c>
    </row>
    <row r="237" spans="1:11" x14ac:dyDescent="0.35">
      <c r="A237" t="s">
        <v>168</v>
      </c>
      <c r="B237" t="s">
        <v>334</v>
      </c>
      <c r="C237" t="s">
        <v>123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8"/>
        <v>122272.56</v>
      </c>
      <c r="I237">
        <v>89068641</v>
      </c>
      <c r="J237" s="5">
        <f t="shared" si="22"/>
        <v>14.568868272652507</v>
      </c>
      <c r="K237" s="5">
        <f t="shared" si="23"/>
        <v>6.7728125105268386</v>
      </c>
    </row>
    <row r="238" spans="1:11" x14ac:dyDescent="0.35">
      <c r="A238" t="s">
        <v>168</v>
      </c>
      <c r="B238" t="s">
        <v>334</v>
      </c>
      <c r="C238" t="s">
        <v>126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8"/>
        <v>64115.138888888891</v>
      </c>
      <c r="I238">
        <v>45024652</v>
      </c>
      <c r="J238" s="5">
        <f t="shared" si="22"/>
        <v>19.506855938426746</v>
      </c>
      <c r="K238" s="5">
        <f t="shared" si="23"/>
        <v>5.6232651733790009</v>
      </c>
    </row>
    <row r="239" spans="1:11" x14ac:dyDescent="0.35">
      <c r="A239" t="s">
        <v>168</v>
      </c>
      <c r="B239" t="s">
        <v>334</v>
      </c>
      <c r="C239" t="s">
        <v>130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8"/>
        <v>46672.446428571428</v>
      </c>
      <c r="I239">
        <v>73704102</v>
      </c>
      <c r="J239" s="5">
        <f t="shared" si="22"/>
        <v>28.199607676141131</v>
      </c>
      <c r="K239" s="5">
        <f t="shared" si="23"/>
        <v>3.4200803038421421</v>
      </c>
    </row>
    <row r="240" spans="1:11" x14ac:dyDescent="0.35">
      <c r="A240" t="s">
        <v>168</v>
      </c>
      <c r="B240" t="s">
        <v>334</v>
      </c>
      <c r="C240" t="s">
        <v>133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8"/>
        <v>40079.391304347824</v>
      </c>
      <c r="I240">
        <v>11971472</v>
      </c>
      <c r="J240" s="5">
        <f t="shared" si="22"/>
        <v>12.986693801216282</v>
      </c>
      <c r="K240" s="5">
        <f t="shared" si="23"/>
        <v>2.6691745349696907</v>
      </c>
    </row>
    <row r="241" spans="1:11" x14ac:dyDescent="0.35">
      <c r="A241" t="s">
        <v>168</v>
      </c>
      <c r="B241" t="s">
        <v>334</v>
      </c>
      <c r="C241" t="s">
        <v>134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8"/>
        <v>75345.222222222219</v>
      </c>
      <c r="I241">
        <v>8974467</v>
      </c>
      <c r="J241" s="5">
        <f t="shared" si="22"/>
        <v>13.234588346676851</v>
      </c>
      <c r="K241" s="5">
        <f t="shared" si="23"/>
        <v>6.0439697130307648</v>
      </c>
    </row>
    <row r="242" spans="1:11" x14ac:dyDescent="0.35">
      <c r="A242" t="s">
        <v>168</v>
      </c>
      <c r="B242" t="s">
        <v>334</v>
      </c>
      <c r="C242" t="s">
        <v>136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8"/>
        <v>77995.094827586203</v>
      </c>
      <c r="I242">
        <v>207967836</v>
      </c>
      <c r="J242" s="5">
        <f t="shared" si="22"/>
        <v>22.986396469892945</v>
      </c>
      <c r="K242" s="5">
        <f t="shared" si="23"/>
        <v>5.3506767697579081</v>
      </c>
    </row>
    <row r="243" spans="1:11" x14ac:dyDescent="0.35">
      <c r="A243" t="s">
        <v>168</v>
      </c>
      <c r="B243" t="s">
        <v>334</v>
      </c>
      <c r="C243" t="s">
        <v>137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8"/>
        <v>37541.15517241379</v>
      </c>
      <c r="I243">
        <v>28888028</v>
      </c>
      <c r="J243" s="5">
        <f t="shared" si="22"/>
        <v>13.267291482864552</v>
      </c>
      <c r="K243" s="5">
        <f t="shared" si="23"/>
        <v>4.0330692369872629</v>
      </c>
    </row>
    <row r="244" spans="1:11" x14ac:dyDescent="0.35">
      <c r="A244" t="s">
        <v>168</v>
      </c>
      <c r="B244" t="s">
        <v>334</v>
      </c>
      <c r="C244" t="s">
        <v>143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22"/>
        <v>20.260812690094692</v>
      </c>
      <c r="K244" s="5">
        <f t="shared" si="23"/>
        <v>5.9569040586428832</v>
      </c>
    </row>
    <row r="245" spans="1:11" x14ac:dyDescent="0.35">
      <c r="A245" t="s">
        <v>168</v>
      </c>
      <c r="B245" t="s">
        <v>334</v>
      </c>
      <c r="C245" t="s">
        <v>144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8"/>
        <v>73811.325842696635</v>
      </c>
      <c r="I245">
        <v>83098538</v>
      </c>
      <c r="J245" s="5">
        <f t="shared" si="22"/>
        <v>12.649704195696041</v>
      </c>
      <c r="K245" s="5">
        <f t="shared" si="23"/>
        <v>4.8516171874744574</v>
      </c>
    </row>
    <row r="246" spans="1:11" x14ac:dyDescent="0.35">
      <c r="A246" t="s">
        <v>168</v>
      </c>
      <c r="B246" t="s">
        <v>334</v>
      </c>
      <c r="C246" t="s">
        <v>145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86" si="24">F246/E246</f>
        <v>64244.833333333336</v>
      </c>
      <c r="I246">
        <v>4798117</v>
      </c>
      <c r="J246" s="5">
        <f t="shared" si="22"/>
        <v>12.447478266734809</v>
      </c>
      <c r="K246" s="5">
        <f t="shared" si="23"/>
        <v>3.3577779861661239</v>
      </c>
    </row>
    <row r="247" spans="1:11" x14ac:dyDescent="0.35">
      <c r="A247" t="s">
        <v>168</v>
      </c>
      <c r="B247" t="s">
        <v>334</v>
      </c>
      <c r="C247" t="s">
        <v>148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24"/>
        <v>100189.0925925926</v>
      </c>
      <c r="I247">
        <v>163463700</v>
      </c>
      <c r="J247" s="5">
        <f t="shared" si="22"/>
        <v>30.21392326473034</v>
      </c>
      <c r="K247" s="5">
        <f t="shared" si="23"/>
        <v>6.6014775085571724</v>
      </c>
    </row>
    <row r="248" spans="1:11" x14ac:dyDescent="0.35">
      <c r="A248" t="s">
        <v>169</v>
      </c>
      <c r="B248" t="s">
        <v>334</v>
      </c>
      <c r="C248" t="s">
        <v>101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24"/>
        <v>129360.29725609756</v>
      </c>
      <c r="I248">
        <v>1964029505</v>
      </c>
      <c r="J248" s="5">
        <f t="shared" si="22"/>
        <v>23.144252755011454</v>
      </c>
      <c r="K248" s="5">
        <f t="shared" si="23"/>
        <v>11.678157785441179</v>
      </c>
    </row>
    <row r="249" spans="1:11" x14ac:dyDescent="0.35">
      <c r="A249" t="s">
        <v>169</v>
      </c>
      <c r="B249" t="s">
        <v>334</v>
      </c>
      <c r="C249" t="s">
        <v>104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24"/>
        <v>92507.22282608696</v>
      </c>
      <c r="I249">
        <v>1313511151</v>
      </c>
      <c r="J249" s="5">
        <f t="shared" si="22"/>
        <v>15.433708507719931</v>
      </c>
      <c r="K249" s="5">
        <f t="shared" si="23"/>
        <v>5.7364875682176564</v>
      </c>
    </row>
    <row r="250" spans="1:11" x14ac:dyDescent="0.35">
      <c r="A250" t="s">
        <v>169</v>
      </c>
      <c r="B250" t="s">
        <v>334</v>
      </c>
      <c r="C250" t="s">
        <v>106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24"/>
        <v>104700.39473684211</v>
      </c>
      <c r="I250">
        <v>136546053</v>
      </c>
      <c r="J250" s="5">
        <f t="shared" si="22"/>
        <v>17.159998265728149</v>
      </c>
      <c r="K250" s="5">
        <f t="shared" si="23"/>
        <v>7.3830622951113956</v>
      </c>
    </row>
    <row r="251" spans="1:11" x14ac:dyDescent="0.35">
      <c r="A251" t="s">
        <v>169</v>
      </c>
      <c r="B251" t="s">
        <v>334</v>
      </c>
      <c r="C251" t="s">
        <v>107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24"/>
        <v>106185.91037735849</v>
      </c>
      <c r="I251">
        <v>450023139</v>
      </c>
      <c r="J251" s="5">
        <f t="shared" si="22"/>
        <v>19.990888133054998</v>
      </c>
      <c r="K251" s="5">
        <f t="shared" si="23"/>
        <v>6.9003618133678435</v>
      </c>
    </row>
    <row r="252" spans="1:11" x14ac:dyDescent="0.35">
      <c r="A252" t="s">
        <v>169</v>
      </c>
      <c r="B252" t="s">
        <v>334</v>
      </c>
      <c r="C252" t="s">
        <v>113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24"/>
        <v>63207.938144329899</v>
      </c>
      <c r="I252">
        <v>1378128437</v>
      </c>
      <c r="J252" s="5">
        <f t="shared" si="22"/>
        <v>18.731177967119926</v>
      </c>
      <c r="K252" s="5">
        <f t="shared" si="23"/>
        <v>6.3081726189660712</v>
      </c>
    </row>
    <row r="253" spans="1:11" x14ac:dyDescent="0.35">
      <c r="A253" t="s">
        <v>169</v>
      </c>
      <c r="B253" t="s">
        <v>334</v>
      </c>
      <c r="C253" t="s">
        <v>118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24"/>
        <v>68230.816568047332</v>
      </c>
      <c r="I253">
        <v>572046325</v>
      </c>
      <c r="J253" s="5">
        <f t="shared" si="22"/>
        <v>24.804697256302312</v>
      </c>
      <c r="K253" s="5">
        <f t="shared" si="23"/>
        <v>3.5674452987479142</v>
      </c>
    </row>
    <row r="254" spans="1:11" x14ac:dyDescent="0.35">
      <c r="A254" t="s">
        <v>169</v>
      </c>
      <c r="B254" t="s">
        <v>334</v>
      </c>
      <c r="C254" t="s">
        <v>119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24"/>
        <v>81116.092592592599</v>
      </c>
      <c r="I254">
        <v>32470539</v>
      </c>
      <c r="J254" s="5">
        <f t="shared" si="22"/>
        <v>7.4129098007451137</v>
      </c>
      <c r="K254" s="5">
        <f t="shared" si="23"/>
        <v>4.4630988126319959</v>
      </c>
    </row>
    <row r="255" spans="1:11" x14ac:dyDescent="0.35">
      <c r="A255" t="s">
        <v>169</v>
      </c>
      <c r="B255" t="s">
        <v>334</v>
      </c>
      <c r="C255" t="s">
        <v>130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24"/>
        <v>47933.897637795279</v>
      </c>
      <c r="I255">
        <v>546353547</v>
      </c>
      <c r="J255" s="5">
        <f t="shared" si="22"/>
        <v>29.916173766201979</v>
      </c>
      <c r="K255" s="5">
        <f t="shared" si="23"/>
        <v>5.3890238621192159</v>
      </c>
    </row>
    <row r="256" spans="1:11" x14ac:dyDescent="0.35">
      <c r="A256" t="s">
        <v>169</v>
      </c>
      <c r="B256" t="s">
        <v>334</v>
      </c>
      <c r="C256" t="s">
        <v>133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24"/>
        <v>65450.133406633679</v>
      </c>
      <c r="I256">
        <v>10511005234</v>
      </c>
      <c r="J256" s="5">
        <f t="shared" si="22"/>
        <v>29.429288499385283</v>
      </c>
      <c r="K256" s="5">
        <f t="shared" si="23"/>
        <v>3.8639799769605743</v>
      </c>
    </row>
    <row r="257" spans="1:11" x14ac:dyDescent="0.35">
      <c r="A257" t="s">
        <v>169</v>
      </c>
      <c r="B257" t="s">
        <v>334</v>
      </c>
      <c r="C257" t="s">
        <v>134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24"/>
        <v>103707.33333333333</v>
      </c>
      <c r="I257">
        <v>36529680</v>
      </c>
      <c r="J257" s="5">
        <f t="shared" si="22"/>
        <v>14.676589890782394</v>
      </c>
      <c r="K257" s="5">
        <f t="shared" si="23"/>
        <v>6.4463693722596513</v>
      </c>
    </row>
    <row r="258" spans="1:11" x14ac:dyDescent="0.35">
      <c r="A258" t="s">
        <v>169</v>
      </c>
      <c r="B258" t="s">
        <v>334</v>
      </c>
      <c r="C258" t="s">
        <v>137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24"/>
        <v>59507.466898954706</v>
      </c>
      <c r="I258">
        <v>399537395</v>
      </c>
      <c r="J258" s="5">
        <f t="shared" si="22"/>
        <v>23.393977788516334</v>
      </c>
      <c r="K258" s="5">
        <f t="shared" si="23"/>
        <v>4.4024127084646194</v>
      </c>
    </row>
    <row r="259" spans="1:11" x14ac:dyDescent="0.35">
      <c r="A259" t="s">
        <v>169</v>
      </c>
      <c r="B259" t="s">
        <v>334</v>
      </c>
      <c r="C259" t="s">
        <v>138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24"/>
        <v>58140.71875</v>
      </c>
      <c r="I259">
        <v>25647958</v>
      </c>
      <c r="J259" s="5">
        <f t="shared" si="22"/>
        <v>13.785496717823083</v>
      </c>
      <c r="K259" s="5">
        <f t="shared" si="23"/>
        <v>4.7978643781743955</v>
      </c>
    </row>
    <row r="260" spans="1:11" x14ac:dyDescent="0.35">
      <c r="A260" t="s">
        <v>170</v>
      </c>
      <c r="B260" t="s">
        <v>334</v>
      </c>
      <c r="C260" t="s">
        <v>101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24"/>
        <v>65420.639566395665</v>
      </c>
      <c r="I260">
        <v>923680643</v>
      </c>
      <c r="J260" s="5">
        <f t="shared" si="22"/>
        <v>38.263147396858422</v>
      </c>
      <c r="K260" s="5">
        <f t="shared" si="23"/>
        <v>27.072690392750992</v>
      </c>
    </row>
    <row r="261" spans="1:11" x14ac:dyDescent="0.35">
      <c r="A261" t="s">
        <v>170</v>
      </c>
      <c r="B261" t="s">
        <v>334</v>
      </c>
      <c r="C261" t="s">
        <v>102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24"/>
        <v>124155.27272727272</v>
      </c>
      <c r="I261">
        <v>121331394</v>
      </c>
      <c r="J261" s="5">
        <f t="shared" si="22"/>
        <v>22.210346940927344</v>
      </c>
      <c r="K261" s="5">
        <f t="shared" si="23"/>
        <v>12.493737396869671</v>
      </c>
    </row>
    <row r="262" spans="1:11" x14ac:dyDescent="0.35">
      <c r="A262" t="s">
        <v>170</v>
      </c>
      <c r="B262" t="s">
        <v>334</v>
      </c>
      <c r="C262" t="s">
        <v>103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24"/>
        <v>46399.612903225803</v>
      </c>
      <c r="I262">
        <v>16002355</v>
      </c>
      <c r="J262" s="5">
        <f t="shared" si="22"/>
        <v>11.125200571751154</v>
      </c>
      <c r="K262" s="5">
        <f t="shared" si="23"/>
        <v>26.874524516875557</v>
      </c>
    </row>
    <row r="263" spans="1:11" x14ac:dyDescent="0.35">
      <c r="A263" t="s">
        <v>170</v>
      </c>
      <c r="B263" t="s">
        <v>334</v>
      </c>
      <c r="C263" t="s">
        <v>106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24"/>
        <v>60682.684210526313</v>
      </c>
      <c r="I263">
        <v>143756233</v>
      </c>
      <c r="J263" s="5">
        <f t="shared" si="22"/>
        <v>31.170825849045638</v>
      </c>
      <c r="K263" s="5">
        <f t="shared" si="23"/>
        <v>24.22012604365263</v>
      </c>
    </row>
    <row r="264" spans="1:11" x14ac:dyDescent="0.35">
      <c r="A264" t="s">
        <v>170</v>
      </c>
      <c r="B264" t="s">
        <v>334</v>
      </c>
      <c r="C264" t="s">
        <v>113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24"/>
        <v>41843.954971857413</v>
      </c>
      <c r="I264">
        <v>1365137921</v>
      </c>
      <c r="J264" s="5">
        <f t="shared" si="22"/>
        <v>30.604592408639839</v>
      </c>
      <c r="K264" s="5">
        <f t="shared" si="23"/>
        <v>22.213017341992682</v>
      </c>
    </row>
    <row r="265" spans="1:11" x14ac:dyDescent="0.35">
      <c r="A265" t="s">
        <v>170</v>
      </c>
      <c r="B265" t="s">
        <v>334</v>
      </c>
      <c r="C265" t="s">
        <v>114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24"/>
        <v>62770.942857142858</v>
      </c>
      <c r="I265">
        <v>108385897</v>
      </c>
      <c r="J265" s="5">
        <f t="shared" si="22"/>
        <v>24.666985816458297</v>
      </c>
      <c r="K265" s="5">
        <f t="shared" si="23"/>
        <v>33.00822206582221</v>
      </c>
    </row>
    <row r="266" spans="1:11" x14ac:dyDescent="0.35">
      <c r="A266" t="s">
        <v>170</v>
      </c>
      <c r="B266" t="s">
        <v>334</v>
      </c>
      <c r="C266" t="s">
        <v>118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24"/>
        <v>57192.309633027522</v>
      </c>
      <c r="I266">
        <v>653570994</v>
      </c>
      <c r="J266" s="5">
        <f t="shared" si="22"/>
        <v>26.210098016722672</v>
      </c>
      <c r="K266" s="5">
        <f t="shared" si="23"/>
        <v>20.962745725812436</v>
      </c>
    </row>
    <row r="267" spans="1:11" x14ac:dyDescent="0.35">
      <c r="A267" t="s">
        <v>170</v>
      </c>
      <c r="B267" t="s">
        <v>334</v>
      </c>
      <c r="C267" t="s">
        <v>119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24"/>
        <v>44645.617449664431</v>
      </c>
      <c r="I267">
        <v>271391388</v>
      </c>
      <c r="J267" s="5">
        <f t="shared" si="22"/>
        <v>40.797256605599621</v>
      </c>
      <c r="K267" s="5">
        <f t="shared" si="23"/>
        <v>29.528319416465337</v>
      </c>
    </row>
    <row r="268" spans="1:11" x14ac:dyDescent="0.35">
      <c r="A268" t="s">
        <v>170</v>
      </c>
      <c r="B268" t="s">
        <v>334</v>
      </c>
      <c r="C268" t="s">
        <v>120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24"/>
        <v>114915.42857142857</v>
      </c>
      <c r="I268">
        <v>44297074</v>
      </c>
      <c r="J268" s="5">
        <f t="shared" si="22"/>
        <v>18.355972756776826</v>
      </c>
      <c r="K268" s="5">
        <f t="shared" si="23"/>
        <v>80.938499122042487</v>
      </c>
    </row>
    <row r="269" spans="1:11" x14ac:dyDescent="0.35">
      <c r="A269" t="s">
        <v>170</v>
      </c>
      <c r="B269" t="s">
        <v>334</v>
      </c>
      <c r="C269" t="s">
        <v>122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24"/>
        <v>29844.6</v>
      </c>
      <c r="I269">
        <v>18965595</v>
      </c>
      <c r="J269" s="5">
        <f t="shared" si="22"/>
        <v>31.773913873866629</v>
      </c>
      <c r="K269" s="5">
        <f t="shared" si="23"/>
        <v>24.70224729345323</v>
      </c>
    </row>
    <row r="270" spans="1:11" x14ac:dyDescent="0.35">
      <c r="A270" t="s">
        <v>170</v>
      </c>
      <c r="B270" t="s">
        <v>334</v>
      </c>
      <c r="C270" t="s">
        <v>130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24"/>
        <v>63453.801733477791</v>
      </c>
      <c r="I270">
        <v>2006197776</v>
      </c>
      <c r="J270" s="5">
        <f t="shared" si="22"/>
        <v>34.254244738568985</v>
      </c>
      <c r="K270" s="5">
        <f t="shared" si="23"/>
        <v>22.399867373701738</v>
      </c>
    </row>
    <row r="271" spans="1:11" x14ac:dyDescent="0.35">
      <c r="A271" t="s">
        <v>170</v>
      </c>
      <c r="B271" t="s">
        <v>334</v>
      </c>
      <c r="C271" t="s">
        <v>131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24"/>
        <v>51479.115384615383</v>
      </c>
      <c r="I271">
        <v>35411192</v>
      </c>
      <c r="J271" s="5">
        <f t="shared" si="22"/>
        <v>26.456727410742371</v>
      </c>
      <c r="K271" s="5">
        <f t="shared" si="23"/>
        <v>46.384455377586363</v>
      </c>
    </row>
    <row r="272" spans="1:11" x14ac:dyDescent="0.35">
      <c r="A272" t="s">
        <v>170</v>
      </c>
      <c r="B272" t="s">
        <v>334</v>
      </c>
      <c r="C272" t="s">
        <v>133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24"/>
        <v>62878.327163350303</v>
      </c>
      <c r="I272">
        <v>5964349570</v>
      </c>
      <c r="J272" s="5">
        <f t="shared" si="22"/>
        <v>43.894220760050416</v>
      </c>
      <c r="K272" s="5">
        <f t="shared" si="23"/>
        <v>28.998886185196746</v>
      </c>
    </row>
    <row r="273" spans="1:11" x14ac:dyDescent="0.35">
      <c r="A273" t="s">
        <v>170</v>
      </c>
      <c r="B273" t="s">
        <v>334</v>
      </c>
      <c r="C273" t="s">
        <v>137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24"/>
        <v>63148.237113402065</v>
      </c>
      <c r="I273">
        <v>603541707</v>
      </c>
      <c r="J273" s="5">
        <f t="shared" si="22"/>
        <v>24.632831168487698</v>
      </c>
      <c r="K273" s="5">
        <f t="shared" si="23"/>
        <v>16.627523937434137</v>
      </c>
    </row>
    <row r="274" spans="1:11" x14ac:dyDescent="0.35">
      <c r="A274" t="s">
        <v>170</v>
      </c>
      <c r="B274" t="s">
        <v>334</v>
      </c>
      <c r="C274" t="s">
        <v>142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24"/>
        <v>24745.875</v>
      </c>
      <c r="I274">
        <v>4544152</v>
      </c>
      <c r="J274" s="5">
        <f t="shared" si="22"/>
        <v>22.954088307647233</v>
      </c>
      <c r="K274" s="5">
        <f t="shared" si="23"/>
        <v>15.695251516281898</v>
      </c>
    </row>
    <row r="275" spans="1:11" x14ac:dyDescent="0.35">
      <c r="A275" t="s">
        <v>170</v>
      </c>
      <c r="B275" t="s">
        <v>334</v>
      </c>
      <c r="C275" t="s">
        <v>143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24"/>
        <v>69061.69767441861</v>
      </c>
      <c r="I275">
        <v>41940297</v>
      </c>
      <c r="J275" s="5">
        <f t="shared" si="22"/>
        <v>14.122962177735918</v>
      </c>
      <c r="K275" s="5">
        <f t="shared" si="23"/>
        <v>17.370797634539894</v>
      </c>
    </row>
    <row r="276" spans="1:11" x14ac:dyDescent="0.35">
      <c r="A276" t="s">
        <v>170</v>
      </c>
      <c r="B276" t="s">
        <v>334</v>
      </c>
      <c r="C276" t="s">
        <v>144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24"/>
        <v>108039.74</v>
      </c>
      <c r="I276">
        <v>133685517</v>
      </c>
      <c r="J276" s="5">
        <f t="shared" si="22"/>
        <v>24.747471069441669</v>
      </c>
      <c r="K276" s="5">
        <f t="shared" si="23"/>
        <v>25.73905110226865</v>
      </c>
    </row>
    <row r="277" spans="1:11" x14ac:dyDescent="0.35">
      <c r="A277" t="s">
        <v>170</v>
      </c>
      <c r="B277" t="s">
        <v>334</v>
      </c>
      <c r="C277" t="s">
        <v>145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24"/>
        <v>24806.020202020201</v>
      </c>
      <c r="I277">
        <v>135051068</v>
      </c>
      <c r="J277" s="5">
        <f t="shared" si="22"/>
        <v>54.992787674546257</v>
      </c>
      <c r="K277" s="5">
        <f t="shared" si="23"/>
        <v>30.636927266400097</v>
      </c>
    </row>
    <row r="278" spans="1:11" x14ac:dyDescent="0.35">
      <c r="A278" t="s">
        <v>170</v>
      </c>
      <c r="B278" t="s">
        <v>334</v>
      </c>
      <c r="C278" t="s">
        <v>148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24"/>
        <v>32038.957142857143</v>
      </c>
      <c r="I278">
        <v>116066343</v>
      </c>
      <c r="J278" s="5">
        <f t="shared" si="22"/>
        <v>51.75232785800501</v>
      </c>
      <c r="K278" s="5">
        <f t="shared" si="23"/>
        <v>25.163898521707175</v>
      </c>
    </row>
    <row r="279" spans="1:11" x14ac:dyDescent="0.35">
      <c r="A279" t="s">
        <v>165</v>
      </c>
      <c r="B279" t="s">
        <v>89</v>
      </c>
      <c r="C279" t="s">
        <v>335</v>
      </c>
      <c r="D279" t="s">
        <v>336</v>
      </c>
      <c r="E279">
        <v>47331</v>
      </c>
      <c r="F279">
        <v>1836232114</v>
      </c>
      <c r="G279">
        <v>4353219011</v>
      </c>
      <c r="H279" s="5">
        <f t="shared" si="24"/>
        <v>38795.548667892079</v>
      </c>
      <c r="I279" s="5">
        <v>16219259423</v>
      </c>
      <c r="J279" s="7">
        <v>8.8329026049263408</v>
      </c>
      <c r="K279" s="7">
        <v>3.7258082770510992</v>
      </c>
    </row>
    <row r="280" spans="1:11" x14ac:dyDescent="0.35">
      <c r="A280" t="s">
        <v>165</v>
      </c>
      <c r="B280" t="s">
        <v>80</v>
      </c>
      <c r="C280" t="s">
        <v>335</v>
      </c>
      <c r="D280" t="s">
        <v>336</v>
      </c>
      <c r="E280">
        <v>3238</v>
      </c>
      <c r="F280">
        <v>102206207</v>
      </c>
      <c r="G280">
        <v>66308862</v>
      </c>
      <c r="H280" s="5">
        <f t="shared" si="24"/>
        <v>31564.609944410131</v>
      </c>
      <c r="I280" s="5">
        <v>274044933.85095018</v>
      </c>
      <c r="J280" s="7">
        <v>2.6812944330372241</v>
      </c>
      <c r="K280" s="7">
        <v>4.1328553316289787</v>
      </c>
    </row>
    <row r="281" spans="1:11" x14ac:dyDescent="0.35">
      <c r="A281" t="s">
        <v>166</v>
      </c>
      <c r="B281" t="s">
        <v>89</v>
      </c>
      <c r="C281" t="s">
        <v>335</v>
      </c>
      <c r="D281" t="s">
        <v>336</v>
      </c>
      <c r="E281">
        <v>24173</v>
      </c>
      <c r="F281">
        <v>703824296</v>
      </c>
      <c r="G281">
        <v>89202598</v>
      </c>
      <c r="H281" s="5">
        <f t="shared" si="24"/>
        <v>29116.13353741778</v>
      </c>
      <c r="I281" s="5">
        <v>838536690</v>
      </c>
      <c r="J281" s="7">
        <v>1.1914006020616259</v>
      </c>
      <c r="K281" s="7">
        <v>9.4003617473114396</v>
      </c>
    </row>
    <row r="282" spans="1:11" x14ac:dyDescent="0.35">
      <c r="A282" t="s">
        <v>166</v>
      </c>
      <c r="B282" t="s">
        <v>80</v>
      </c>
      <c r="C282" t="s">
        <v>335</v>
      </c>
      <c r="D282" t="s">
        <v>336</v>
      </c>
      <c r="E282">
        <v>14290</v>
      </c>
      <c r="F282">
        <v>327572088</v>
      </c>
      <c r="G282">
        <v>44621755</v>
      </c>
      <c r="H282" s="5">
        <f t="shared" si="24"/>
        <v>22923.169209237229</v>
      </c>
      <c r="I282" s="5">
        <v>443449758.62863559</v>
      </c>
      <c r="J282" s="7">
        <v>1.3537470830806426</v>
      </c>
      <c r="K282" s="7">
        <v>9.937972153462713</v>
      </c>
    </row>
    <row r="283" spans="1:11" x14ac:dyDescent="0.35">
      <c r="A283" t="s">
        <v>168</v>
      </c>
      <c r="B283" t="s">
        <v>334</v>
      </c>
      <c r="C283" t="s">
        <v>335</v>
      </c>
      <c r="D283" t="s">
        <v>336</v>
      </c>
      <c r="E283">
        <v>1704</v>
      </c>
      <c r="F283">
        <v>121418147</v>
      </c>
      <c r="G283">
        <v>478993825</v>
      </c>
      <c r="H283" s="5">
        <f t="shared" si="24"/>
        <v>71254.781103286383</v>
      </c>
      <c r="I283" s="5">
        <v>2493009013</v>
      </c>
      <c r="J283" s="7">
        <v>20.532425132463931</v>
      </c>
      <c r="K283" s="7">
        <v>5.204678813970097</v>
      </c>
    </row>
    <row r="284" spans="1:11" x14ac:dyDescent="0.35">
      <c r="A284" t="s">
        <v>169</v>
      </c>
      <c r="B284" t="s">
        <v>334</v>
      </c>
      <c r="C284" t="s">
        <v>335</v>
      </c>
      <c r="D284" t="s">
        <v>336</v>
      </c>
      <c r="E284">
        <v>9601</v>
      </c>
      <c r="F284">
        <v>698304283</v>
      </c>
      <c r="G284">
        <v>3790363462</v>
      </c>
      <c r="H284" s="5">
        <f t="shared" si="24"/>
        <v>72732.453181960213</v>
      </c>
      <c r="I284" s="5">
        <v>17365828963</v>
      </c>
      <c r="J284" s="7">
        <v>24.868570028518644</v>
      </c>
      <c r="K284" s="7">
        <v>4.5815735448855488</v>
      </c>
    </row>
    <row r="285" spans="1:11" x14ac:dyDescent="0.35">
      <c r="A285" t="s">
        <v>170</v>
      </c>
      <c r="B285" t="s">
        <v>334</v>
      </c>
      <c r="C285" t="s">
        <v>335</v>
      </c>
      <c r="D285" t="s">
        <v>336</v>
      </c>
      <c r="E285">
        <v>6050</v>
      </c>
      <c r="F285">
        <v>352807129</v>
      </c>
      <c r="G285">
        <v>506002298</v>
      </c>
      <c r="H285" s="5">
        <f t="shared" si="24"/>
        <v>58315.2279338843</v>
      </c>
      <c r="I285" s="5">
        <v>12707307116</v>
      </c>
      <c r="J285" s="7">
        <v>36.017716399375821</v>
      </c>
      <c r="K285" s="7">
        <v>25.113141118580455</v>
      </c>
    </row>
    <row r="286" spans="1:11" x14ac:dyDescent="0.35">
      <c r="A286" t="s">
        <v>167</v>
      </c>
      <c r="B286" t="s">
        <v>334</v>
      </c>
      <c r="C286" t="s">
        <v>335</v>
      </c>
      <c r="D286" t="s">
        <v>336</v>
      </c>
      <c r="E286">
        <v>3662</v>
      </c>
      <c r="F286">
        <v>118378126</v>
      </c>
      <c r="G286">
        <v>83394121</v>
      </c>
      <c r="H286" s="5">
        <f t="shared" si="24"/>
        <v>32326.085745494267</v>
      </c>
      <c r="I286" s="5">
        <v>1979815976</v>
      </c>
      <c r="J286" s="7">
        <v>16.724508512662212</v>
      </c>
      <c r="K286" s="7">
        <v>23.740474175631636</v>
      </c>
    </row>
  </sheetData>
  <phoneticPr fontId="8" type="noConversion"/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F79F-6AC8-4A5B-9CF0-A2CD90AE0FE7}">
  <dimension ref="A1:C28"/>
  <sheetViews>
    <sheetView workbookViewId="0">
      <selection activeCell="D6" sqref="D6"/>
    </sheetView>
  </sheetViews>
  <sheetFormatPr defaultRowHeight="14.5" x14ac:dyDescent="0.35"/>
  <sheetData>
    <row r="1" spans="1:3" x14ac:dyDescent="0.35">
      <c r="A1" t="s">
        <v>1</v>
      </c>
      <c r="B1" t="s">
        <v>337</v>
      </c>
      <c r="C1" t="s">
        <v>338</v>
      </c>
    </row>
    <row r="2" spans="1:3" x14ac:dyDescent="0.35">
      <c r="A2">
        <v>2024</v>
      </c>
      <c r="B2">
        <v>17725</v>
      </c>
      <c r="C2">
        <v>17725</v>
      </c>
    </row>
    <row r="3" spans="1:3" x14ac:dyDescent="0.35">
      <c r="A3">
        <v>2025</v>
      </c>
      <c r="B3">
        <v>8477</v>
      </c>
      <c r="C3">
        <v>13101</v>
      </c>
    </row>
    <row r="4" spans="1:3" x14ac:dyDescent="0.35">
      <c r="A4">
        <v>2026</v>
      </c>
      <c r="B4">
        <v>5416</v>
      </c>
      <c r="C4">
        <v>10539.333333333334</v>
      </c>
    </row>
    <row r="5" spans="1:3" x14ac:dyDescent="0.35">
      <c r="A5">
        <v>2027</v>
      </c>
      <c r="B5">
        <v>4606</v>
      </c>
      <c r="C5">
        <v>9056</v>
      </c>
    </row>
    <row r="6" spans="1:3" x14ac:dyDescent="0.35">
      <c r="A6">
        <v>2028</v>
      </c>
      <c r="B6">
        <v>4060</v>
      </c>
      <c r="C6">
        <v>8056.8</v>
      </c>
    </row>
    <row r="7" spans="1:3" x14ac:dyDescent="0.35">
      <c r="A7">
        <v>2029</v>
      </c>
      <c r="B7">
        <v>3544</v>
      </c>
      <c r="C7">
        <v>7304.666666666667</v>
      </c>
    </row>
    <row r="8" spans="1:3" x14ac:dyDescent="0.35">
      <c r="A8">
        <v>2030</v>
      </c>
      <c r="B8">
        <v>3114</v>
      </c>
      <c r="C8">
        <v>6706</v>
      </c>
    </row>
    <row r="9" spans="1:3" x14ac:dyDescent="0.35">
      <c r="A9">
        <v>2031</v>
      </c>
      <c r="B9">
        <v>2840</v>
      </c>
      <c r="C9">
        <v>6222.75</v>
      </c>
    </row>
    <row r="10" spans="1:3" x14ac:dyDescent="0.35">
      <c r="A10">
        <v>2032</v>
      </c>
      <c r="B10">
        <v>2727</v>
      </c>
      <c r="C10">
        <v>5834.333333333333</v>
      </c>
    </row>
    <row r="11" spans="1:3" x14ac:dyDescent="0.35">
      <c r="A11">
        <v>2033</v>
      </c>
      <c r="B11">
        <v>2574</v>
      </c>
      <c r="C11">
        <v>5508.3</v>
      </c>
    </row>
    <row r="12" spans="1:3" x14ac:dyDescent="0.35">
      <c r="A12">
        <v>2034</v>
      </c>
      <c r="B12">
        <v>2439</v>
      </c>
      <c r="C12">
        <v>5229.272727272727</v>
      </c>
    </row>
    <row r="13" spans="1:3" x14ac:dyDescent="0.35">
      <c r="A13">
        <v>2035</v>
      </c>
      <c r="B13">
        <v>2369</v>
      </c>
      <c r="C13">
        <v>4990.916666666667</v>
      </c>
    </row>
    <row r="14" spans="1:3" x14ac:dyDescent="0.35">
      <c r="A14">
        <v>2036</v>
      </c>
      <c r="B14">
        <v>2369</v>
      </c>
      <c r="C14">
        <v>4789.2307692307695</v>
      </c>
    </row>
    <row r="15" spans="1:3" x14ac:dyDescent="0.35">
      <c r="A15">
        <v>2037</v>
      </c>
      <c r="B15">
        <v>2369</v>
      </c>
      <c r="C15">
        <v>4616.3571428571431</v>
      </c>
    </row>
    <row r="16" spans="1:3" x14ac:dyDescent="0.35">
      <c r="A16">
        <v>2038</v>
      </c>
      <c r="B16">
        <v>2369</v>
      </c>
      <c r="C16">
        <v>4466.5333333333338</v>
      </c>
    </row>
    <row r="17" spans="1:3" x14ac:dyDescent="0.35">
      <c r="A17">
        <v>2039</v>
      </c>
      <c r="B17">
        <v>2369</v>
      </c>
      <c r="C17">
        <v>4335.4375</v>
      </c>
    </row>
    <row r="18" spans="1:3" x14ac:dyDescent="0.35">
      <c r="A18">
        <v>2040</v>
      </c>
      <c r="B18">
        <v>2369</v>
      </c>
      <c r="C18">
        <v>4219.7647058823532</v>
      </c>
    </row>
    <row r="19" spans="1:3" x14ac:dyDescent="0.35">
      <c r="A19">
        <v>2041</v>
      </c>
      <c r="B19">
        <v>2369</v>
      </c>
      <c r="C19">
        <v>4116.9444444444443</v>
      </c>
    </row>
    <row r="20" spans="1:3" x14ac:dyDescent="0.35">
      <c r="A20">
        <v>2042</v>
      </c>
      <c r="B20">
        <v>2369</v>
      </c>
      <c r="C20">
        <v>4024.9473684210525</v>
      </c>
    </row>
    <row r="21" spans="1:3" x14ac:dyDescent="0.35">
      <c r="A21">
        <v>2043</v>
      </c>
      <c r="B21">
        <v>2369</v>
      </c>
      <c r="C21">
        <v>3942.15</v>
      </c>
    </row>
    <row r="22" spans="1:3" x14ac:dyDescent="0.35">
      <c r="A22">
        <v>2044</v>
      </c>
      <c r="B22">
        <v>2369</v>
      </c>
      <c r="C22">
        <v>3867.2380952380954</v>
      </c>
    </row>
    <row r="23" spans="1:3" x14ac:dyDescent="0.35">
      <c r="A23">
        <v>2045</v>
      </c>
      <c r="B23">
        <v>2369</v>
      </c>
      <c r="C23">
        <v>3799.1363636363635</v>
      </c>
    </row>
    <row r="24" spans="1:3" x14ac:dyDescent="0.35">
      <c r="A24">
        <v>2046</v>
      </c>
      <c r="B24">
        <v>2369</v>
      </c>
      <c r="C24">
        <v>3736.9565217391305</v>
      </c>
    </row>
    <row r="25" spans="1:3" x14ac:dyDescent="0.35">
      <c r="A25">
        <v>2047</v>
      </c>
      <c r="B25">
        <v>2369</v>
      </c>
      <c r="C25">
        <v>3679.9583333333335</v>
      </c>
    </row>
    <row r="26" spans="1:3" x14ac:dyDescent="0.35">
      <c r="A26">
        <v>2048</v>
      </c>
      <c r="B26">
        <v>2369</v>
      </c>
      <c r="C26">
        <v>3627.52</v>
      </c>
    </row>
    <row r="27" spans="1:3" x14ac:dyDescent="0.35">
      <c r="A27">
        <v>2049</v>
      </c>
      <c r="B27">
        <v>2369</v>
      </c>
      <c r="C27">
        <v>3579.1153846153848</v>
      </c>
    </row>
    <row r="28" spans="1:3" x14ac:dyDescent="0.35">
      <c r="A28">
        <v>2050</v>
      </c>
      <c r="B28">
        <v>2369</v>
      </c>
      <c r="C28">
        <v>3534.2962962962961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C3" sqref="C3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8" width="18.1796875" bestFit="1" customWidth="1"/>
  </cols>
  <sheetData>
    <row r="1" spans="1:14" x14ac:dyDescent="0.35">
      <c r="A1" t="s">
        <v>52</v>
      </c>
      <c r="B1" t="s">
        <v>53</v>
      </c>
      <c r="C1" t="s">
        <v>184</v>
      </c>
      <c r="D1" t="s">
        <v>185</v>
      </c>
      <c r="E1" t="s">
        <v>186</v>
      </c>
      <c r="F1" t="s">
        <v>187</v>
      </c>
      <c r="G1" t="s">
        <v>190</v>
      </c>
      <c r="H1" t="s">
        <v>191</v>
      </c>
      <c r="I1" t="s">
        <v>193</v>
      </c>
      <c r="J1" t="s">
        <v>192</v>
      </c>
      <c r="K1" t="s">
        <v>195</v>
      </c>
      <c r="L1" t="s">
        <v>197</v>
      </c>
      <c r="M1" t="s">
        <v>196</v>
      </c>
      <c r="N1" t="s">
        <v>315</v>
      </c>
    </row>
    <row r="2" spans="1:14" x14ac:dyDescent="0.35">
      <c r="A2" t="s">
        <v>172</v>
      </c>
      <c r="B2" t="s">
        <v>194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5">
      <c r="A3" t="s">
        <v>172</v>
      </c>
      <c r="B3" t="s">
        <v>182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5">
      <c r="A4" t="s">
        <v>172</v>
      </c>
      <c r="B4" t="s">
        <v>183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155</v>
      </c>
      <c r="B5" t="s">
        <v>194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5">
      <c r="A6" t="s">
        <v>155</v>
      </c>
      <c r="B6" t="s">
        <v>182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5">
      <c r="A7" t="s">
        <v>155</v>
      </c>
      <c r="B7" t="s">
        <v>183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182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5">
      <c r="A9" t="s">
        <v>66</v>
      </c>
      <c r="B9" t="s">
        <v>183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5">
      <c r="A10" t="s">
        <v>173</v>
      </c>
      <c r="B10" t="s">
        <v>182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5">
      <c r="A11" t="s">
        <v>173</v>
      </c>
      <c r="B11" t="s">
        <v>183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5">
      <c r="A12" t="s">
        <v>70</v>
      </c>
      <c r="B12" t="s">
        <v>183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5">
      <c r="A13" t="s">
        <v>174</v>
      </c>
      <c r="B13" t="s">
        <v>183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5">
      <c r="A14" t="s">
        <v>155</v>
      </c>
      <c r="B14" t="s">
        <v>171</v>
      </c>
      <c r="C14" t="s">
        <v>189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5">
      <c r="A15" t="s">
        <v>172</v>
      </c>
      <c r="B15" t="s">
        <v>208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5">
      <c r="A16" t="s">
        <v>155</v>
      </c>
      <c r="B16" t="s">
        <v>165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5">
      <c r="A17" t="s">
        <v>66</v>
      </c>
      <c r="B17" t="s">
        <v>165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E20" sqref="E20"/>
    </sheetView>
  </sheetViews>
  <sheetFormatPr defaultRowHeight="14.5" x14ac:dyDescent="0.35"/>
  <cols>
    <col min="1" max="1" width="13.90625" bestFit="1" customWidth="1"/>
    <col min="2" max="2" width="18.1796875" bestFit="1" customWidth="1"/>
    <col min="3" max="3" width="19.1796875" customWidth="1"/>
    <col min="4" max="4" width="26.1796875" customWidth="1"/>
    <col min="5" max="5" width="29.90625" customWidth="1"/>
  </cols>
  <sheetData>
    <row r="1" spans="1:5" x14ac:dyDescent="0.35">
      <c r="A1" t="s">
        <v>206</v>
      </c>
      <c r="B1" t="s">
        <v>53</v>
      </c>
      <c r="C1" t="s">
        <v>195</v>
      </c>
      <c r="D1" t="s">
        <v>324</v>
      </c>
      <c r="E1" t="s">
        <v>325</v>
      </c>
    </row>
    <row r="2" spans="1:5" x14ac:dyDescent="0.35">
      <c r="A2" t="s">
        <v>172</v>
      </c>
      <c r="B2" t="s">
        <v>194</v>
      </c>
      <c r="C2">
        <v>0.157</v>
      </c>
      <c r="D2">
        <v>4.0000000000000001E-3</v>
      </c>
      <c r="E2">
        <v>4.0000000000000001E-3</v>
      </c>
    </row>
    <row r="3" spans="1:5" x14ac:dyDescent="0.35">
      <c r="A3" t="s">
        <v>172</v>
      </c>
      <c r="B3" t="s">
        <v>182</v>
      </c>
      <c r="C3">
        <v>0.29799999999999999</v>
      </c>
      <c r="D3">
        <v>6.0000000000000001E-3</v>
      </c>
      <c r="E3">
        <v>4.0000000000000001E-3</v>
      </c>
    </row>
    <row r="4" spans="1:5" x14ac:dyDescent="0.35">
      <c r="A4" t="s">
        <v>172</v>
      </c>
      <c r="B4" t="s">
        <v>183</v>
      </c>
      <c r="C4">
        <v>0.68700000000000006</v>
      </c>
      <c r="D4">
        <v>2.4E-2</v>
      </c>
      <c r="E4">
        <v>8.0000000000000002E-3</v>
      </c>
    </row>
    <row r="5" spans="1:5" x14ac:dyDescent="0.35">
      <c r="A5" t="s">
        <v>155</v>
      </c>
      <c r="B5" t="s">
        <v>183</v>
      </c>
      <c r="C5">
        <v>3.5179999999999998</v>
      </c>
      <c r="D5">
        <v>7.5999999999999998E-2</v>
      </c>
      <c r="E5">
        <v>1.2999999999999999E-2</v>
      </c>
    </row>
    <row r="6" spans="1:5" x14ac:dyDescent="0.35">
      <c r="A6" t="s">
        <v>326</v>
      </c>
      <c r="B6" t="s">
        <v>208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5">
      <c r="A7" t="s">
        <v>155</v>
      </c>
      <c r="B7" t="s">
        <v>165</v>
      </c>
      <c r="C7">
        <v>6.4742190669038084</v>
      </c>
      <c r="D7">
        <v>0.12907268133754085</v>
      </c>
      <c r="E7">
        <v>1.1639794377620125E-2</v>
      </c>
    </row>
    <row r="8" spans="1:5" x14ac:dyDescent="0.35">
      <c r="A8" t="s">
        <v>66</v>
      </c>
      <c r="B8" t="s">
        <v>165</v>
      </c>
      <c r="C8">
        <v>3.4541681773635462</v>
      </c>
      <c r="D8">
        <v>2.6133868004108773E-2</v>
      </c>
      <c r="E8">
        <v>1.1639794377620125E-2</v>
      </c>
    </row>
    <row r="9" spans="1:5" x14ac:dyDescent="0.35">
      <c r="A9" t="s">
        <v>155</v>
      </c>
      <c r="B9" t="s">
        <v>171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26" sqref="L26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293</v>
      </c>
      <c r="C1" t="s">
        <v>294</v>
      </c>
    </row>
    <row r="2" spans="1:3" x14ac:dyDescent="0.35">
      <c r="A2" t="s">
        <v>172</v>
      </c>
      <c r="B2" t="s">
        <v>275</v>
      </c>
      <c r="C2" s="20">
        <v>7.94</v>
      </c>
    </row>
    <row r="3" spans="1:3" x14ac:dyDescent="0.35">
      <c r="A3" t="s">
        <v>155</v>
      </c>
      <c r="B3" t="s">
        <v>275</v>
      </c>
      <c r="C3">
        <v>9.4</v>
      </c>
    </row>
    <row r="4" spans="1:3" x14ac:dyDescent="0.35">
      <c r="A4" t="s">
        <v>66</v>
      </c>
      <c r="B4" t="s">
        <v>275</v>
      </c>
      <c r="C4">
        <v>5.4399999999999997E-2</v>
      </c>
    </row>
    <row r="5" spans="1:3" x14ac:dyDescent="0.35">
      <c r="A5" t="s">
        <v>295</v>
      </c>
      <c r="B5" t="s">
        <v>275</v>
      </c>
      <c r="C5">
        <v>5.72</v>
      </c>
    </row>
    <row r="6" spans="1:3" x14ac:dyDescent="0.35">
      <c r="A6" t="s">
        <v>172</v>
      </c>
      <c r="B6" t="s">
        <v>327</v>
      </c>
      <c r="C6">
        <v>0.24</v>
      </c>
    </row>
    <row r="7" spans="1:3" x14ac:dyDescent="0.35">
      <c r="A7" t="s">
        <v>155</v>
      </c>
      <c r="B7" t="s">
        <v>327</v>
      </c>
      <c r="C7">
        <v>0.21</v>
      </c>
    </row>
    <row r="8" spans="1:3" x14ac:dyDescent="0.35">
      <c r="A8" t="s">
        <v>66</v>
      </c>
      <c r="B8" t="s">
        <v>327</v>
      </c>
      <c r="C8">
        <v>0.28999999999999998</v>
      </c>
    </row>
    <row r="9" spans="1:3" x14ac:dyDescent="0.35">
      <c r="A9" t="s">
        <v>59</v>
      </c>
      <c r="B9" t="s">
        <v>327</v>
      </c>
      <c r="C9">
        <v>0</v>
      </c>
    </row>
    <row r="10" spans="1:3" x14ac:dyDescent="0.35">
      <c r="A10" t="s">
        <v>70</v>
      </c>
      <c r="B10" t="s">
        <v>327</v>
      </c>
      <c r="C10">
        <v>0</v>
      </c>
    </row>
    <row r="11" spans="1:3" x14ac:dyDescent="0.35">
      <c r="A11" t="s">
        <v>296</v>
      </c>
      <c r="B11" t="s">
        <v>327</v>
      </c>
      <c r="C11">
        <v>0</v>
      </c>
    </row>
    <row r="12" spans="1:3" x14ac:dyDescent="0.35">
      <c r="A12" t="s">
        <v>296</v>
      </c>
      <c r="B12" t="s">
        <v>297</v>
      </c>
      <c r="C12">
        <v>33.977738722905684</v>
      </c>
    </row>
    <row r="13" spans="1:3" x14ac:dyDescent="0.35">
      <c r="A13" t="s">
        <v>155</v>
      </c>
      <c r="B13" t="s">
        <v>297</v>
      </c>
      <c r="C13">
        <v>0.89285714285714279</v>
      </c>
    </row>
    <row r="14" spans="1:3" x14ac:dyDescent="0.35">
      <c r="A14" t="s">
        <v>295</v>
      </c>
      <c r="B14" t="s">
        <v>297</v>
      </c>
      <c r="C14">
        <v>1.3513513513513513</v>
      </c>
    </row>
    <row r="15" spans="1:3" x14ac:dyDescent="0.35">
      <c r="A15" t="s">
        <v>66</v>
      </c>
      <c r="B15" t="s">
        <v>297</v>
      </c>
      <c r="C15">
        <v>123.57</v>
      </c>
    </row>
    <row r="16" spans="1:3" x14ac:dyDescent="0.35">
      <c r="A16" t="s">
        <v>296</v>
      </c>
      <c r="B16" t="s">
        <v>298</v>
      </c>
      <c r="C16">
        <v>3414</v>
      </c>
    </row>
    <row r="17" spans="1:3" x14ac:dyDescent="0.35">
      <c r="A17" t="s">
        <v>172</v>
      </c>
      <c r="B17" t="s">
        <v>298</v>
      </c>
      <c r="C17">
        <v>116000</v>
      </c>
    </row>
    <row r="18" spans="1:3" x14ac:dyDescent="0.35">
      <c r="A18" t="s">
        <v>155</v>
      </c>
      <c r="B18" t="s">
        <v>298</v>
      </c>
      <c r="C18">
        <v>128500</v>
      </c>
    </row>
    <row r="19" spans="1:3" x14ac:dyDescent="0.35">
      <c r="A19" t="s">
        <v>299</v>
      </c>
      <c r="B19" t="s">
        <v>300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activeCell="C8" sqref="C8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206</v>
      </c>
      <c r="C1" t="s">
        <v>275</v>
      </c>
      <c r="D1" t="s">
        <v>276</v>
      </c>
      <c r="E1" t="s">
        <v>277</v>
      </c>
      <c r="F1" t="s">
        <v>278</v>
      </c>
      <c r="G1" t="s">
        <v>279</v>
      </c>
      <c r="H1" t="s">
        <v>280</v>
      </c>
      <c r="I1" t="s">
        <v>281</v>
      </c>
      <c r="J1" t="s">
        <v>282</v>
      </c>
      <c r="K1" t="s">
        <v>283</v>
      </c>
    </row>
    <row r="2" spans="1:11" x14ac:dyDescent="0.35">
      <c r="A2" t="s">
        <v>194</v>
      </c>
      <c r="B2" t="s">
        <v>55</v>
      </c>
      <c r="C2">
        <v>7.94</v>
      </c>
      <c r="D2" t="s">
        <v>284</v>
      </c>
      <c r="E2">
        <v>1</v>
      </c>
      <c r="F2" t="s">
        <v>285</v>
      </c>
      <c r="G2">
        <v>0.1275</v>
      </c>
      <c r="H2">
        <v>0.44700000000000001</v>
      </c>
      <c r="I2">
        <v>0</v>
      </c>
      <c r="J2">
        <v>0</v>
      </c>
      <c r="K2" t="s">
        <v>285</v>
      </c>
    </row>
    <row r="3" spans="1:11" x14ac:dyDescent="0.35">
      <c r="A3" t="s">
        <v>194</v>
      </c>
      <c r="B3" t="s">
        <v>56</v>
      </c>
      <c r="C3">
        <v>0</v>
      </c>
      <c r="D3" t="s">
        <v>285</v>
      </c>
      <c r="E3">
        <v>0</v>
      </c>
      <c r="F3" t="s">
        <v>285</v>
      </c>
      <c r="G3">
        <v>0</v>
      </c>
      <c r="H3">
        <v>0</v>
      </c>
      <c r="I3">
        <v>1</v>
      </c>
      <c r="J3">
        <v>33.977738722905684</v>
      </c>
      <c r="K3" t="s">
        <v>286</v>
      </c>
    </row>
    <row r="4" spans="1:11" x14ac:dyDescent="0.35">
      <c r="A4" t="s">
        <v>194</v>
      </c>
      <c r="B4" t="s">
        <v>57</v>
      </c>
      <c r="C4">
        <v>0</v>
      </c>
      <c r="D4" t="s">
        <v>285</v>
      </c>
      <c r="E4">
        <v>0</v>
      </c>
      <c r="F4" t="s">
        <v>285</v>
      </c>
      <c r="G4">
        <v>0</v>
      </c>
      <c r="H4">
        <v>0</v>
      </c>
      <c r="I4">
        <v>1</v>
      </c>
      <c r="J4">
        <v>33.977738722905684</v>
      </c>
      <c r="K4" t="s">
        <v>286</v>
      </c>
    </row>
    <row r="5" spans="1:11" x14ac:dyDescent="0.35">
      <c r="A5" t="s">
        <v>194</v>
      </c>
      <c r="B5" t="s">
        <v>58</v>
      </c>
      <c r="C5">
        <v>0</v>
      </c>
      <c r="D5" t="s">
        <v>285</v>
      </c>
      <c r="E5">
        <v>0</v>
      </c>
      <c r="F5" t="s">
        <v>285</v>
      </c>
      <c r="G5">
        <v>0</v>
      </c>
      <c r="H5">
        <v>0</v>
      </c>
      <c r="I5">
        <v>1</v>
      </c>
      <c r="J5">
        <v>33.977738722905684</v>
      </c>
      <c r="K5" t="s">
        <v>286</v>
      </c>
    </row>
    <row r="6" spans="1:11" x14ac:dyDescent="0.35">
      <c r="A6" t="s">
        <v>194</v>
      </c>
      <c r="B6" t="s">
        <v>59</v>
      </c>
      <c r="C6">
        <v>7.94</v>
      </c>
      <c r="D6" t="s">
        <v>284</v>
      </c>
      <c r="E6">
        <v>1</v>
      </c>
      <c r="F6" t="s">
        <v>285</v>
      </c>
      <c r="G6">
        <v>0.1275</v>
      </c>
      <c r="H6">
        <v>0.44700000000000001</v>
      </c>
      <c r="I6">
        <v>0</v>
      </c>
      <c r="J6">
        <v>0</v>
      </c>
      <c r="K6" t="s">
        <v>285</v>
      </c>
    </row>
    <row r="7" spans="1:11" x14ac:dyDescent="0.35">
      <c r="A7" t="s">
        <v>194</v>
      </c>
      <c r="B7" t="s">
        <v>60</v>
      </c>
      <c r="C7">
        <v>9.4</v>
      </c>
      <c r="D7" t="s">
        <v>284</v>
      </c>
      <c r="E7">
        <v>0.89285714285714279</v>
      </c>
      <c r="F7" t="s">
        <v>287</v>
      </c>
      <c r="G7">
        <v>0.755</v>
      </c>
      <c r="H7">
        <v>5.7215999999999996</v>
      </c>
      <c r="I7">
        <v>0</v>
      </c>
      <c r="J7">
        <v>0</v>
      </c>
      <c r="K7" t="s">
        <v>285</v>
      </c>
    </row>
    <row r="8" spans="1:11" x14ac:dyDescent="0.35">
      <c r="A8" t="s">
        <v>194</v>
      </c>
      <c r="B8" t="s">
        <v>61</v>
      </c>
      <c r="C8">
        <v>5.4440000000000002E-2</v>
      </c>
      <c r="D8" t="s">
        <v>288</v>
      </c>
      <c r="E8">
        <v>123.57</v>
      </c>
      <c r="F8" t="s">
        <v>289</v>
      </c>
      <c r="G8">
        <v>2.0249999999999999</v>
      </c>
      <c r="H8">
        <v>1.49</v>
      </c>
      <c r="I8">
        <v>0</v>
      </c>
      <c r="J8">
        <v>0</v>
      </c>
      <c r="K8" t="s">
        <v>285</v>
      </c>
    </row>
    <row r="9" spans="1:11" x14ac:dyDescent="0.35">
      <c r="A9" t="s">
        <v>194</v>
      </c>
      <c r="B9" t="s">
        <v>62</v>
      </c>
      <c r="C9">
        <v>7.94</v>
      </c>
      <c r="D9" t="s">
        <v>284</v>
      </c>
      <c r="E9">
        <v>1</v>
      </c>
      <c r="F9" t="s">
        <v>285</v>
      </c>
      <c r="G9">
        <v>0.1275</v>
      </c>
      <c r="H9">
        <v>0.44700000000000001</v>
      </c>
      <c r="I9">
        <v>0</v>
      </c>
      <c r="J9">
        <v>0</v>
      </c>
      <c r="K9" t="s">
        <v>285</v>
      </c>
    </row>
    <row r="10" spans="1:11" x14ac:dyDescent="0.35">
      <c r="A10" t="s">
        <v>194</v>
      </c>
      <c r="B10" t="s">
        <v>63</v>
      </c>
      <c r="C10">
        <v>7.94</v>
      </c>
      <c r="D10" t="s">
        <v>284</v>
      </c>
      <c r="E10">
        <v>1</v>
      </c>
      <c r="F10" t="s">
        <v>285</v>
      </c>
      <c r="G10">
        <v>0.1275</v>
      </c>
      <c r="H10">
        <v>0.44700000000000001</v>
      </c>
      <c r="I10">
        <v>1</v>
      </c>
      <c r="J10">
        <v>33.977738722905684</v>
      </c>
      <c r="K10" t="s">
        <v>286</v>
      </c>
    </row>
    <row r="11" spans="1:11" x14ac:dyDescent="0.35">
      <c r="A11" t="s">
        <v>194</v>
      </c>
      <c r="B11" t="s">
        <v>64</v>
      </c>
      <c r="C11">
        <v>7.94</v>
      </c>
      <c r="D11" t="s">
        <v>284</v>
      </c>
      <c r="E11">
        <v>1</v>
      </c>
      <c r="F11" t="s">
        <v>285</v>
      </c>
      <c r="G11">
        <v>0.1275</v>
      </c>
      <c r="H11">
        <v>0.44700000000000001</v>
      </c>
      <c r="I11">
        <v>1</v>
      </c>
      <c r="J11">
        <v>33.977738722905684</v>
      </c>
      <c r="K11" t="s">
        <v>286</v>
      </c>
    </row>
    <row r="12" spans="1:11" x14ac:dyDescent="0.35">
      <c r="A12" t="s">
        <v>194</v>
      </c>
      <c r="B12" t="s">
        <v>65</v>
      </c>
      <c r="C12">
        <v>0</v>
      </c>
      <c r="D12" t="s">
        <v>285</v>
      </c>
      <c r="E12">
        <v>0</v>
      </c>
      <c r="F12" t="s">
        <v>285</v>
      </c>
      <c r="G12">
        <v>0</v>
      </c>
      <c r="H12">
        <v>0</v>
      </c>
      <c r="I12">
        <v>0</v>
      </c>
      <c r="J12">
        <v>0</v>
      </c>
      <c r="K12" t="s">
        <v>285</v>
      </c>
    </row>
    <row r="13" spans="1:11" x14ac:dyDescent="0.35">
      <c r="A13" t="s">
        <v>182</v>
      </c>
      <c r="B13" t="s">
        <v>55</v>
      </c>
      <c r="C13">
        <v>7.94</v>
      </c>
      <c r="D13" t="s">
        <v>284</v>
      </c>
      <c r="E13">
        <v>1</v>
      </c>
      <c r="F13" t="s">
        <v>285</v>
      </c>
      <c r="G13">
        <v>0.2</v>
      </c>
      <c r="H13">
        <v>0.38739999999999997</v>
      </c>
      <c r="I13">
        <v>0</v>
      </c>
      <c r="J13">
        <v>0</v>
      </c>
      <c r="K13" t="s">
        <v>285</v>
      </c>
    </row>
    <row r="14" spans="1:11" x14ac:dyDescent="0.35">
      <c r="A14" t="s">
        <v>182</v>
      </c>
      <c r="B14" t="s">
        <v>56</v>
      </c>
      <c r="C14">
        <v>0</v>
      </c>
      <c r="D14" t="s">
        <v>285</v>
      </c>
      <c r="E14">
        <v>0</v>
      </c>
      <c r="F14" t="s">
        <v>285</v>
      </c>
      <c r="G14">
        <v>0</v>
      </c>
      <c r="H14">
        <v>0</v>
      </c>
      <c r="I14">
        <v>1</v>
      </c>
      <c r="J14">
        <v>33.977738722905684</v>
      </c>
      <c r="K14" t="s">
        <v>286</v>
      </c>
    </row>
    <row r="15" spans="1:11" x14ac:dyDescent="0.35">
      <c r="A15" t="s">
        <v>182</v>
      </c>
      <c r="B15" t="s">
        <v>57</v>
      </c>
      <c r="C15">
        <v>0</v>
      </c>
      <c r="D15" t="s">
        <v>285</v>
      </c>
      <c r="E15">
        <v>0</v>
      </c>
      <c r="F15" t="s">
        <v>285</v>
      </c>
      <c r="G15">
        <v>0</v>
      </c>
      <c r="H15">
        <v>0</v>
      </c>
      <c r="I15">
        <v>1</v>
      </c>
      <c r="J15">
        <v>33.977738722905684</v>
      </c>
      <c r="K15" t="s">
        <v>286</v>
      </c>
    </row>
    <row r="16" spans="1:11" x14ac:dyDescent="0.35">
      <c r="A16" t="s">
        <v>182</v>
      </c>
      <c r="B16" t="s">
        <v>58</v>
      </c>
      <c r="C16">
        <v>0</v>
      </c>
      <c r="D16" t="s">
        <v>285</v>
      </c>
      <c r="E16">
        <v>0</v>
      </c>
      <c r="F16" t="s">
        <v>285</v>
      </c>
      <c r="G16">
        <v>0</v>
      </c>
      <c r="H16">
        <v>0</v>
      </c>
      <c r="I16">
        <v>1</v>
      </c>
      <c r="J16">
        <v>33.977738722905684</v>
      </c>
      <c r="K16" t="s">
        <v>286</v>
      </c>
    </row>
    <row r="17" spans="1:11" x14ac:dyDescent="0.35">
      <c r="A17" t="s">
        <v>182</v>
      </c>
      <c r="B17" t="s">
        <v>59</v>
      </c>
      <c r="C17">
        <v>7.94</v>
      </c>
      <c r="D17" t="s">
        <v>284</v>
      </c>
      <c r="E17">
        <v>1</v>
      </c>
      <c r="F17" t="s">
        <v>285</v>
      </c>
      <c r="G17">
        <v>0.2</v>
      </c>
      <c r="H17">
        <v>1.49</v>
      </c>
      <c r="I17">
        <v>0</v>
      </c>
      <c r="J17">
        <v>0</v>
      </c>
      <c r="K17" t="s">
        <v>285</v>
      </c>
    </row>
    <row r="18" spans="1:11" x14ac:dyDescent="0.35">
      <c r="A18" t="s">
        <v>182</v>
      </c>
      <c r="B18" t="s">
        <v>60</v>
      </c>
      <c r="C18">
        <v>9.4</v>
      </c>
      <c r="D18" t="s">
        <v>284</v>
      </c>
      <c r="E18">
        <v>0.89285714285714279</v>
      </c>
      <c r="F18" t="s">
        <v>287</v>
      </c>
      <c r="G18">
        <v>0.72500000000000009</v>
      </c>
      <c r="H18">
        <v>6.3771999999999993</v>
      </c>
      <c r="I18">
        <v>0</v>
      </c>
      <c r="J18">
        <v>0</v>
      </c>
      <c r="K18" t="s">
        <v>285</v>
      </c>
    </row>
    <row r="19" spans="1:11" x14ac:dyDescent="0.35">
      <c r="A19" t="s">
        <v>182</v>
      </c>
      <c r="B19" t="s">
        <v>61</v>
      </c>
      <c r="C19">
        <v>5.4440000000000002E-2</v>
      </c>
      <c r="D19" t="s">
        <v>288</v>
      </c>
      <c r="E19">
        <v>123.57</v>
      </c>
      <c r="F19" t="s">
        <v>289</v>
      </c>
      <c r="G19">
        <v>2.0249999999999999</v>
      </c>
      <c r="H19">
        <v>1.49</v>
      </c>
      <c r="I19">
        <v>0</v>
      </c>
      <c r="J19">
        <v>0</v>
      </c>
      <c r="K19" t="s">
        <v>285</v>
      </c>
    </row>
    <row r="20" spans="1:11" x14ac:dyDescent="0.35">
      <c r="A20" t="s">
        <v>182</v>
      </c>
      <c r="B20" t="s">
        <v>62</v>
      </c>
      <c r="C20">
        <v>7.94</v>
      </c>
      <c r="D20" t="s">
        <v>284</v>
      </c>
      <c r="E20">
        <v>1</v>
      </c>
      <c r="F20" t="s">
        <v>285</v>
      </c>
      <c r="G20">
        <v>0.2</v>
      </c>
      <c r="H20">
        <v>0.38739999999999997</v>
      </c>
      <c r="I20">
        <v>0</v>
      </c>
      <c r="J20">
        <v>0</v>
      </c>
      <c r="K20" t="s">
        <v>285</v>
      </c>
    </row>
    <row r="21" spans="1:11" x14ac:dyDescent="0.35">
      <c r="A21" t="s">
        <v>182</v>
      </c>
      <c r="B21" t="s">
        <v>63</v>
      </c>
      <c r="C21">
        <v>7.94</v>
      </c>
      <c r="D21" t="s">
        <v>284</v>
      </c>
      <c r="E21">
        <v>1</v>
      </c>
      <c r="F21" t="s">
        <v>285</v>
      </c>
      <c r="G21">
        <v>0.2</v>
      </c>
      <c r="H21">
        <v>0.38739999999999997</v>
      </c>
      <c r="I21">
        <v>1</v>
      </c>
      <c r="J21">
        <v>33.977738722905684</v>
      </c>
      <c r="K21" t="s">
        <v>286</v>
      </c>
    </row>
    <row r="22" spans="1:11" x14ac:dyDescent="0.35">
      <c r="A22" t="s">
        <v>182</v>
      </c>
      <c r="B22" t="s">
        <v>64</v>
      </c>
      <c r="C22">
        <v>7.94</v>
      </c>
      <c r="D22" t="s">
        <v>284</v>
      </c>
      <c r="E22">
        <v>1</v>
      </c>
      <c r="F22" t="s">
        <v>285</v>
      </c>
      <c r="G22">
        <v>0.2</v>
      </c>
      <c r="H22">
        <v>0.38739999999999997</v>
      </c>
      <c r="I22">
        <v>1</v>
      </c>
      <c r="J22">
        <v>33.977738722905684</v>
      </c>
      <c r="K22" t="s">
        <v>286</v>
      </c>
    </row>
    <row r="23" spans="1:11" x14ac:dyDescent="0.35">
      <c r="A23" t="s">
        <v>182</v>
      </c>
      <c r="B23" t="s">
        <v>65</v>
      </c>
      <c r="C23">
        <v>0</v>
      </c>
      <c r="D23" t="s">
        <v>285</v>
      </c>
      <c r="E23">
        <v>0</v>
      </c>
      <c r="F23" t="s">
        <v>285</v>
      </c>
      <c r="G23">
        <v>0</v>
      </c>
      <c r="H23">
        <v>0</v>
      </c>
      <c r="I23">
        <v>0</v>
      </c>
      <c r="J23">
        <v>0</v>
      </c>
      <c r="K23" t="s">
        <v>285</v>
      </c>
    </row>
    <row r="24" spans="1:11" x14ac:dyDescent="0.35">
      <c r="A24" t="s">
        <v>208</v>
      </c>
      <c r="B24" t="s">
        <v>55</v>
      </c>
      <c r="C24">
        <v>7.94</v>
      </c>
      <c r="D24" t="s">
        <v>284</v>
      </c>
      <c r="E24">
        <v>1</v>
      </c>
      <c r="F24" t="s">
        <v>285</v>
      </c>
      <c r="G24">
        <v>0.82500000000000007</v>
      </c>
      <c r="H24">
        <v>2.7118000000000002</v>
      </c>
      <c r="I24">
        <v>0</v>
      </c>
      <c r="J24">
        <v>0</v>
      </c>
      <c r="K24" t="s">
        <v>285</v>
      </c>
    </row>
    <row r="25" spans="1:11" x14ac:dyDescent="0.35">
      <c r="A25" t="s">
        <v>208</v>
      </c>
      <c r="B25" t="s">
        <v>60</v>
      </c>
      <c r="C25">
        <v>9.4</v>
      </c>
      <c r="D25" t="s">
        <v>284</v>
      </c>
      <c r="E25">
        <v>0.89285714285714279</v>
      </c>
      <c r="F25" t="s">
        <v>287</v>
      </c>
      <c r="G25">
        <v>0.23749999999999999</v>
      </c>
      <c r="H25">
        <v>12.8438</v>
      </c>
      <c r="I25">
        <v>0</v>
      </c>
      <c r="J25">
        <v>0</v>
      </c>
      <c r="K25" t="s">
        <v>285</v>
      </c>
    </row>
    <row r="26" spans="1:11" x14ac:dyDescent="0.35">
      <c r="A26" t="s">
        <v>208</v>
      </c>
      <c r="B26" t="s">
        <v>66</v>
      </c>
      <c r="C26">
        <v>5.4440000000000002E-2</v>
      </c>
      <c r="D26" t="s">
        <v>288</v>
      </c>
      <c r="E26">
        <v>123.57</v>
      </c>
      <c r="F26" t="s">
        <v>289</v>
      </c>
      <c r="G26">
        <v>105</v>
      </c>
      <c r="H26">
        <v>0.29799999999999999</v>
      </c>
      <c r="I26">
        <v>0</v>
      </c>
      <c r="J26">
        <v>0</v>
      </c>
      <c r="K26" t="s">
        <v>285</v>
      </c>
    </row>
    <row r="27" spans="1:11" x14ac:dyDescent="0.35">
      <c r="A27" t="s">
        <v>208</v>
      </c>
      <c r="B27" t="s">
        <v>59</v>
      </c>
      <c r="C27">
        <v>7.94</v>
      </c>
      <c r="D27" t="s">
        <v>284</v>
      </c>
      <c r="E27">
        <v>1</v>
      </c>
      <c r="F27" t="s">
        <v>285</v>
      </c>
      <c r="G27">
        <v>1.875</v>
      </c>
      <c r="H27">
        <v>8.3439999999999994</v>
      </c>
      <c r="I27">
        <v>0</v>
      </c>
      <c r="J27">
        <v>0</v>
      </c>
      <c r="K27" t="s">
        <v>285</v>
      </c>
    </row>
    <row r="28" spans="1:11" x14ac:dyDescent="0.35">
      <c r="A28" t="s">
        <v>208</v>
      </c>
      <c r="B28" t="s">
        <v>67</v>
      </c>
      <c r="C28">
        <v>0</v>
      </c>
      <c r="D28" t="s">
        <v>285</v>
      </c>
      <c r="E28">
        <v>0</v>
      </c>
      <c r="F28" t="s">
        <v>285</v>
      </c>
      <c r="G28">
        <v>0</v>
      </c>
      <c r="H28">
        <v>0</v>
      </c>
      <c r="I28">
        <v>1</v>
      </c>
      <c r="J28">
        <v>33.977738722905684</v>
      </c>
      <c r="K28" t="s">
        <v>286</v>
      </c>
    </row>
    <row r="29" spans="1:11" x14ac:dyDescent="0.35">
      <c r="A29" t="s">
        <v>208</v>
      </c>
      <c r="B29" t="s">
        <v>69</v>
      </c>
      <c r="C29">
        <v>7.94</v>
      </c>
      <c r="D29" t="s">
        <v>284</v>
      </c>
      <c r="E29">
        <v>1</v>
      </c>
      <c r="F29" t="s">
        <v>285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286</v>
      </c>
    </row>
    <row r="30" spans="1:11" x14ac:dyDescent="0.35">
      <c r="A30" t="s">
        <v>208</v>
      </c>
      <c r="B30" t="s">
        <v>68</v>
      </c>
      <c r="C30">
        <v>9.4</v>
      </c>
      <c r="D30" t="s">
        <v>284</v>
      </c>
      <c r="E30">
        <v>0.89285714285714279</v>
      </c>
      <c r="F30" t="s">
        <v>287</v>
      </c>
      <c r="G30">
        <v>0.23749999999999999</v>
      </c>
      <c r="H30">
        <v>12.8438</v>
      </c>
      <c r="I30">
        <v>1</v>
      </c>
      <c r="J30">
        <v>33.977738722905684</v>
      </c>
      <c r="K30" t="s">
        <v>286</v>
      </c>
    </row>
    <row r="31" spans="1:11" x14ac:dyDescent="0.35">
      <c r="A31" t="s">
        <v>208</v>
      </c>
      <c r="B31" t="s">
        <v>65</v>
      </c>
      <c r="C31">
        <v>0</v>
      </c>
      <c r="D31" t="s">
        <v>285</v>
      </c>
      <c r="E31">
        <v>0</v>
      </c>
      <c r="F31" t="s">
        <v>285</v>
      </c>
      <c r="G31">
        <v>0</v>
      </c>
      <c r="H31">
        <v>0</v>
      </c>
      <c r="I31">
        <v>0</v>
      </c>
      <c r="J31">
        <v>0</v>
      </c>
      <c r="K31" t="s">
        <v>285</v>
      </c>
    </row>
    <row r="32" spans="1:11" x14ac:dyDescent="0.35">
      <c r="A32" t="s">
        <v>183</v>
      </c>
      <c r="B32" t="s">
        <v>55</v>
      </c>
      <c r="C32">
        <v>7.94</v>
      </c>
      <c r="D32" t="s">
        <v>284</v>
      </c>
      <c r="E32">
        <v>1</v>
      </c>
      <c r="F32" t="s">
        <v>285</v>
      </c>
      <c r="G32">
        <v>0.82500000000000007</v>
      </c>
      <c r="H32">
        <v>2.7118000000000002</v>
      </c>
      <c r="I32">
        <v>0</v>
      </c>
      <c r="J32">
        <v>0</v>
      </c>
      <c r="K32" t="s">
        <v>285</v>
      </c>
    </row>
    <row r="33" spans="1:11" x14ac:dyDescent="0.35">
      <c r="A33" t="s">
        <v>183</v>
      </c>
      <c r="B33" t="s">
        <v>60</v>
      </c>
      <c r="C33">
        <v>9.4</v>
      </c>
      <c r="D33" t="s">
        <v>284</v>
      </c>
      <c r="E33">
        <v>0.89285714285714279</v>
      </c>
      <c r="F33" t="s">
        <v>287</v>
      </c>
      <c r="G33">
        <v>0.23749999999999999</v>
      </c>
      <c r="H33">
        <v>12.8438</v>
      </c>
      <c r="I33">
        <v>0</v>
      </c>
      <c r="J33">
        <v>0</v>
      </c>
      <c r="K33" t="s">
        <v>285</v>
      </c>
    </row>
    <row r="34" spans="1:11" x14ac:dyDescent="0.35">
      <c r="A34" t="s">
        <v>183</v>
      </c>
      <c r="B34" t="s">
        <v>66</v>
      </c>
      <c r="C34">
        <v>5.4440000000000002E-2</v>
      </c>
      <c r="D34" t="s">
        <v>288</v>
      </c>
      <c r="E34">
        <v>123.57</v>
      </c>
      <c r="F34" t="s">
        <v>289</v>
      </c>
      <c r="G34">
        <v>105</v>
      </c>
      <c r="H34">
        <v>0.29799999999999999</v>
      </c>
      <c r="I34">
        <v>0</v>
      </c>
      <c r="J34">
        <v>0</v>
      </c>
      <c r="K34" t="s">
        <v>285</v>
      </c>
    </row>
    <row r="35" spans="1:11" x14ac:dyDescent="0.35">
      <c r="A35" t="s">
        <v>183</v>
      </c>
      <c r="B35" t="s">
        <v>70</v>
      </c>
      <c r="C35">
        <v>5.72</v>
      </c>
      <c r="D35" t="s">
        <v>284</v>
      </c>
      <c r="E35">
        <v>1.3513513513513513</v>
      </c>
      <c r="F35" t="s">
        <v>290</v>
      </c>
      <c r="G35">
        <v>0.35000000000000003</v>
      </c>
      <c r="H35">
        <v>10.132000000000001</v>
      </c>
      <c r="I35">
        <v>0</v>
      </c>
      <c r="J35">
        <v>0</v>
      </c>
      <c r="K35" t="s">
        <v>285</v>
      </c>
    </row>
    <row r="36" spans="1:11" x14ac:dyDescent="0.35">
      <c r="A36" t="s">
        <v>183</v>
      </c>
      <c r="B36" t="s">
        <v>67</v>
      </c>
      <c r="C36">
        <v>0</v>
      </c>
      <c r="D36" t="s">
        <v>285</v>
      </c>
      <c r="E36">
        <v>0</v>
      </c>
      <c r="F36" t="s">
        <v>285</v>
      </c>
      <c r="G36">
        <v>0</v>
      </c>
      <c r="H36">
        <v>0</v>
      </c>
      <c r="I36">
        <v>1</v>
      </c>
      <c r="J36">
        <v>33.977738722905684</v>
      </c>
      <c r="K36" t="s">
        <v>286</v>
      </c>
    </row>
    <row r="37" spans="1:11" x14ac:dyDescent="0.35">
      <c r="A37" t="s">
        <v>183</v>
      </c>
      <c r="B37" t="s">
        <v>69</v>
      </c>
      <c r="C37">
        <v>7.94</v>
      </c>
      <c r="D37" t="s">
        <v>284</v>
      </c>
      <c r="E37">
        <v>1</v>
      </c>
      <c r="F37" t="s">
        <v>285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286</v>
      </c>
    </row>
    <row r="38" spans="1:11" x14ac:dyDescent="0.35">
      <c r="A38" t="s">
        <v>183</v>
      </c>
      <c r="B38" t="s">
        <v>68</v>
      </c>
      <c r="C38">
        <v>9.4</v>
      </c>
      <c r="D38" t="s">
        <v>284</v>
      </c>
      <c r="E38">
        <v>0.89285714285714279</v>
      </c>
      <c r="F38" t="s">
        <v>287</v>
      </c>
      <c r="G38">
        <v>0.23749999999999999</v>
      </c>
      <c r="H38">
        <v>12.8438</v>
      </c>
      <c r="I38">
        <v>1</v>
      </c>
      <c r="J38">
        <v>33.977738722905684</v>
      </c>
      <c r="K38" t="s">
        <v>286</v>
      </c>
    </row>
    <row r="39" spans="1:11" x14ac:dyDescent="0.35">
      <c r="A39" t="s">
        <v>183</v>
      </c>
      <c r="B39" t="s">
        <v>65</v>
      </c>
      <c r="C39">
        <v>0</v>
      </c>
      <c r="D39" t="s">
        <v>285</v>
      </c>
      <c r="E39">
        <v>0</v>
      </c>
      <c r="F39" t="s">
        <v>285</v>
      </c>
      <c r="G39">
        <v>0</v>
      </c>
      <c r="H39">
        <v>0</v>
      </c>
      <c r="I39">
        <v>0</v>
      </c>
      <c r="J39">
        <v>0</v>
      </c>
      <c r="K39" t="s">
        <v>285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175</v>
      </c>
      <c r="B1" t="s">
        <v>176</v>
      </c>
    </row>
    <row r="2" spans="1:2" x14ac:dyDescent="0.35">
      <c r="A2" t="s">
        <v>177</v>
      </c>
      <c r="B2">
        <v>25</v>
      </c>
    </row>
    <row r="3" spans="1:2" x14ac:dyDescent="0.35">
      <c r="A3" t="s">
        <v>188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workbookViewId="0">
      <selection activeCell="C2" sqref="C2:G121"/>
    </sheetView>
  </sheetViews>
  <sheetFormatPr defaultRowHeight="14.5" x14ac:dyDescent="0.35"/>
  <cols>
    <col min="1" max="1" width="17.54296875" bestFit="1" customWidth="1"/>
    <col min="3" max="3" width="17.90625" customWidth="1"/>
    <col min="4" max="4" width="18.54296875" customWidth="1"/>
    <col min="5" max="5" width="17.453125" customWidth="1"/>
    <col min="6" max="6" width="20.81640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301</v>
      </c>
      <c r="D1" t="s">
        <v>302</v>
      </c>
      <c r="E1" t="s">
        <v>303</v>
      </c>
      <c r="F1" t="s">
        <v>304</v>
      </c>
      <c r="G1" t="s">
        <v>305</v>
      </c>
    </row>
    <row r="2" spans="1:7" x14ac:dyDescent="0.35">
      <c r="A2" t="s">
        <v>183</v>
      </c>
      <c r="B2">
        <v>2021</v>
      </c>
      <c r="C2" s="29">
        <v>1.7833599999999999E-4</v>
      </c>
      <c r="D2" s="29">
        <v>1.7833599999999999E-4</v>
      </c>
      <c r="E2" s="29">
        <v>1.7833599999999999E-4</v>
      </c>
      <c r="F2" s="29">
        <v>1.7833599999999999E-4</v>
      </c>
      <c r="G2" s="29">
        <v>1.7833599999999999E-4</v>
      </c>
    </row>
    <row r="3" spans="1:7" x14ac:dyDescent="0.35">
      <c r="A3" t="s">
        <v>183</v>
      </c>
      <c r="B3">
        <v>2022</v>
      </c>
      <c r="C3" s="29">
        <v>3.3397599999999999E-4</v>
      </c>
      <c r="D3" s="29">
        <v>3.3397599999999999E-4</v>
      </c>
      <c r="E3" s="29">
        <v>3.3397599999999999E-4</v>
      </c>
      <c r="F3" s="29">
        <v>3.3397599999999999E-4</v>
      </c>
      <c r="G3" s="29">
        <v>3.3397599999999999E-4</v>
      </c>
    </row>
    <row r="4" spans="1:7" x14ac:dyDescent="0.35">
      <c r="A4" t="s">
        <v>183</v>
      </c>
      <c r="B4">
        <v>2023</v>
      </c>
      <c r="C4" s="29">
        <v>4.9029200000000003E-4</v>
      </c>
      <c r="D4" s="29">
        <v>4.9029200000000003E-4</v>
      </c>
      <c r="E4" s="29">
        <v>4.9029200000000003E-4</v>
      </c>
      <c r="F4" s="29">
        <v>4.9029200000000003E-4</v>
      </c>
      <c r="G4" s="29">
        <v>4.9029200000000003E-4</v>
      </c>
    </row>
    <row r="5" spans="1:7" x14ac:dyDescent="0.35">
      <c r="A5" t="s">
        <v>183</v>
      </c>
      <c r="B5">
        <v>2024</v>
      </c>
      <c r="C5" s="29">
        <v>6.4432900000000002E-4</v>
      </c>
      <c r="D5" s="29">
        <v>6.4432900000000002E-4</v>
      </c>
      <c r="E5" s="29">
        <v>6.4432900000000002E-4</v>
      </c>
      <c r="F5" s="29">
        <v>2.8879320000000002E-3</v>
      </c>
      <c r="G5" s="29">
        <v>2.8879320000000002E-3</v>
      </c>
    </row>
    <row r="6" spans="1:7" x14ac:dyDescent="0.35">
      <c r="A6" t="s">
        <v>183</v>
      </c>
      <c r="B6">
        <v>2025</v>
      </c>
      <c r="C6" s="29">
        <v>7.96417E-4</v>
      </c>
      <c r="D6" s="29">
        <v>7.96417E-4</v>
      </c>
      <c r="E6" s="29">
        <v>7.96417E-4</v>
      </c>
      <c r="F6" s="29">
        <v>6.3800389999999997E-3</v>
      </c>
      <c r="G6" s="29">
        <v>6.3800389999999997E-3</v>
      </c>
    </row>
    <row r="7" spans="1:7" x14ac:dyDescent="0.35">
      <c r="A7" t="s">
        <v>183</v>
      </c>
      <c r="B7">
        <v>2026</v>
      </c>
      <c r="C7" s="29">
        <v>9.4634700000000005E-4</v>
      </c>
      <c r="D7" s="29">
        <v>9.4634700000000005E-4</v>
      </c>
      <c r="E7" s="29">
        <v>9.4634700000000005E-4</v>
      </c>
      <c r="F7" s="29">
        <v>1.0761928E-2</v>
      </c>
      <c r="G7" s="29">
        <v>1.0761928E-2</v>
      </c>
    </row>
    <row r="8" spans="1:7" x14ac:dyDescent="0.35">
      <c r="A8" t="s">
        <v>183</v>
      </c>
      <c r="B8">
        <v>2027</v>
      </c>
      <c r="C8" s="29">
        <v>1.0917800000000001E-3</v>
      </c>
      <c r="D8" s="29">
        <v>1.0917800000000001E-3</v>
      </c>
      <c r="E8" s="29">
        <v>1.0917800000000001E-3</v>
      </c>
      <c r="F8" s="29">
        <v>1.6864591000000002E-2</v>
      </c>
      <c r="G8" s="29">
        <v>1.6864591000000002E-2</v>
      </c>
    </row>
    <row r="9" spans="1:7" x14ac:dyDescent="0.35">
      <c r="A9" t="s">
        <v>183</v>
      </c>
      <c r="B9">
        <v>2028</v>
      </c>
      <c r="C9" s="29">
        <v>1.234576E-3</v>
      </c>
      <c r="D9" s="29">
        <v>1.234576E-3</v>
      </c>
      <c r="E9" s="29">
        <v>1.234576E-3</v>
      </c>
      <c r="F9" s="29">
        <v>2.5187912999999999E-2</v>
      </c>
      <c r="G9" s="29">
        <v>2.5187912999999999E-2</v>
      </c>
    </row>
    <row r="10" spans="1:7" x14ac:dyDescent="0.35">
      <c r="A10" t="s">
        <v>183</v>
      </c>
      <c r="B10">
        <v>2029</v>
      </c>
      <c r="C10" s="29">
        <v>1.377184E-3</v>
      </c>
      <c r="D10" s="29">
        <v>1.377184E-3</v>
      </c>
      <c r="E10" s="29">
        <v>1.377184E-3</v>
      </c>
      <c r="F10" s="29">
        <v>3.5627709E-2</v>
      </c>
      <c r="G10" s="29">
        <v>3.5627709E-2</v>
      </c>
    </row>
    <row r="11" spans="1:7" x14ac:dyDescent="0.35">
      <c r="A11" t="s">
        <v>183</v>
      </c>
      <c r="B11">
        <v>2030</v>
      </c>
      <c r="C11" s="29">
        <v>1.5188409999999999E-3</v>
      </c>
      <c r="D11" s="29">
        <v>1.5188409999999999E-3</v>
      </c>
      <c r="E11" s="29">
        <v>1.5188409999999999E-3</v>
      </c>
      <c r="F11" s="29">
        <v>4.7980977000000001E-2</v>
      </c>
      <c r="G11" s="29">
        <v>4.7980977000000001E-2</v>
      </c>
    </row>
    <row r="12" spans="1:7" x14ac:dyDescent="0.35">
      <c r="A12" t="s">
        <v>183</v>
      </c>
      <c r="B12">
        <v>2031</v>
      </c>
      <c r="C12" s="29">
        <v>1.6599869999999999E-3</v>
      </c>
      <c r="D12" s="29">
        <v>1.6599869999999999E-3</v>
      </c>
      <c r="E12" s="29">
        <v>1.6599869999999999E-3</v>
      </c>
      <c r="F12" s="29">
        <v>6.1868593999999999E-2</v>
      </c>
      <c r="G12" s="29">
        <v>6.1868593999999999E-2</v>
      </c>
    </row>
    <row r="13" spans="1:7" x14ac:dyDescent="0.35">
      <c r="A13" t="s">
        <v>183</v>
      </c>
      <c r="B13">
        <v>2032</v>
      </c>
      <c r="C13" s="29">
        <v>1.8000679999999999E-3</v>
      </c>
      <c r="D13" s="29">
        <v>1.8000679999999999E-3</v>
      </c>
      <c r="E13" s="29">
        <v>1.8000679999999999E-3</v>
      </c>
      <c r="F13" s="29">
        <v>7.6526794999999995E-2</v>
      </c>
      <c r="G13" s="29">
        <v>7.6526794999999995E-2</v>
      </c>
    </row>
    <row r="14" spans="1:7" x14ac:dyDescent="0.35">
      <c r="A14" t="s">
        <v>183</v>
      </c>
      <c r="B14">
        <v>2033</v>
      </c>
      <c r="C14" s="29">
        <v>1.9408330000000001E-3</v>
      </c>
      <c r="D14" s="29">
        <v>1.9408330000000001E-3</v>
      </c>
      <c r="E14" s="29">
        <v>1.9408330000000001E-3</v>
      </c>
      <c r="F14" s="29">
        <v>9.1638549E-2</v>
      </c>
      <c r="G14" s="29">
        <v>9.1638549E-2</v>
      </c>
    </row>
    <row r="15" spans="1:7" x14ac:dyDescent="0.35">
      <c r="A15" t="s">
        <v>183</v>
      </c>
      <c r="B15">
        <v>2034</v>
      </c>
      <c r="C15" s="29">
        <v>2.0840559999999999E-3</v>
      </c>
      <c r="D15" s="29">
        <v>2.0840559999999999E-3</v>
      </c>
      <c r="E15" s="29">
        <v>2.0840559999999999E-3</v>
      </c>
      <c r="F15" s="29">
        <v>0.106988207</v>
      </c>
      <c r="G15" s="29">
        <v>0.106988207</v>
      </c>
    </row>
    <row r="16" spans="1:7" x14ac:dyDescent="0.35">
      <c r="A16" t="s">
        <v>183</v>
      </c>
      <c r="B16">
        <v>2035</v>
      </c>
      <c r="C16" s="29">
        <v>2.2269479999999999E-3</v>
      </c>
      <c r="D16" s="29">
        <v>2.2269479999999999E-3</v>
      </c>
      <c r="E16" s="29">
        <v>2.2269479999999999E-3</v>
      </c>
      <c r="F16" s="29">
        <v>0.12328299600000001</v>
      </c>
      <c r="G16" s="29">
        <v>0.12328299600000001</v>
      </c>
    </row>
    <row r="17" spans="1:7" x14ac:dyDescent="0.35">
      <c r="A17" t="s">
        <v>183</v>
      </c>
      <c r="B17">
        <v>2036</v>
      </c>
      <c r="C17" s="29">
        <v>2.3683300000000001E-3</v>
      </c>
      <c r="D17" s="29">
        <v>2.3683300000000001E-3</v>
      </c>
      <c r="E17" s="29">
        <v>2.3683300000000001E-3</v>
      </c>
      <c r="F17" s="29">
        <v>0.13350161599999999</v>
      </c>
      <c r="G17" s="29">
        <v>0.13350161599999999</v>
      </c>
    </row>
    <row r="18" spans="1:7" x14ac:dyDescent="0.35">
      <c r="A18" t="s">
        <v>183</v>
      </c>
      <c r="B18">
        <v>2037</v>
      </c>
      <c r="C18" s="29">
        <v>2.5096810000000002E-3</v>
      </c>
      <c r="D18" s="29">
        <v>2.5096810000000002E-3</v>
      </c>
      <c r="E18" s="29">
        <v>2.5096810000000002E-3</v>
      </c>
      <c r="F18" s="29">
        <v>0.14717171300000001</v>
      </c>
      <c r="G18" s="29">
        <v>0.14717171300000001</v>
      </c>
    </row>
    <row r="19" spans="1:7" x14ac:dyDescent="0.35">
      <c r="A19" t="s">
        <v>183</v>
      </c>
      <c r="B19">
        <v>2038</v>
      </c>
      <c r="C19" s="29">
        <v>2.6516360000000002E-3</v>
      </c>
      <c r="D19" s="29">
        <v>2.6516360000000002E-3</v>
      </c>
      <c r="E19" s="29">
        <v>2.6516360000000002E-3</v>
      </c>
      <c r="F19" s="29">
        <v>0.159999847</v>
      </c>
      <c r="G19" s="29">
        <v>0.159999847</v>
      </c>
    </row>
    <row r="20" spans="1:7" x14ac:dyDescent="0.35">
      <c r="A20" t="s">
        <v>183</v>
      </c>
      <c r="B20">
        <v>2039</v>
      </c>
      <c r="C20" s="29">
        <v>2.7978980000000001E-3</v>
      </c>
      <c r="D20" s="29">
        <v>2.7978980000000001E-3</v>
      </c>
      <c r="E20" s="29">
        <v>2.7978980000000001E-3</v>
      </c>
      <c r="F20" s="29">
        <v>0.17197367399999999</v>
      </c>
      <c r="G20" s="29">
        <v>0.17197367399999999</v>
      </c>
    </row>
    <row r="21" spans="1:7" x14ac:dyDescent="0.35">
      <c r="A21" t="s">
        <v>183</v>
      </c>
      <c r="B21">
        <v>2040</v>
      </c>
      <c r="C21" s="29">
        <v>2.9475489999999998E-3</v>
      </c>
      <c r="D21" s="29">
        <v>2.9475489999999998E-3</v>
      </c>
      <c r="E21" s="29">
        <v>2.9475489999999998E-3</v>
      </c>
      <c r="F21" s="29">
        <v>0.18306308800000001</v>
      </c>
      <c r="G21" s="29">
        <v>0.18306308800000001</v>
      </c>
    </row>
    <row r="22" spans="1:7" x14ac:dyDescent="0.35">
      <c r="A22" t="s">
        <v>183</v>
      </c>
      <c r="B22">
        <v>2041</v>
      </c>
      <c r="C22" s="29">
        <v>3.1025660000000002E-3</v>
      </c>
      <c r="D22" s="29">
        <v>3.1025660000000002E-3</v>
      </c>
      <c r="E22" s="29">
        <v>3.1025660000000002E-3</v>
      </c>
      <c r="F22" s="29">
        <v>0.19322018599999999</v>
      </c>
      <c r="G22" s="29">
        <v>0.19322018599999999</v>
      </c>
    </row>
    <row r="23" spans="1:7" x14ac:dyDescent="0.35">
      <c r="A23" t="s">
        <v>183</v>
      </c>
      <c r="B23">
        <v>2042</v>
      </c>
      <c r="C23" s="29">
        <v>3.2548310000000001E-3</v>
      </c>
      <c r="D23" s="29">
        <v>3.2548310000000001E-3</v>
      </c>
      <c r="E23" s="29">
        <v>3.2548310000000001E-3</v>
      </c>
      <c r="F23" s="29">
        <v>0.20237197600000001</v>
      </c>
      <c r="G23" s="29">
        <v>0.20237197600000001</v>
      </c>
    </row>
    <row r="24" spans="1:7" x14ac:dyDescent="0.35">
      <c r="A24" t="s">
        <v>183</v>
      </c>
      <c r="B24">
        <v>2043</v>
      </c>
      <c r="C24" s="29">
        <v>3.4059329999999999E-3</v>
      </c>
      <c r="D24" s="29">
        <v>3.4059329999999999E-3</v>
      </c>
      <c r="E24" s="29">
        <v>3.4059329999999999E-3</v>
      </c>
      <c r="F24" s="29">
        <v>0.21056287000000001</v>
      </c>
      <c r="G24" s="29">
        <v>0.21056287000000001</v>
      </c>
    </row>
    <row r="25" spans="1:7" x14ac:dyDescent="0.35">
      <c r="A25" t="s">
        <v>183</v>
      </c>
      <c r="B25">
        <v>2044</v>
      </c>
      <c r="C25" s="29">
        <v>3.5547740000000001E-3</v>
      </c>
      <c r="D25" s="29">
        <v>3.5547740000000001E-3</v>
      </c>
      <c r="E25" s="29">
        <v>3.5547740000000001E-3</v>
      </c>
      <c r="F25" s="29">
        <v>0.21777566700000001</v>
      </c>
      <c r="G25" s="29">
        <v>0.21777566700000001</v>
      </c>
    </row>
    <row r="26" spans="1:7" x14ac:dyDescent="0.35">
      <c r="A26" t="s">
        <v>183</v>
      </c>
      <c r="B26">
        <v>2045</v>
      </c>
      <c r="C26" s="29">
        <v>3.702253E-3</v>
      </c>
      <c r="D26" s="29">
        <v>3.702253E-3</v>
      </c>
      <c r="E26" s="29">
        <v>3.702253E-3</v>
      </c>
      <c r="F26" s="29">
        <v>0.224084228</v>
      </c>
      <c r="G26" s="29">
        <v>0.224084228</v>
      </c>
    </row>
    <row r="27" spans="1:7" x14ac:dyDescent="0.35">
      <c r="A27" t="s">
        <v>183</v>
      </c>
      <c r="B27">
        <v>2046</v>
      </c>
      <c r="C27" s="29">
        <v>3.8532660000000002E-3</v>
      </c>
      <c r="D27" s="29">
        <v>3.8532660000000002E-3</v>
      </c>
      <c r="E27" s="29">
        <v>3.8532660000000002E-3</v>
      </c>
      <c r="F27" s="29">
        <v>0.229570676</v>
      </c>
      <c r="G27" s="29">
        <v>0.229570676</v>
      </c>
    </row>
    <row r="28" spans="1:7" x14ac:dyDescent="0.35">
      <c r="A28" t="s">
        <v>183</v>
      </c>
      <c r="B28">
        <v>2047</v>
      </c>
      <c r="C28" s="29">
        <v>4.0069169999999996E-3</v>
      </c>
      <c r="D28" s="29">
        <v>4.0069169999999996E-3</v>
      </c>
      <c r="E28" s="29">
        <v>4.0069169999999996E-3</v>
      </c>
      <c r="F28" s="29">
        <v>0.23429806</v>
      </c>
      <c r="G28" s="29">
        <v>0.23429806</v>
      </c>
    </row>
    <row r="29" spans="1:7" x14ac:dyDescent="0.35">
      <c r="A29" t="s">
        <v>183</v>
      </c>
      <c r="B29">
        <v>2048</v>
      </c>
      <c r="C29" s="29">
        <v>4.1629220000000003E-3</v>
      </c>
      <c r="D29" s="29">
        <v>4.1629220000000003E-3</v>
      </c>
      <c r="E29" s="29">
        <v>4.1629220000000003E-3</v>
      </c>
      <c r="F29" s="29">
        <v>0.23831492700000001</v>
      </c>
      <c r="G29" s="29">
        <v>0.23831492700000001</v>
      </c>
    </row>
    <row r="30" spans="1:7" x14ac:dyDescent="0.35">
      <c r="A30" t="s">
        <v>183</v>
      </c>
      <c r="B30">
        <v>2049</v>
      </c>
      <c r="C30" s="29">
        <v>4.3251549999999998E-3</v>
      </c>
      <c r="D30" s="29">
        <v>4.3251549999999998E-3</v>
      </c>
      <c r="E30" s="29">
        <v>4.3251549999999998E-3</v>
      </c>
      <c r="F30" s="29">
        <v>0.241681439</v>
      </c>
      <c r="G30" s="29">
        <v>0.241681439</v>
      </c>
    </row>
    <row r="31" spans="1:7" x14ac:dyDescent="0.35">
      <c r="A31" t="s">
        <v>183</v>
      </c>
      <c r="B31">
        <v>2050</v>
      </c>
      <c r="C31" s="29">
        <v>4.495321E-3</v>
      </c>
      <c r="D31" s="29">
        <v>4.495321E-3</v>
      </c>
      <c r="E31" s="29">
        <v>4.495321E-3</v>
      </c>
      <c r="F31" s="29">
        <v>0.24449030199999999</v>
      </c>
      <c r="G31" s="29">
        <v>0.24449030199999999</v>
      </c>
    </row>
    <row r="32" spans="1:7" x14ac:dyDescent="0.35">
      <c r="A32" t="s">
        <v>182</v>
      </c>
      <c r="B32">
        <v>2021</v>
      </c>
      <c r="C32" s="29">
        <v>2.7681490000000001E-3</v>
      </c>
      <c r="D32" s="29">
        <v>2.7681490000000001E-3</v>
      </c>
      <c r="E32" s="29">
        <v>2.7681490000000001E-3</v>
      </c>
      <c r="F32" s="29">
        <v>2.7681490000000001E-3</v>
      </c>
      <c r="G32" s="29">
        <v>2.7681490000000001E-3</v>
      </c>
    </row>
    <row r="33" spans="1:7" x14ac:dyDescent="0.35">
      <c r="A33" t="s">
        <v>182</v>
      </c>
      <c r="B33">
        <v>2022</v>
      </c>
      <c r="C33" s="29">
        <v>5.506319E-3</v>
      </c>
      <c r="D33" s="29">
        <v>8.2696799999999997E-3</v>
      </c>
      <c r="E33" s="29">
        <v>6.8879989999999997E-3</v>
      </c>
      <c r="F33" s="29">
        <v>6.8879989999999997E-3</v>
      </c>
      <c r="G33" s="29">
        <v>8.2696799999999997E-3</v>
      </c>
    </row>
    <row r="34" spans="1:7" x14ac:dyDescent="0.35">
      <c r="A34" t="s">
        <v>182</v>
      </c>
      <c r="B34">
        <v>2023</v>
      </c>
      <c r="C34" s="29">
        <v>8.604024E-3</v>
      </c>
      <c r="D34" s="29">
        <v>1.3771211E-2</v>
      </c>
      <c r="E34" s="29">
        <v>1.1187618E-2</v>
      </c>
      <c r="F34" s="29">
        <v>1.1187618E-2</v>
      </c>
      <c r="G34" s="29">
        <v>1.3771211E-2</v>
      </c>
    </row>
    <row r="35" spans="1:7" x14ac:dyDescent="0.35">
      <c r="A35" t="s">
        <v>182</v>
      </c>
      <c r="B35">
        <v>2024</v>
      </c>
      <c r="C35" s="29">
        <v>1.1780479999999999E-2</v>
      </c>
      <c r="D35" s="29">
        <v>1.9272741999999999E-2</v>
      </c>
      <c r="E35" s="29">
        <v>1.5526610999999999E-2</v>
      </c>
      <c r="F35" s="29">
        <v>1.5526610999999999E-2</v>
      </c>
      <c r="G35" s="29">
        <v>1.9272741999999999E-2</v>
      </c>
    </row>
    <row r="36" spans="1:7" x14ac:dyDescent="0.35">
      <c r="A36" t="s">
        <v>182</v>
      </c>
      <c r="B36">
        <v>2025</v>
      </c>
      <c r="C36" s="29">
        <v>1.4880427E-2</v>
      </c>
      <c r="D36" s="29">
        <v>2.4774272999999999E-2</v>
      </c>
      <c r="E36" s="29">
        <v>1.9827350000000001E-2</v>
      </c>
      <c r="F36" s="29">
        <v>1.9827350000000001E-2</v>
      </c>
      <c r="G36" s="29">
        <v>2.4774272999999999E-2</v>
      </c>
    </row>
    <row r="37" spans="1:7" x14ac:dyDescent="0.35">
      <c r="A37" t="s">
        <v>182</v>
      </c>
      <c r="B37">
        <v>2026</v>
      </c>
      <c r="C37" s="29">
        <v>1.7896786000000001E-2</v>
      </c>
      <c r="D37" s="29">
        <v>3.7774355000000003E-2</v>
      </c>
      <c r="E37" s="29">
        <v>2.783557E-2</v>
      </c>
      <c r="F37" s="29">
        <v>2.783557E-2</v>
      </c>
      <c r="G37" s="29">
        <v>3.7774355000000003E-2</v>
      </c>
    </row>
    <row r="38" spans="1:7" x14ac:dyDescent="0.35">
      <c r="A38" t="s">
        <v>182</v>
      </c>
      <c r="B38">
        <v>2027</v>
      </c>
      <c r="C38" s="29">
        <v>2.0805857000000001E-2</v>
      </c>
      <c r="D38" s="29">
        <v>5.7356055000000003E-2</v>
      </c>
      <c r="E38" s="29">
        <v>3.9080956E-2</v>
      </c>
      <c r="F38" s="29">
        <v>3.9080956E-2</v>
      </c>
      <c r="G38" s="29">
        <v>5.7356055000000003E-2</v>
      </c>
    </row>
    <row r="39" spans="1:7" x14ac:dyDescent="0.35">
      <c r="A39" t="s">
        <v>182</v>
      </c>
      <c r="B39">
        <v>2028</v>
      </c>
      <c r="C39" s="29">
        <v>2.3611013E-2</v>
      </c>
      <c r="D39" s="29">
        <v>8.4760910999999994E-2</v>
      </c>
      <c r="E39" s="29">
        <v>5.4185961999999997E-2</v>
      </c>
      <c r="F39" s="29">
        <v>5.4185961999999997E-2</v>
      </c>
      <c r="G39" s="29">
        <v>8.4760910999999994E-2</v>
      </c>
    </row>
    <row r="40" spans="1:7" x14ac:dyDescent="0.35">
      <c r="A40" t="s">
        <v>182</v>
      </c>
      <c r="B40">
        <v>2029</v>
      </c>
      <c r="C40" s="29">
        <v>2.6362935000000001E-2</v>
      </c>
      <c r="D40" s="29">
        <v>0.110267067</v>
      </c>
      <c r="E40" s="29">
        <v>6.8315001E-2</v>
      </c>
      <c r="F40" s="29">
        <v>6.8315001E-2</v>
      </c>
      <c r="G40" s="29">
        <v>0.110267067</v>
      </c>
    </row>
    <row r="41" spans="1:7" x14ac:dyDescent="0.35">
      <c r="A41" t="s">
        <v>182</v>
      </c>
      <c r="B41">
        <v>2030</v>
      </c>
      <c r="C41" s="29">
        <v>2.9098506E-2</v>
      </c>
      <c r="D41" s="29">
        <v>0.13976050100000001</v>
      </c>
      <c r="E41" s="29">
        <v>8.4429504000000002E-2</v>
      </c>
      <c r="F41" s="29">
        <v>8.4429504000000002E-2</v>
      </c>
      <c r="G41" s="29">
        <v>0.13976050100000001</v>
      </c>
    </row>
    <row r="42" spans="1:7" x14ac:dyDescent="0.35">
      <c r="A42" t="s">
        <v>182</v>
      </c>
      <c r="B42">
        <v>2031</v>
      </c>
      <c r="C42" s="29">
        <v>3.1850912000000002E-2</v>
      </c>
      <c r="D42" s="29">
        <v>0.16977555799999999</v>
      </c>
      <c r="E42" s="29">
        <v>0.100813235</v>
      </c>
      <c r="F42" s="29">
        <v>0.100813235</v>
      </c>
      <c r="G42" s="29">
        <v>0.16977555799999999</v>
      </c>
    </row>
    <row r="43" spans="1:7" x14ac:dyDescent="0.35">
      <c r="A43" t="s">
        <v>182</v>
      </c>
      <c r="B43">
        <v>2032</v>
      </c>
      <c r="C43" s="29">
        <v>3.4619206E-2</v>
      </c>
      <c r="D43" s="29">
        <v>0.20474008699999999</v>
      </c>
      <c r="E43" s="29">
        <v>0.119679647</v>
      </c>
      <c r="F43" s="29">
        <v>0.119679647</v>
      </c>
      <c r="G43" s="29">
        <v>0.20474008699999999</v>
      </c>
    </row>
    <row r="44" spans="1:7" x14ac:dyDescent="0.35">
      <c r="A44" t="s">
        <v>182</v>
      </c>
      <c r="B44">
        <v>2033</v>
      </c>
      <c r="C44" s="29">
        <v>3.7401094000000003E-2</v>
      </c>
      <c r="D44" s="29">
        <v>0.24537620900000001</v>
      </c>
      <c r="E44" s="29">
        <v>0.141388651</v>
      </c>
      <c r="F44" s="29">
        <v>0.141388651</v>
      </c>
      <c r="G44" s="29">
        <v>0.24537620900000001</v>
      </c>
    </row>
    <row r="45" spans="1:7" x14ac:dyDescent="0.35">
      <c r="A45" t="s">
        <v>182</v>
      </c>
      <c r="B45">
        <v>2034</v>
      </c>
      <c r="C45" s="29">
        <v>4.0196467999999999E-2</v>
      </c>
      <c r="D45" s="29">
        <v>0.292219018</v>
      </c>
      <c r="E45" s="29">
        <v>0.16620774299999999</v>
      </c>
      <c r="F45" s="29">
        <v>0.16620774299999999</v>
      </c>
      <c r="G45" s="29">
        <v>0.292219018</v>
      </c>
    </row>
    <row r="46" spans="1:7" x14ac:dyDescent="0.35">
      <c r="A46" t="s">
        <v>182</v>
      </c>
      <c r="B46">
        <v>2035</v>
      </c>
      <c r="C46" s="29">
        <v>4.2987719000000001E-2</v>
      </c>
      <c r="D46" s="29">
        <v>0.34549044600000001</v>
      </c>
      <c r="E46" s="29">
        <v>0.19423908200000001</v>
      </c>
      <c r="F46" s="29">
        <v>0.19423908200000001</v>
      </c>
      <c r="G46" s="29">
        <v>0.34549044600000001</v>
      </c>
    </row>
    <row r="47" spans="1:7" x14ac:dyDescent="0.35">
      <c r="A47" t="s">
        <v>182</v>
      </c>
      <c r="B47">
        <v>2036</v>
      </c>
      <c r="C47" s="29">
        <v>4.5770973E-2</v>
      </c>
      <c r="D47" s="29">
        <v>0.39619227099999998</v>
      </c>
      <c r="E47" s="29">
        <v>0.22098162199999999</v>
      </c>
      <c r="F47" s="29">
        <v>0.22098162199999999</v>
      </c>
      <c r="G47" s="29">
        <v>0.39619227099999998</v>
      </c>
    </row>
    <row r="48" spans="1:7" x14ac:dyDescent="0.35">
      <c r="A48" t="s">
        <v>182</v>
      </c>
      <c r="B48">
        <v>2037</v>
      </c>
      <c r="C48" s="29">
        <v>4.8543924000000002E-2</v>
      </c>
      <c r="D48" s="29">
        <v>0.444968113</v>
      </c>
      <c r="E48" s="29">
        <v>0.24675601899999999</v>
      </c>
      <c r="F48" s="29">
        <v>0.24675601899999999</v>
      </c>
      <c r="G48" s="29">
        <v>0.444968113</v>
      </c>
    </row>
    <row r="49" spans="1:7" x14ac:dyDescent="0.35">
      <c r="A49" t="s">
        <v>182</v>
      </c>
      <c r="B49">
        <v>2038</v>
      </c>
      <c r="C49" s="29">
        <v>5.1304790000000003E-2</v>
      </c>
      <c r="D49" s="29">
        <v>0.49169161900000002</v>
      </c>
      <c r="E49" s="29">
        <v>0.27149820400000002</v>
      </c>
      <c r="F49" s="29">
        <v>0.27149820400000002</v>
      </c>
      <c r="G49" s="29">
        <v>0.49169161900000002</v>
      </c>
    </row>
    <row r="50" spans="1:7" x14ac:dyDescent="0.35">
      <c r="A50" t="s">
        <v>182</v>
      </c>
      <c r="B50">
        <v>2039</v>
      </c>
      <c r="C50" s="29">
        <v>5.40186E-2</v>
      </c>
      <c r="D50" s="29">
        <v>0.53644918200000002</v>
      </c>
      <c r="E50" s="29">
        <v>0.29523389100000003</v>
      </c>
      <c r="F50" s="29">
        <v>0.29523389100000003</v>
      </c>
      <c r="G50" s="29">
        <v>0.53644918200000002</v>
      </c>
    </row>
    <row r="51" spans="1:7" x14ac:dyDescent="0.35">
      <c r="A51" t="s">
        <v>182</v>
      </c>
      <c r="B51">
        <v>2040</v>
      </c>
      <c r="C51" s="29">
        <v>5.6696666E-2</v>
      </c>
      <c r="D51" s="29">
        <v>0.57897244699999995</v>
      </c>
      <c r="E51" s="29">
        <v>0.31783455599999999</v>
      </c>
      <c r="F51" s="29">
        <v>0.31783455599999999</v>
      </c>
      <c r="G51" s="29">
        <v>0.57897244699999995</v>
      </c>
    </row>
    <row r="52" spans="1:7" x14ac:dyDescent="0.35">
      <c r="A52" t="s">
        <v>182</v>
      </c>
      <c r="B52">
        <v>2041</v>
      </c>
      <c r="C52" s="29">
        <v>5.9316059999999997E-2</v>
      </c>
      <c r="D52" s="29">
        <v>0.61912640799999996</v>
      </c>
      <c r="E52" s="29">
        <v>0.33922123399999998</v>
      </c>
      <c r="F52" s="29">
        <v>0.33922123399999998</v>
      </c>
      <c r="G52" s="29">
        <v>0.61912640799999996</v>
      </c>
    </row>
    <row r="53" spans="1:7" x14ac:dyDescent="0.35">
      <c r="A53" t="s">
        <v>182</v>
      </c>
      <c r="B53">
        <v>2042</v>
      </c>
      <c r="C53" s="29">
        <v>6.1865734999999998E-2</v>
      </c>
      <c r="D53" s="29">
        <v>0.657095557</v>
      </c>
      <c r="E53" s="29">
        <v>0.35948064600000001</v>
      </c>
      <c r="F53" s="29">
        <v>0.35948064600000001</v>
      </c>
      <c r="G53" s="29">
        <v>0.657095557</v>
      </c>
    </row>
    <row r="54" spans="1:7" x14ac:dyDescent="0.35">
      <c r="A54" t="s">
        <v>182</v>
      </c>
      <c r="B54">
        <v>2043</v>
      </c>
      <c r="C54" s="29">
        <v>6.4368699000000001E-2</v>
      </c>
      <c r="D54" s="29">
        <v>0.69262306100000004</v>
      </c>
      <c r="E54" s="29">
        <v>0.37849588000000001</v>
      </c>
      <c r="F54" s="29">
        <v>0.37849588000000001</v>
      </c>
      <c r="G54" s="29">
        <v>0.69262306100000004</v>
      </c>
    </row>
    <row r="55" spans="1:7" x14ac:dyDescent="0.35">
      <c r="A55" t="s">
        <v>182</v>
      </c>
      <c r="B55">
        <v>2044</v>
      </c>
      <c r="C55" s="29">
        <v>6.6828560999999995E-2</v>
      </c>
      <c r="D55" s="29">
        <v>0.72576428699999995</v>
      </c>
      <c r="E55" s="29">
        <v>0.39629642399999998</v>
      </c>
      <c r="F55" s="29">
        <v>0.39629642399999998</v>
      </c>
      <c r="G55" s="29">
        <v>0.72576428699999995</v>
      </c>
    </row>
    <row r="56" spans="1:7" x14ac:dyDescent="0.35">
      <c r="A56" t="s">
        <v>182</v>
      </c>
      <c r="B56">
        <v>2045</v>
      </c>
      <c r="C56" s="29">
        <v>6.9255160999999996E-2</v>
      </c>
      <c r="D56" s="29">
        <v>0.75643987199999996</v>
      </c>
      <c r="E56" s="29">
        <v>0.41284751600000003</v>
      </c>
      <c r="F56" s="29">
        <v>0.41284751600000003</v>
      </c>
      <c r="G56" s="29">
        <v>0.75643987199999996</v>
      </c>
    </row>
    <row r="57" spans="1:7" x14ac:dyDescent="0.35">
      <c r="A57" t="s">
        <v>182</v>
      </c>
      <c r="B57">
        <v>2046</v>
      </c>
      <c r="C57" s="29">
        <v>7.1660583E-2</v>
      </c>
      <c r="D57" s="29">
        <v>0.78459593599999999</v>
      </c>
      <c r="E57" s="29">
        <v>0.42812825900000001</v>
      </c>
      <c r="F57" s="29">
        <v>0.42812825900000001</v>
      </c>
      <c r="G57" s="29">
        <v>0.78459593599999999</v>
      </c>
    </row>
    <row r="58" spans="1:7" x14ac:dyDescent="0.35">
      <c r="A58" t="s">
        <v>182</v>
      </c>
      <c r="B58">
        <v>2047</v>
      </c>
      <c r="C58" s="29">
        <v>7.4023167000000001E-2</v>
      </c>
      <c r="D58" s="29">
        <v>0.81016510900000005</v>
      </c>
      <c r="E58" s="29">
        <v>0.44209413800000003</v>
      </c>
      <c r="F58" s="29">
        <v>0.44209413800000003</v>
      </c>
      <c r="G58" s="29">
        <v>0.81016510900000005</v>
      </c>
    </row>
    <row r="59" spans="1:7" x14ac:dyDescent="0.35">
      <c r="A59" t="s">
        <v>182</v>
      </c>
      <c r="B59">
        <v>2048</v>
      </c>
      <c r="C59" s="29">
        <v>7.6331019E-2</v>
      </c>
      <c r="D59" s="29">
        <v>0.83324370199999997</v>
      </c>
      <c r="E59" s="29">
        <v>0.454787361</v>
      </c>
      <c r="F59" s="29">
        <v>0.454787361</v>
      </c>
      <c r="G59" s="29">
        <v>0.83324370199999997</v>
      </c>
    </row>
    <row r="60" spans="1:7" x14ac:dyDescent="0.35">
      <c r="A60" t="s">
        <v>182</v>
      </c>
      <c r="B60">
        <v>2049</v>
      </c>
      <c r="C60" s="29">
        <v>7.8599206000000005E-2</v>
      </c>
      <c r="D60" s="29">
        <v>0.85401336000000005</v>
      </c>
      <c r="E60" s="29">
        <v>0.46630628299999999</v>
      </c>
      <c r="F60" s="29">
        <v>0.46630628299999999</v>
      </c>
      <c r="G60" s="29">
        <v>0.85401336000000005</v>
      </c>
    </row>
    <row r="61" spans="1:7" x14ac:dyDescent="0.35">
      <c r="A61" t="s">
        <v>182</v>
      </c>
      <c r="B61">
        <v>2050</v>
      </c>
      <c r="C61" s="29">
        <v>8.0826548999999998E-2</v>
      </c>
      <c r="D61" s="29">
        <v>0.87233277799999998</v>
      </c>
      <c r="E61" s="29">
        <v>0.47657966400000001</v>
      </c>
      <c r="F61" s="29">
        <v>0.47657966400000001</v>
      </c>
      <c r="G61" s="29">
        <v>0.87233277799999998</v>
      </c>
    </row>
    <row r="62" spans="1:7" x14ac:dyDescent="0.35">
      <c r="A62" t="s">
        <v>208</v>
      </c>
      <c r="B62">
        <v>2021</v>
      </c>
      <c r="C62" s="29">
        <v>2.69208E-4</v>
      </c>
      <c r="D62" s="29">
        <v>2.69208E-4</v>
      </c>
      <c r="E62" s="29">
        <v>2.69208E-4</v>
      </c>
      <c r="F62" s="29">
        <v>2.69208E-4</v>
      </c>
      <c r="G62" s="29">
        <v>2.69208E-4</v>
      </c>
    </row>
    <row r="63" spans="1:7" x14ac:dyDescent="0.35">
      <c r="A63" t="s">
        <v>208</v>
      </c>
      <c r="B63">
        <v>2022</v>
      </c>
      <c r="C63" s="29">
        <v>5.1113500000000002E-4</v>
      </c>
      <c r="D63" s="29">
        <v>5.1113500000000002E-4</v>
      </c>
      <c r="E63" s="29">
        <v>5.1113500000000002E-4</v>
      </c>
      <c r="F63" s="29">
        <v>5.1113500000000002E-4</v>
      </c>
      <c r="G63" s="29">
        <v>5.1113500000000002E-4</v>
      </c>
    </row>
    <row r="64" spans="1:7" x14ac:dyDescent="0.35">
      <c r="A64" t="s">
        <v>208</v>
      </c>
      <c r="B64">
        <v>2023</v>
      </c>
      <c r="C64" s="29">
        <v>7.5173000000000004E-4</v>
      </c>
      <c r="D64" s="29">
        <v>7.5173000000000004E-4</v>
      </c>
      <c r="E64" s="29">
        <v>7.5173000000000004E-4</v>
      </c>
      <c r="F64" s="29">
        <v>7.5173000000000004E-4</v>
      </c>
      <c r="G64" s="29">
        <v>7.5173000000000004E-4</v>
      </c>
    </row>
    <row r="65" spans="1:7" x14ac:dyDescent="0.35">
      <c r="A65" t="s">
        <v>208</v>
      </c>
      <c r="B65">
        <v>2024</v>
      </c>
      <c r="C65" s="29">
        <v>9.8721599999999996E-4</v>
      </c>
      <c r="D65" s="29">
        <v>9.8721599999999996E-4</v>
      </c>
      <c r="E65" s="29">
        <v>9.8721599999999996E-4</v>
      </c>
      <c r="F65" s="29">
        <v>2.2232290000000002E-3</v>
      </c>
      <c r="G65" s="29">
        <v>2.2232290000000002E-3</v>
      </c>
    </row>
    <row r="66" spans="1:7" x14ac:dyDescent="0.35">
      <c r="A66" t="s">
        <v>208</v>
      </c>
      <c r="B66">
        <v>2025</v>
      </c>
      <c r="C66" s="29">
        <v>1.2173970000000001E-3</v>
      </c>
      <c r="D66" s="29">
        <v>1.2173970000000001E-3</v>
      </c>
      <c r="E66" s="29">
        <v>1.2173970000000001E-3</v>
      </c>
      <c r="F66" s="29">
        <v>6.3453590000000001E-3</v>
      </c>
      <c r="G66" s="29">
        <v>6.3453590000000001E-3</v>
      </c>
    </row>
    <row r="67" spans="1:7" x14ac:dyDescent="0.35">
      <c r="A67" t="s">
        <v>208</v>
      </c>
      <c r="B67">
        <v>2026</v>
      </c>
      <c r="C67" s="29">
        <v>1.4441510000000001E-3</v>
      </c>
      <c r="D67" s="29">
        <v>1.4441510000000001E-3</v>
      </c>
      <c r="E67" s="29">
        <v>1.4441510000000001E-3</v>
      </c>
      <c r="F67" s="29">
        <v>1.1845461999999999E-2</v>
      </c>
      <c r="G67" s="29">
        <v>1.1845461999999999E-2</v>
      </c>
    </row>
    <row r="68" spans="1:7" x14ac:dyDescent="0.35">
      <c r="A68" t="s">
        <v>208</v>
      </c>
      <c r="B68">
        <v>2027</v>
      </c>
      <c r="C68" s="29">
        <v>1.664706E-3</v>
      </c>
      <c r="D68" s="29">
        <v>1.664706E-3</v>
      </c>
      <c r="E68" s="29">
        <v>1.664706E-3</v>
      </c>
      <c r="F68" s="29">
        <v>1.9948430999999999E-2</v>
      </c>
      <c r="G68" s="29">
        <v>1.9948430999999999E-2</v>
      </c>
    </row>
    <row r="69" spans="1:7" x14ac:dyDescent="0.35">
      <c r="A69" t="s">
        <v>208</v>
      </c>
      <c r="B69">
        <v>2028</v>
      </c>
      <c r="C69" s="29">
        <v>1.879225E-3</v>
      </c>
      <c r="D69" s="29">
        <v>1.879225E-3</v>
      </c>
      <c r="E69" s="29">
        <v>1.879225E-3</v>
      </c>
      <c r="F69" s="29">
        <v>3.1568299000000001E-2</v>
      </c>
      <c r="G69" s="29">
        <v>3.1568299000000001E-2</v>
      </c>
    </row>
    <row r="70" spans="1:7" x14ac:dyDescent="0.35">
      <c r="A70" t="s">
        <v>208</v>
      </c>
      <c r="B70">
        <v>2029</v>
      </c>
      <c r="C70" s="29">
        <v>2.0915529999999999E-3</v>
      </c>
      <c r="D70" s="29">
        <v>2.0915529999999999E-3</v>
      </c>
      <c r="E70" s="29">
        <v>2.0915529999999999E-3</v>
      </c>
      <c r="F70" s="29">
        <v>4.6924004999999998E-2</v>
      </c>
      <c r="G70" s="29">
        <v>4.6924004999999998E-2</v>
      </c>
    </row>
    <row r="71" spans="1:7" x14ac:dyDescent="0.35">
      <c r="A71" t="s">
        <v>208</v>
      </c>
      <c r="B71">
        <v>2030</v>
      </c>
      <c r="C71" s="29">
        <v>2.3018520000000001E-3</v>
      </c>
      <c r="D71" s="29">
        <v>2.3018520000000001E-3</v>
      </c>
      <c r="E71" s="29">
        <v>2.3018520000000001E-3</v>
      </c>
      <c r="F71" s="29">
        <v>6.5785700000000003E-2</v>
      </c>
      <c r="G71" s="29">
        <v>6.5785700000000003E-2</v>
      </c>
    </row>
    <row r="72" spans="1:7" x14ac:dyDescent="0.35">
      <c r="A72" t="s">
        <v>208</v>
      </c>
      <c r="B72">
        <v>2031</v>
      </c>
      <c r="C72" s="29">
        <v>2.5109339999999998E-3</v>
      </c>
      <c r="D72" s="29">
        <v>2.5109339999999998E-3</v>
      </c>
      <c r="E72" s="29">
        <v>2.5109339999999998E-3</v>
      </c>
      <c r="F72" s="29">
        <v>8.8363822999999994E-2</v>
      </c>
      <c r="G72" s="29">
        <v>8.8363822999999994E-2</v>
      </c>
    </row>
    <row r="73" spans="1:7" x14ac:dyDescent="0.35">
      <c r="A73" t="s">
        <v>208</v>
      </c>
      <c r="B73">
        <v>2032</v>
      </c>
      <c r="C73" s="29">
        <v>2.7175649999999999E-3</v>
      </c>
      <c r="D73" s="29">
        <v>2.7175649999999999E-3</v>
      </c>
      <c r="E73" s="29">
        <v>2.7175649999999999E-3</v>
      </c>
      <c r="F73" s="29">
        <v>0.112572854</v>
      </c>
      <c r="G73" s="29">
        <v>0.112572854</v>
      </c>
    </row>
    <row r="74" spans="1:7" x14ac:dyDescent="0.35">
      <c r="A74" t="s">
        <v>208</v>
      </c>
      <c r="B74">
        <v>2033</v>
      </c>
      <c r="C74" s="29">
        <v>2.927851E-3</v>
      </c>
      <c r="D74" s="29">
        <v>2.927851E-3</v>
      </c>
      <c r="E74" s="29">
        <v>2.927851E-3</v>
      </c>
      <c r="F74" s="29">
        <v>0.13861931199999999</v>
      </c>
      <c r="G74" s="29">
        <v>0.13861931199999999</v>
      </c>
    </row>
    <row r="75" spans="1:7" x14ac:dyDescent="0.35">
      <c r="A75" t="s">
        <v>208</v>
      </c>
      <c r="B75">
        <v>2034</v>
      </c>
      <c r="C75" s="29">
        <v>3.1403939999999999E-3</v>
      </c>
      <c r="D75" s="29">
        <v>3.1403939999999999E-3</v>
      </c>
      <c r="E75" s="29">
        <v>3.1403939999999999E-3</v>
      </c>
      <c r="F75" s="29">
        <v>0.16646481900000001</v>
      </c>
      <c r="G75" s="29">
        <v>0.16646481900000001</v>
      </c>
    </row>
    <row r="76" spans="1:7" x14ac:dyDescent="0.35">
      <c r="A76" t="s">
        <v>208</v>
      </c>
      <c r="B76">
        <v>2035</v>
      </c>
      <c r="C76" s="29">
        <v>3.3537770000000001E-3</v>
      </c>
      <c r="D76" s="29">
        <v>3.3537770000000001E-3</v>
      </c>
      <c r="E76" s="29">
        <v>3.3537770000000001E-3</v>
      </c>
      <c r="F76" s="29">
        <v>0.19560739399999999</v>
      </c>
      <c r="G76" s="29">
        <v>0.19560739399999999</v>
      </c>
    </row>
    <row r="77" spans="1:7" x14ac:dyDescent="0.35">
      <c r="A77" t="s">
        <v>208</v>
      </c>
      <c r="B77">
        <v>2036</v>
      </c>
      <c r="C77" s="29">
        <v>3.5669400000000002E-3</v>
      </c>
      <c r="D77" s="29">
        <v>3.5669400000000002E-3</v>
      </c>
      <c r="E77" s="29">
        <v>3.5669400000000002E-3</v>
      </c>
      <c r="F77" s="29">
        <v>0.224213724</v>
      </c>
      <c r="G77" s="29">
        <v>0.224213724</v>
      </c>
    </row>
    <row r="78" spans="1:7" x14ac:dyDescent="0.35">
      <c r="A78" t="s">
        <v>208</v>
      </c>
      <c r="B78">
        <v>2037</v>
      </c>
      <c r="C78" s="29">
        <v>3.7814290000000002E-3</v>
      </c>
      <c r="D78" s="29">
        <v>3.7814290000000002E-3</v>
      </c>
      <c r="E78" s="29">
        <v>3.7814290000000002E-3</v>
      </c>
      <c r="F78" s="29">
        <v>0.251758013</v>
      </c>
      <c r="G78" s="29">
        <v>0.251758013</v>
      </c>
    </row>
    <row r="79" spans="1:7" x14ac:dyDescent="0.35">
      <c r="A79" t="s">
        <v>208</v>
      </c>
      <c r="B79">
        <v>2038</v>
      </c>
      <c r="C79" s="29">
        <v>3.9981180000000002E-3</v>
      </c>
      <c r="D79" s="29">
        <v>3.9981180000000002E-3</v>
      </c>
      <c r="E79" s="29">
        <v>3.9981180000000002E-3</v>
      </c>
      <c r="F79" s="29">
        <v>0.27830375000000002</v>
      </c>
      <c r="G79" s="29">
        <v>0.27830375000000002</v>
      </c>
    </row>
    <row r="80" spans="1:7" x14ac:dyDescent="0.35">
      <c r="A80" t="s">
        <v>208</v>
      </c>
      <c r="B80">
        <v>2039</v>
      </c>
      <c r="C80" s="29">
        <v>4.2198260000000003E-3</v>
      </c>
      <c r="D80" s="29">
        <v>4.2198260000000003E-3</v>
      </c>
      <c r="E80" s="29">
        <v>4.2198260000000003E-3</v>
      </c>
      <c r="F80" s="29">
        <v>0.30357849199999998</v>
      </c>
      <c r="G80" s="29">
        <v>0.30357849199999998</v>
      </c>
    </row>
    <row r="81" spans="1:7" x14ac:dyDescent="0.35">
      <c r="A81" t="s">
        <v>208</v>
      </c>
      <c r="B81">
        <v>2040</v>
      </c>
      <c r="C81" s="29">
        <v>4.448624E-3</v>
      </c>
      <c r="D81" s="29">
        <v>4.448624E-3</v>
      </c>
      <c r="E81" s="29">
        <v>4.448624E-3</v>
      </c>
      <c r="F81" s="29">
        <v>0.32763684900000001</v>
      </c>
      <c r="G81" s="29">
        <v>0.32763684900000001</v>
      </c>
    </row>
    <row r="82" spans="1:7" x14ac:dyDescent="0.35">
      <c r="A82" t="s">
        <v>208</v>
      </c>
      <c r="B82">
        <v>2041</v>
      </c>
      <c r="C82" s="29">
        <v>4.678415E-3</v>
      </c>
      <c r="D82" s="29">
        <v>4.678415E-3</v>
      </c>
      <c r="E82" s="29">
        <v>4.678415E-3</v>
      </c>
      <c r="F82" s="29">
        <v>0.35042086</v>
      </c>
      <c r="G82" s="29">
        <v>0.35042086</v>
      </c>
    </row>
    <row r="83" spans="1:7" x14ac:dyDescent="0.35">
      <c r="A83" t="s">
        <v>208</v>
      </c>
      <c r="B83">
        <v>2042</v>
      </c>
      <c r="C83" s="29">
        <v>4.910925E-3</v>
      </c>
      <c r="D83" s="29">
        <v>4.910925E-3</v>
      </c>
      <c r="E83" s="29">
        <v>4.910925E-3</v>
      </c>
      <c r="F83" s="29">
        <v>0.371888357</v>
      </c>
      <c r="G83" s="29">
        <v>0.371888357</v>
      </c>
    </row>
    <row r="84" spans="1:7" x14ac:dyDescent="0.35">
      <c r="A84" t="s">
        <v>208</v>
      </c>
      <c r="B84">
        <v>2043</v>
      </c>
      <c r="C84" s="29">
        <v>5.1371760000000002E-3</v>
      </c>
      <c r="D84" s="29">
        <v>5.1371760000000002E-3</v>
      </c>
      <c r="E84" s="29">
        <v>5.1371760000000002E-3</v>
      </c>
      <c r="F84" s="29">
        <v>0.39163393099999999</v>
      </c>
      <c r="G84" s="29">
        <v>0.39163393099999999</v>
      </c>
    </row>
    <row r="85" spans="1:7" x14ac:dyDescent="0.35">
      <c r="A85" t="s">
        <v>208</v>
      </c>
      <c r="B85">
        <v>2044</v>
      </c>
      <c r="C85" s="29">
        <v>5.3573889999999997E-3</v>
      </c>
      <c r="D85" s="29">
        <v>5.3573889999999997E-3</v>
      </c>
      <c r="E85" s="29">
        <v>5.3573889999999997E-3</v>
      </c>
      <c r="F85" s="29">
        <v>0.41053531700000001</v>
      </c>
      <c r="G85" s="29">
        <v>0.41053531700000001</v>
      </c>
    </row>
    <row r="86" spans="1:7" x14ac:dyDescent="0.35">
      <c r="A86" t="s">
        <v>208</v>
      </c>
      <c r="B86">
        <v>2045</v>
      </c>
      <c r="C86" s="29">
        <v>5.5812450000000003E-3</v>
      </c>
      <c r="D86" s="29">
        <v>5.5812450000000003E-3</v>
      </c>
      <c r="E86" s="29">
        <v>5.5812450000000003E-3</v>
      </c>
      <c r="F86" s="29">
        <v>0.427685765</v>
      </c>
      <c r="G86" s="29">
        <v>0.427685765</v>
      </c>
    </row>
    <row r="87" spans="1:7" x14ac:dyDescent="0.35">
      <c r="A87" t="s">
        <v>208</v>
      </c>
      <c r="B87">
        <v>2046</v>
      </c>
      <c r="C87" s="29">
        <v>5.811709E-3</v>
      </c>
      <c r="D87" s="29">
        <v>5.811709E-3</v>
      </c>
      <c r="E87" s="29">
        <v>5.811709E-3</v>
      </c>
      <c r="F87" s="29">
        <v>0.443591191</v>
      </c>
      <c r="G87" s="29">
        <v>0.443591191</v>
      </c>
    </row>
    <row r="88" spans="1:7" x14ac:dyDescent="0.35">
      <c r="A88" t="s">
        <v>208</v>
      </c>
      <c r="B88">
        <v>2047</v>
      </c>
      <c r="C88" s="29">
        <v>6.0421320000000004E-3</v>
      </c>
      <c r="D88" s="29">
        <v>6.0421320000000004E-3</v>
      </c>
      <c r="E88" s="29">
        <v>6.0421320000000004E-3</v>
      </c>
      <c r="F88" s="29">
        <v>0.45792830099999998</v>
      </c>
      <c r="G88" s="29">
        <v>0.45792830099999998</v>
      </c>
    </row>
    <row r="89" spans="1:7" x14ac:dyDescent="0.35">
      <c r="A89" t="s">
        <v>208</v>
      </c>
      <c r="B89">
        <v>2048</v>
      </c>
      <c r="C89" s="29">
        <v>6.2732539999999998E-3</v>
      </c>
      <c r="D89" s="29">
        <v>6.2732539999999998E-3</v>
      </c>
      <c r="E89" s="29">
        <v>6.2732539999999998E-3</v>
      </c>
      <c r="F89" s="29">
        <v>0.47101606299999998</v>
      </c>
      <c r="G89" s="29">
        <v>0.47101606299999998</v>
      </c>
    </row>
    <row r="90" spans="1:7" x14ac:dyDescent="0.35">
      <c r="A90" t="s">
        <v>208</v>
      </c>
      <c r="B90">
        <v>2049</v>
      </c>
      <c r="C90" s="29">
        <v>6.5150909999999998E-3</v>
      </c>
      <c r="D90" s="29">
        <v>6.5150909999999998E-3</v>
      </c>
      <c r="E90" s="29">
        <v>6.5150909999999998E-3</v>
      </c>
      <c r="F90" s="29">
        <v>0.48289326799999999</v>
      </c>
      <c r="G90" s="29">
        <v>0.48289326799999999</v>
      </c>
    </row>
    <row r="91" spans="1:7" x14ac:dyDescent="0.35">
      <c r="A91" t="s">
        <v>208</v>
      </c>
      <c r="B91">
        <v>2050</v>
      </c>
      <c r="C91" s="29">
        <v>6.767019E-3</v>
      </c>
      <c r="D91" s="29">
        <v>6.767019E-3</v>
      </c>
      <c r="E91" s="29">
        <v>6.767019E-3</v>
      </c>
      <c r="F91" s="29">
        <v>0.49398055200000002</v>
      </c>
      <c r="G91" s="29">
        <v>0.49398055200000002</v>
      </c>
    </row>
    <row r="92" spans="1:7" x14ac:dyDescent="0.35">
      <c r="A92" t="s">
        <v>194</v>
      </c>
      <c r="B92">
        <v>2021</v>
      </c>
      <c r="C92" s="29">
        <v>1.2819571E-2</v>
      </c>
      <c r="D92" s="29">
        <v>1.2819571E-2</v>
      </c>
      <c r="E92" s="29">
        <v>1.2819571E-2</v>
      </c>
      <c r="F92" s="29">
        <v>1.2819571E-2</v>
      </c>
      <c r="G92" s="29">
        <v>1.2819571E-2</v>
      </c>
    </row>
    <row r="93" spans="1:7" x14ac:dyDescent="0.35">
      <c r="A93" t="s">
        <v>194</v>
      </c>
      <c r="B93">
        <v>2022</v>
      </c>
      <c r="C93" s="29">
        <v>1.4978317E-2</v>
      </c>
      <c r="D93" s="29">
        <v>3.2432076999999997E-2</v>
      </c>
      <c r="E93" s="29">
        <v>2.3705197000000001E-2</v>
      </c>
      <c r="F93" s="29">
        <v>2.3705197000000001E-2</v>
      </c>
      <c r="G93" s="29">
        <v>3.2432076999999997E-2</v>
      </c>
    </row>
    <row r="94" spans="1:7" x14ac:dyDescent="0.35">
      <c r="A94" t="s">
        <v>194</v>
      </c>
      <c r="B94">
        <v>2023</v>
      </c>
      <c r="C94" s="29">
        <v>1.7291666000000001E-2</v>
      </c>
      <c r="D94" s="29">
        <v>5.2044582999999998E-2</v>
      </c>
      <c r="E94" s="29">
        <v>3.4668124000000002E-2</v>
      </c>
      <c r="F94" s="29">
        <v>3.4668124000000002E-2</v>
      </c>
      <c r="G94" s="29">
        <v>5.2044582999999998E-2</v>
      </c>
    </row>
    <row r="95" spans="1:7" x14ac:dyDescent="0.35">
      <c r="A95" t="s">
        <v>194</v>
      </c>
      <c r="B95">
        <v>2024</v>
      </c>
      <c r="C95" s="29">
        <v>1.9724051999999999E-2</v>
      </c>
      <c r="D95" s="29">
        <v>7.1657088999999993E-2</v>
      </c>
      <c r="E95" s="29">
        <v>4.5690570999999999E-2</v>
      </c>
      <c r="F95" s="29">
        <v>4.5690570999999999E-2</v>
      </c>
      <c r="G95" s="29">
        <v>7.1657088999999993E-2</v>
      </c>
    </row>
    <row r="96" spans="1:7" x14ac:dyDescent="0.35">
      <c r="A96" t="s">
        <v>194</v>
      </c>
      <c r="B96">
        <v>2025</v>
      </c>
      <c r="C96" s="29">
        <v>2.2165526000000001E-2</v>
      </c>
      <c r="D96" s="29">
        <v>9.1269594999999995E-2</v>
      </c>
      <c r="E96" s="29">
        <v>5.671756E-2</v>
      </c>
      <c r="F96" s="29">
        <v>5.671756E-2</v>
      </c>
      <c r="G96" s="29">
        <v>9.1269594999999995E-2</v>
      </c>
    </row>
    <row r="97" spans="1:7" x14ac:dyDescent="0.35">
      <c r="A97" t="s">
        <v>194</v>
      </c>
      <c r="B97">
        <v>2026</v>
      </c>
      <c r="C97" s="29">
        <v>2.4657855999999999E-2</v>
      </c>
      <c r="D97" s="29">
        <v>0.12079788800000001</v>
      </c>
      <c r="E97" s="29">
        <v>7.2727871999999999E-2</v>
      </c>
      <c r="F97" s="29">
        <v>7.2727871999999999E-2</v>
      </c>
      <c r="G97" s="29">
        <v>0.12079788800000001</v>
      </c>
    </row>
    <row r="98" spans="1:7" x14ac:dyDescent="0.35">
      <c r="A98" t="s">
        <v>194</v>
      </c>
      <c r="B98">
        <v>2027</v>
      </c>
      <c r="C98" s="29">
        <v>2.7184686999999999E-2</v>
      </c>
      <c r="D98" s="29">
        <v>0.151904497</v>
      </c>
      <c r="E98" s="29">
        <v>8.9544592000000006E-2</v>
      </c>
      <c r="F98" s="29">
        <v>8.9544592000000006E-2</v>
      </c>
      <c r="G98" s="29">
        <v>0.151904497</v>
      </c>
    </row>
    <row r="99" spans="1:7" x14ac:dyDescent="0.35">
      <c r="A99" t="s">
        <v>194</v>
      </c>
      <c r="B99">
        <v>2028</v>
      </c>
      <c r="C99" s="29">
        <v>2.9742540000000001E-2</v>
      </c>
      <c r="D99" s="29">
        <v>0.18432768499999999</v>
      </c>
      <c r="E99" s="29">
        <v>0.107035112</v>
      </c>
      <c r="F99" s="29">
        <v>0.107035112</v>
      </c>
      <c r="G99" s="29">
        <v>0.18432768499999999</v>
      </c>
    </row>
    <row r="100" spans="1:7" x14ac:dyDescent="0.35">
      <c r="A100" t="s">
        <v>194</v>
      </c>
      <c r="B100">
        <v>2029</v>
      </c>
      <c r="C100" s="29">
        <v>3.2380491999999997E-2</v>
      </c>
      <c r="D100" s="29">
        <v>0.22622346600000001</v>
      </c>
      <c r="E100" s="29">
        <v>0.12930197900000001</v>
      </c>
      <c r="F100" s="29">
        <v>0.12930197900000001</v>
      </c>
      <c r="G100" s="29">
        <v>0.22622346600000001</v>
      </c>
    </row>
    <row r="101" spans="1:7" x14ac:dyDescent="0.35">
      <c r="A101" t="s">
        <v>194</v>
      </c>
      <c r="B101">
        <v>2030</v>
      </c>
      <c r="C101" s="29">
        <v>3.5179580000000002E-2</v>
      </c>
      <c r="D101" s="29">
        <v>0.27353129100000001</v>
      </c>
      <c r="E101" s="29">
        <v>0.15435543600000001</v>
      </c>
      <c r="F101" s="29">
        <v>0.15435543600000001</v>
      </c>
      <c r="G101" s="29">
        <v>0.27353129100000001</v>
      </c>
    </row>
    <row r="102" spans="1:7" x14ac:dyDescent="0.35">
      <c r="A102" t="s">
        <v>194</v>
      </c>
      <c r="B102">
        <v>2031</v>
      </c>
      <c r="C102" s="29">
        <v>3.8168565000000002E-2</v>
      </c>
      <c r="D102" s="29">
        <v>0.32771400000000001</v>
      </c>
      <c r="E102" s="29">
        <v>0.18294128300000001</v>
      </c>
      <c r="F102" s="29">
        <v>0.18294128300000001</v>
      </c>
      <c r="G102" s="29">
        <v>0.32771400000000001</v>
      </c>
    </row>
    <row r="103" spans="1:7" x14ac:dyDescent="0.35">
      <c r="A103" t="s">
        <v>194</v>
      </c>
      <c r="B103">
        <v>2032</v>
      </c>
      <c r="C103" s="29">
        <v>4.1333373999999999E-2</v>
      </c>
      <c r="D103" s="29">
        <v>0.38171043300000002</v>
      </c>
      <c r="E103" s="29">
        <v>0.21152190400000001</v>
      </c>
      <c r="F103" s="29">
        <v>0.21152190400000001</v>
      </c>
      <c r="G103" s="29">
        <v>0.38171043300000002</v>
      </c>
    </row>
    <row r="104" spans="1:7" x14ac:dyDescent="0.35">
      <c r="A104" t="s">
        <v>194</v>
      </c>
      <c r="B104">
        <v>2033</v>
      </c>
      <c r="C104" s="29">
        <v>4.4657994999999999E-2</v>
      </c>
      <c r="D104" s="29">
        <v>0.43484204300000001</v>
      </c>
      <c r="E104" s="29">
        <v>0.23975001900000001</v>
      </c>
      <c r="F104" s="29">
        <v>0.23975001900000001</v>
      </c>
      <c r="G104" s="29">
        <v>0.43484204300000001</v>
      </c>
    </row>
    <row r="105" spans="1:7" x14ac:dyDescent="0.35">
      <c r="A105" t="s">
        <v>194</v>
      </c>
      <c r="B105">
        <v>2034</v>
      </c>
      <c r="C105" s="29">
        <v>4.8126879999999997E-2</v>
      </c>
      <c r="D105" s="29">
        <v>0.48654755500000002</v>
      </c>
      <c r="E105" s="29">
        <v>0.26733721799999999</v>
      </c>
      <c r="F105" s="29">
        <v>0.26733721799999999</v>
      </c>
      <c r="G105" s="29">
        <v>0.48654755500000002</v>
      </c>
    </row>
    <row r="106" spans="1:7" x14ac:dyDescent="0.35">
      <c r="A106" t="s">
        <v>194</v>
      </c>
      <c r="B106">
        <v>2035</v>
      </c>
      <c r="C106" s="29">
        <v>5.1706859000000001E-2</v>
      </c>
      <c r="D106" s="29">
        <v>0.53597180700000002</v>
      </c>
      <c r="E106" s="29">
        <v>0.29383933299999998</v>
      </c>
      <c r="F106" s="29">
        <v>0.29383933299999998</v>
      </c>
      <c r="G106" s="29">
        <v>0.53597180700000002</v>
      </c>
    </row>
    <row r="107" spans="1:7" x14ac:dyDescent="0.35">
      <c r="A107" t="s">
        <v>194</v>
      </c>
      <c r="B107">
        <v>2036</v>
      </c>
      <c r="C107" s="29">
        <v>5.5368675999999999E-2</v>
      </c>
      <c r="D107" s="29">
        <v>0.58298080299999999</v>
      </c>
      <c r="E107" s="29">
        <v>0.31917473899999999</v>
      </c>
      <c r="F107" s="29">
        <v>0.31917473899999999</v>
      </c>
      <c r="G107" s="29">
        <v>0.58298080299999999</v>
      </c>
    </row>
    <row r="108" spans="1:7" x14ac:dyDescent="0.35">
      <c r="A108" t="s">
        <v>194</v>
      </c>
      <c r="B108">
        <v>2037</v>
      </c>
      <c r="C108" s="29">
        <v>5.9080055999999999E-2</v>
      </c>
      <c r="D108" s="29">
        <v>0.62722744100000005</v>
      </c>
      <c r="E108" s="29">
        <v>0.34315374799999998</v>
      </c>
      <c r="F108" s="29">
        <v>0.34315374799999998</v>
      </c>
      <c r="G108" s="29">
        <v>0.62722744100000005</v>
      </c>
    </row>
    <row r="109" spans="1:7" x14ac:dyDescent="0.35">
      <c r="A109" t="s">
        <v>194</v>
      </c>
      <c r="B109">
        <v>2038</v>
      </c>
      <c r="C109" s="29">
        <v>6.2828703E-2</v>
      </c>
      <c r="D109" s="29">
        <v>0.66866269899999997</v>
      </c>
      <c r="E109" s="29">
        <v>0.36574570099999998</v>
      </c>
      <c r="F109" s="29">
        <v>0.36574570099999998</v>
      </c>
      <c r="G109" s="29">
        <v>0.66866269899999997</v>
      </c>
    </row>
    <row r="110" spans="1:7" x14ac:dyDescent="0.35">
      <c r="A110" t="s">
        <v>194</v>
      </c>
      <c r="B110">
        <v>2039</v>
      </c>
      <c r="C110" s="29">
        <v>6.6573137000000004E-2</v>
      </c>
      <c r="D110" s="29">
        <v>0.70719917499999996</v>
      </c>
      <c r="E110" s="29">
        <v>0.38688615599999998</v>
      </c>
      <c r="F110" s="29">
        <v>0.38688615599999998</v>
      </c>
      <c r="G110" s="29">
        <v>0.70719917499999996</v>
      </c>
    </row>
    <row r="111" spans="1:7" x14ac:dyDescent="0.35">
      <c r="A111" t="s">
        <v>194</v>
      </c>
      <c r="B111">
        <v>2040</v>
      </c>
      <c r="C111" s="29">
        <v>7.0318973000000007E-2</v>
      </c>
      <c r="D111" s="29">
        <v>0.74286130100000003</v>
      </c>
      <c r="E111" s="29">
        <v>0.40659013700000002</v>
      </c>
      <c r="F111" s="29">
        <v>0.40659013700000002</v>
      </c>
      <c r="G111" s="29">
        <v>0.74286130100000003</v>
      </c>
    </row>
    <row r="112" spans="1:7" x14ac:dyDescent="0.35">
      <c r="A112" t="s">
        <v>194</v>
      </c>
      <c r="B112">
        <v>2041</v>
      </c>
      <c r="C112" s="29">
        <v>7.4044963000000005E-2</v>
      </c>
      <c r="D112" s="29">
        <v>0.77541419899999997</v>
      </c>
      <c r="E112" s="29">
        <v>0.42472958100000002</v>
      </c>
      <c r="F112" s="29">
        <v>0.42472958100000002</v>
      </c>
      <c r="G112" s="29">
        <v>0.77541419899999997</v>
      </c>
    </row>
    <row r="113" spans="1:7" x14ac:dyDescent="0.35">
      <c r="A113" t="s">
        <v>194</v>
      </c>
      <c r="B113">
        <v>2042</v>
      </c>
      <c r="C113" s="29">
        <v>7.7742975000000006E-2</v>
      </c>
      <c r="D113" s="29">
        <v>0.80508984299999997</v>
      </c>
      <c r="E113" s="29">
        <v>0.44141640900000001</v>
      </c>
      <c r="F113" s="29">
        <v>0.44141640900000001</v>
      </c>
      <c r="G113" s="29">
        <v>0.80508984299999997</v>
      </c>
    </row>
    <row r="114" spans="1:7" x14ac:dyDescent="0.35">
      <c r="A114" t="s">
        <v>194</v>
      </c>
      <c r="B114">
        <v>2043</v>
      </c>
      <c r="C114" s="29">
        <v>8.1487271E-2</v>
      </c>
      <c r="D114" s="29">
        <v>0.83183468400000005</v>
      </c>
      <c r="E114" s="29">
        <v>0.456660978</v>
      </c>
      <c r="F114" s="29">
        <v>0.456660978</v>
      </c>
      <c r="G114" s="29">
        <v>0.83183468400000005</v>
      </c>
    </row>
    <row r="115" spans="1:7" x14ac:dyDescent="0.35">
      <c r="A115" t="s">
        <v>194</v>
      </c>
      <c r="B115">
        <v>2044</v>
      </c>
      <c r="C115" s="29">
        <v>8.5272758000000004E-2</v>
      </c>
      <c r="D115" s="29">
        <v>0.85566570900000005</v>
      </c>
      <c r="E115" s="29">
        <v>0.47046923400000001</v>
      </c>
      <c r="F115" s="29">
        <v>0.47046923400000001</v>
      </c>
      <c r="G115" s="29">
        <v>0.85566570900000005</v>
      </c>
    </row>
    <row r="116" spans="1:7" x14ac:dyDescent="0.35">
      <c r="A116" t="s">
        <v>194</v>
      </c>
      <c r="B116">
        <v>2045</v>
      </c>
      <c r="C116" s="29">
        <v>8.9111153999999998E-2</v>
      </c>
      <c r="D116" s="29">
        <v>0.87680356800000003</v>
      </c>
      <c r="E116" s="29">
        <v>0.48295736099999997</v>
      </c>
      <c r="F116" s="29">
        <v>0.48295736099999997</v>
      </c>
      <c r="G116" s="29">
        <v>0.87680356800000003</v>
      </c>
    </row>
    <row r="117" spans="1:7" x14ac:dyDescent="0.35">
      <c r="A117" t="s">
        <v>194</v>
      </c>
      <c r="B117">
        <v>2046</v>
      </c>
      <c r="C117" s="29">
        <v>9.3001159E-2</v>
      </c>
      <c r="D117" s="29">
        <v>0.89522190400000001</v>
      </c>
      <c r="E117" s="29">
        <v>0.49411153099999999</v>
      </c>
      <c r="F117" s="29">
        <v>0.49411153099999999</v>
      </c>
      <c r="G117" s="29">
        <v>0.89522190400000001</v>
      </c>
    </row>
    <row r="118" spans="1:7" x14ac:dyDescent="0.35">
      <c r="A118" t="s">
        <v>194</v>
      </c>
      <c r="B118">
        <v>2047</v>
      </c>
      <c r="C118" s="29">
        <v>9.6893360999999997E-2</v>
      </c>
      <c r="D118" s="29">
        <v>0.91109814099999997</v>
      </c>
      <c r="E118" s="29">
        <v>0.50399575100000005</v>
      </c>
      <c r="F118" s="29">
        <v>0.50399575100000005</v>
      </c>
      <c r="G118" s="29">
        <v>0.91109814099999997</v>
      </c>
    </row>
    <row r="119" spans="1:7" x14ac:dyDescent="0.35">
      <c r="A119" t="s">
        <v>194</v>
      </c>
      <c r="B119">
        <v>2048</v>
      </c>
      <c r="C119" s="29">
        <v>0.100758687</v>
      </c>
      <c r="D119" s="29">
        <v>0.92468582899999996</v>
      </c>
      <c r="E119" s="29">
        <v>0.51272225800000004</v>
      </c>
      <c r="F119" s="29">
        <v>0.51272225800000004</v>
      </c>
      <c r="G119" s="29">
        <v>0.92468582899999996</v>
      </c>
    </row>
    <row r="120" spans="1:7" x14ac:dyDescent="0.35">
      <c r="A120" t="s">
        <v>194</v>
      </c>
      <c r="B120">
        <v>2049</v>
      </c>
      <c r="C120" s="29">
        <v>0.104609438</v>
      </c>
      <c r="D120" s="29">
        <v>0.93609858000000001</v>
      </c>
      <c r="E120" s="29">
        <v>0.52035400899999995</v>
      </c>
      <c r="F120" s="29">
        <v>0.52035400899999995</v>
      </c>
      <c r="G120" s="29">
        <v>0.93609858000000001</v>
      </c>
    </row>
    <row r="121" spans="1:7" x14ac:dyDescent="0.35">
      <c r="A121" t="s">
        <v>194</v>
      </c>
      <c r="B121">
        <v>2050</v>
      </c>
      <c r="C121" s="29">
        <v>0.108448247</v>
      </c>
      <c r="D121" s="29">
        <v>0.94575257999999995</v>
      </c>
      <c r="E121" s="29">
        <v>0.52710000000000001</v>
      </c>
      <c r="F121" s="29">
        <v>0.52710041399999996</v>
      </c>
      <c r="G121" s="29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3"/>
  <sheetViews>
    <sheetView workbookViewId="0">
      <selection activeCell="C53" sqref="C53:F53"/>
    </sheetView>
  </sheetViews>
  <sheetFormatPr defaultRowHeight="14.5" x14ac:dyDescent="0.35"/>
  <cols>
    <col min="3" max="3" width="14.6328125" customWidth="1"/>
    <col min="4" max="4" width="19.90625" customWidth="1"/>
    <col min="5" max="5" width="16.179687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306</v>
      </c>
      <c r="D1" t="s">
        <v>307</v>
      </c>
      <c r="E1" t="s">
        <v>308</v>
      </c>
      <c r="F1" t="s">
        <v>309</v>
      </c>
    </row>
    <row r="2" spans="1:6" x14ac:dyDescent="0.35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5">
      <c r="A34" t="s">
        <v>242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5">
      <c r="A41" t="s">
        <v>243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  <row r="53" spans="1:6" x14ac:dyDescent="0.35">
      <c r="A53" t="s">
        <v>336</v>
      </c>
      <c r="B53">
        <v>2019</v>
      </c>
      <c r="C53">
        <f>SUM(C2:C52)</f>
        <v>63360965</v>
      </c>
      <c r="D53">
        <f t="shared" ref="D53:F53" si="0">SUM(D2:D52)</f>
        <v>12707307116</v>
      </c>
      <c r="E53">
        <f t="shared" si="0"/>
        <v>17340181005</v>
      </c>
      <c r="F53">
        <f t="shared" si="0"/>
        <v>2493009013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topLeftCell="A43" workbookViewId="0">
      <selection activeCell="B2" sqref="B2:B33"/>
    </sheetView>
  </sheetViews>
  <sheetFormatPr defaultRowHeight="14.5" x14ac:dyDescent="0.35"/>
  <cols>
    <col min="2" max="2" width="37" customWidth="1"/>
    <col min="3" max="3" width="33.179687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310</v>
      </c>
      <c r="C1" t="s">
        <v>311</v>
      </c>
      <c r="D1" t="s">
        <v>312</v>
      </c>
      <c r="E1" t="s">
        <v>313</v>
      </c>
    </row>
    <row r="2" spans="1:5" x14ac:dyDescent="0.35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5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5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5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5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5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5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5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5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5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5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5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5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5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5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5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5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5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5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5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5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5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5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5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5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5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5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5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5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5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5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5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3"/>
  <sheetViews>
    <sheetView topLeftCell="A40" workbookViewId="0">
      <selection activeCell="A54" sqref="A54"/>
    </sheetView>
  </sheetViews>
  <sheetFormatPr defaultRowHeight="14.5" x14ac:dyDescent="0.35"/>
  <cols>
    <col min="1" max="1" width="17.81640625" bestFit="1" customWidth="1"/>
    <col min="2" max="2" width="6.90625" bestFit="1" customWidth="1"/>
    <col min="3" max="3" width="21" bestFit="1" customWidth="1"/>
  </cols>
  <sheetData>
    <row r="1" spans="1:3" x14ac:dyDescent="0.35">
      <c r="A1" t="s">
        <v>0</v>
      </c>
      <c r="B1" t="s">
        <v>1</v>
      </c>
      <c r="C1" t="s">
        <v>314</v>
      </c>
    </row>
    <row r="2" spans="1:3" x14ac:dyDescent="0.35">
      <c r="A2" t="s">
        <v>3</v>
      </c>
      <c r="B2">
        <v>2019</v>
      </c>
      <c r="C2" s="25">
        <v>2544.9260079999999</v>
      </c>
    </row>
    <row r="3" spans="1:3" x14ac:dyDescent="0.35">
      <c r="A3" t="s">
        <v>4</v>
      </c>
      <c r="B3">
        <v>2019</v>
      </c>
      <c r="C3" s="25">
        <v>528.20411999999999</v>
      </c>
    </row>
    <row r="4" spans="1:3" x14ac:dyDescent="0.35">
      <c r="A4" t="s">
        <v>5</v>
      </c>
      <c r="B4">
        <v>2019</v>
      </c>
      <c r="C4" s="25">
        <v>2742.7392730000001</v>
      </c>
    </row>
    <row r="5" spans="1:3" x14ac:dyDescent="0.35">
      <c r="A5" t="s">
        <v>6</v>
      </c>
      <c r="B5">
        <v>2019</v>
      </c>
      <c r="C5" s="25">
        <v>919.16938500000003</v>
      </c>
    </row>
    <row r="6" spans="1:3" x14ac:dyDescent="0.35">
      <c r="A6" t="s">
        <v>7</v>
      </c>
      <c r="B6">
        <v>2019</v>
      </c>
      <c r="C6" s="25">
        <v>3058.7594589999999</v>
      </c>
    </row>
    <row r="7" spans="1:3" x14ac:dyDescent="0.35">
      <c r="A7" t="s">
        <v>8</v>
      </c>
      <c r="B7">
        <v>2019</v>
      </c>
      <c r="C7" s="25">
        <v>1576.650177</v>
      </c>
    </row>
    <row r="8" spans="1:3" x14ac:dyDescent="0.35">
      <c r="A8" t="s">
        <v>9</v>
      </c>
      <c r="B8">
        <v>2019</v>
      </c>
      <c r="C8" s="25">
        <v>124.285844</v>
      </c>
    </row>
    <row r="9" spans="1:3" x14ac:dyDescent="0.35">
      <c r="A9" t="s">
        <v>10</v>
      </c>
      <c r="B9">
        <v>2019</v>
      </c>
      <c r="C9" s="25">
        <v>68.408856999999998</v>
      </c>
    </row>
    <row r="10" spans="1:3" x14ac:dyDescent="0.35">
      <c r="A10" t="s">
        <v>12</v>
      </c>
      <c r="B10">
        <v>2019</v>
      </c>
      <c r="C10" s="25">
        <v>2099.6773600000001</v>
      </c>
    </row>
    <row r="11" spans="1:3" x14ac:dyDescent="0.35">
      <c r="A11" t="s">
        <v>13</v>
      </c>
      <c r="B11">
        <v>2019</v>
      </c>
      <c r="C11" s="25">
        <v>2559.3411980000001</v>
      </c>
    </row>
    <row r="12" spans="1:3" x14ac:dyDescent="0.35">
      <c r="A12" t="s">
        <v>14</v>
      </c>
      <c r="B12">
        <v>2019</v>
      </c>
      <c r="C12" s="25">
        <v>0</v>
      </c>
    </row>
    <row r="13" spans="1:3" x14ac:dyDescent="0.35">
      <c r="A13" t="s">
        <v>15</v>
      </c>
      <c r="B13">
        <v>2019</v>
      </c>
      <c r="C13" s="25">
        <v>776.02855</v>
      </c>
    </row>
    <row r="14" spans="1:3" x14ac:dyDescent="0.35">
      <c r="A14" t="s">
        <v>16</v>
      </c>
      <c r="B14">
        <v>2019</v>
      </c>
      <c r="C14" s="25">
        <v>1728.2273210000001</v>
      </c>
    </row>
    <row r="15" spans="1:3" x14ac:dyDescent="0.35">
      <c r="A15" t="s">
        <v>17</v>
      </c>
      <c r="B15">
        <v>2019</v>
      </c>
      <c r="C15" s="25">
        <v>3220.6832810000001</v>
      </c>
    </row>
    <row r="16" spans="1:3" x14ac:dyDescent="0.35">
      <c r="A16" t="s">
        <v>18</v>
      </c>
      <c r="B16">
        <v>2019</v>
      </c>
      <c r="C16" s="25">
        <v>1406.031669</v>
      </c>
    </row>
    <row r="17" spans="1:3" x14ac:dyDescent="0.35">
      <c r="A17" t="s">
        <v>19</v>
      </c>
      <c r="B17">
        <v>2019</v>
      </c>
      <c r="C17" s="25">
        <v>1355.7049649999999</v>
      </c>
    </row>
    <row r="18" spans="1:3" x14ac:dyDescent="0.35">
      <c r="A18" t="s">
        <v>20</v>
      </c>
      <c r="B18">
        <v>2019</v>
      </c>
      <c r="C18" s="25">
        <v>838.26026100000001</v>
      </c>
    </row>
    <row r="19" spans="1:3" x14ac:dyDescent="0.35">
      <c r="A19" t="s">
        <v>21</v>
      </c>
      <c r="B19">
        <v>2019</v>
      </c>
      <c r="C19" s="25">
        <v>3629.22712</v>
      </c>
    </row>
    <row r="20" spans="1:3" x14ac:dyDescent="0.35">
      <c r="A20" t="s">
        <v>22</v>
      </c>
      <c r="B20">
        <v>2019</v>
      </c>
      <c r="C20" s="25">
        <v>289.01132999999999</v>
      </c>
    </row>
    <row r="21" spans="1:3" x14ac:dyDescent="0.35">
      <c r="A21" t="s">
        <v>23</v>
      </c>
      <c r="B21">
        <v>2019</v>
      </c>
      <c r="C21" s="25">
        <v>202.66588999999999</v>
      </c>
    </row>
    <row r="22" spans="1:3" x14ac:dyDescent="0.35">
      <c r="A22" t="s">
        <v>24</v>
      </c>
      <c r="B22">
        <v>2019</v>
      </c>
      <c r="C22" s="25">
        <v>32.735925999999999</v>
      </c>
    </row>
    <row r="23" spans="1:3" x14ac:dyDescent="0.35">
      <c r="A23" t="s">
        <v>25</v>
      </c>
      <c r="B23">
        <v>2019</v>
      </c>
      <c r="C23" s="25">
        <v>5238.3535920000004</v>
      </c>
    </row>
    <row r="24" spans="1:3" x14ac:dyDescent="0.35">
      <c r="A24" t="s">
        <v>26</v>
      </c>
      <c r="B24">
        <v>2019</v>
      </c>
      <c r="C24" s="25">
        <v>3736.2349819999999</v>
      </c>
    </row>
    <row r="25" spans="1:3" x14ac:dyDescent="0.35">
      <c r="A25" t="s">
        <v>27</v>
      </c>
      <c r="B25">
        <v>2019</v>
      </c>
      <c r="C25" s="25">
        <v>436.77159799999998</v>
      </c>
    </row>
    <row r="26" spans="1:3" x14ac:dyDescent="0.35">
      <c r="A26" t="s">
        <v>28</v>
      </c>
      <c r="B26">
        <v>2019</v>
      </c>
      <c r="C26" s="25">
        <v>1331.77171</v>
      </c>
    </row>
    <row r="27" spans="1:3" x14ac:dyDescent="0.35">
      <c r="A27" t="s">
        <v>29</v>
      </c>
      <c r="B27">
        <v>2019</v>
      </c>
      <c r="C27" s="25">
        <v>392.95020499999998</v>
      </c>
    </row>
    <row r="28" spans="1:3" x14ac:dyDescent="0.35">
      <c r="A28" t="s">
        <v>30</v>
      </c>
      <c r="B28">
        <v>2019</v>
      </c>
      <c r="C28" s="25">
        <v>2520.9028709999998</v>
      </c>
    </row>
    <row r="29" spans="1:3" x14ac:dyDescent="0.35">
      <c r="A29" t="s">
        <v>31</v>
      </c>
      <c r="B29">
        <v>2019</v>
      </c>
      <c r="C29" s="25">
        <v>0.39949800000000002</v>
      </c>
    </row>
    <row r="30" spans="1:3" x14ac:dyDescent="0.35">
      <c r="A30" t="s">
        <v>32</v>
      </c>
      <c r="B30">
        <v>2019</v>
      </c>
      <c r="C30" s="25">
        <v>6.7464389999999996</v>
      </c>
    </row>
    <row r="31" spans="1:3" x14ac:dyDescent="0.35">
      <c r="A31" t="s">
        <v>33</v>
      </c>
      <c r="B31">
        <v>2019</v>
      </c>
      <c r="C31" s="25">
        <v>146.33309</v>
      </c>
    </row>
    <row r="32" spans="1:3" x14ac:dyDescent="0.35">
      <c r="A32" t="s">
        <v>34</v>
      </c>
      <c r="B32">
        <v>2019</v>
      </c>
      <c r="C32" s="25">
        <v>1268.545292</v>
      </c>
    </row>
    <row r="33" spans="1:3" x14ac:dyDescent="0.35">
      <c r="A33" t="s">
        <v>35</v>
      </c>
      <c r="B33">
        <v>2019</v>
      </c>
      <c r="C33" s="25">
        <v>1466.120492</v>
      </c>
    </row>
    <row r="34" spans="1:3" x14ac:dyDescent="0.35">
      <c r="A34" t="s">
        <v>242</v>
      </c>
      <c r="B34">
        <v>2019</v>
      </c>
      <c r="C34" s="25">
        <v>846.11125000000004</v>
      </c>
    </row>
    <row r="35" spans="1:3" x14ac:dyDescent="0.35">
      <c r="A35" t="s">
        <v>36</v>
      </c>
      <c r="B35">
        <v>2019</v>
      </c>
      <c r="C35" s="25">
        <v>1731.6266539999999</v>
      </c>
    </row>
    <row r="36" spans="1:3" x14ac:dyDescent="0.35">
      <c r="A36" t="s">
        <v>37</v>
      </c>
      <c r="B36">
        <v>2019</v>
      </c>
      <c r="C36" s="25">
        <v>2446.222252</v>
      </c>
    </row>
    <row r="37" spans="1:3" x14ac:dyDescent="0.35">
      <c r="A37" t="s">
        <v>38</v>
      </c>
      <c r="B37">
        <v>2019</v>
      </c>
      <c r="C37" s="25">
        <v>1348.2959499999999</v>
      </c>
    </row>
    <row r="38" spans="1:3" x14ac:dyDescent="0.35">
      <c r="A38" t="s">
        <v>39</v>
      </c>
      <c r="B38">
        <v>2019</v>
      </c>
      <c r="C38" s="25">
        <v>643.62842799999999</v>
      </c>
    </row>
    <row r="39" spans="1:3" x14ac:dyDescent="0.35">
      <c r="A39" t="s">
        <v>40</v>
      </c>
      <c r="B39">
        <v>2019</v>
      </c>
      <c r="C39" s="25">
        <v>2471.5888890000001</v>
      </c>
    </row>
    <row r="40" spans="1:3" x14ac:dyDescent="0.35">
      <c r="A40" t="s">
        <v>41</v>
      </c>
      <c r="B40">
        <v>2019</v>
      </c>
      <c r="C40" s="25">
        <v>0</v>
      </c>
    </row>
    <row r="41" spans="1:3" x14ac:dyDescent="0.35">
      <c r="A41" t="s">
        <v>243</v>
      </c>
      <c r="B41">
        <v>2019</v>
      </c>
      <c r="C41" s="25">
        <v>262.18538899999999</v>
      </c>
    </row>
    <row r="42" spans="1:3" x14ac:dyDescent="0.35">
      <c r="A42" t="s">
        <v>42</v>
      </c>
      <c r="B42">
        <v>2019</v>
      </c>
      <c r="C42" s="25">
        <v>1249.9623240000001</v>
      </c>
    </row>
    <row r="43" spans="1:3" x14ac:dyDescent="0.35">
      <c r="A43" t="s">
        <v>43</v>
      </c>
      <c r="B43">
        <v>2019</v>
      </c>
      <c r="C43" s="25">
        <v>313.51528000000002</v>
      </c>
    </row>
    <row r="44" spans="1:3" x14ac:dyDescent="0.35">
      <c r="A44" t="s">
        <v>44</v>
      </c>
      <c r="B44">
        <v>2019</v>
      </c>
      <c r="C44" s="25">
        <v>29350.70019</v>
      </c>
    </row>
    <row r="45" spans="1:3" x14ac:dyDescent="0.35">
      <c r="A45" t="s">
        <v>45</v>
      </c>
      <c r="B45">
        <v>2019</v>
      </c>
      <c r="C45" s="25">
        <v>104.10359099999999</v>
      </c>
    </row>
    <row r="46" spans="1:3" x14ac:dyDescent="0.35">
      <c r="A46" t="s">
        <v>46</v>
      </c>
      <c r="B46">
        <v>2019</v>
      </c>
      <c r="C46" s="25">
        <v>49.774864000000001</v>
      </c>
    </row>
    <row r="47" spans="1:3" x14ac:dyDescent="0.35">
      <c r="A47" t="s">
        <v>47</v>
      </c>
      <c r="B47">
        <v>2019</v>
      </c>
      <c r="C47" s="25">
        <v>1483.9390149999999</v>
      </c>
    </row>
    <row r="48" spans="1:3" x14ac:dyDescent="0.35">
      <c r="A48" t="s">
        <v>48</v>
      </c>
      <c r="B48">
        <v>2019</v>
      </c>
      <c r="C48" s="25">
        <v>7847.6125190000002</v>
      </c>
    </row>
    <row r="49" spans="1:3" x14ac:dyDescent="0.35">
      <c r="A49" t="s">
        <v>11</v>
      </c>
      <c r="B49">
        <v>2019</v>
      </c>
      <c r="C49" s="25">
        <v>3.8760000000000001E-3</v>
      </c>
    </row>
    <row r="50" spans="1:3" x14ac:dyDescent="0.35">
      <c r="A50" t="s">
        <v>49</v>
      </c>
      <c r="B50">
        <v>2019</v>
      </c>
      <c r="C50" s="25">
        <v>1592.3095169999999</v>
      </c>
    </row>
    <row r="51" spans="1:3" x14ac:dyDescent="0.35">
      <c r="A51" t="s">
        <v>50</v>
      </c>
      <c r="B51">
        <v>2019</v>
      </c>
      <c r="C51" s="25">
        <v>1121.514772</v>
      </c>
    </row>
    <row r="52" spans="1:3" x14ac:dyDescent="0.35">
      <c r="A52" t="s">
        <v>51</v>
      </c>
      <c r="B52">
        <v>2019</v>
      </c>
      <c r="C52" s="25">
        <v>3863.6778559999998</v>
      </c>
    </row>
    <row r="53" spans="1:3" x14ac:dyDescent="0.35">
      <c r="A53" t="s">
        <v>336</v>
      </c>
      <c r="B53">
        <v>2019</v>
      </c>
      <c r="C53" s="25">
        <f>SUM(C2:C52)</f>
        <v>102972.64037900002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7"/>
  <sheetViews>
    <sheetView tabSelected="1" topLeftCell="A44" workbookViewId="0">
      <selection activeCell="C57" sqref="C57:E57"/>
    </sheetView>
  </sheetViews>
  <sheetFormatPr defaultRowHeight="14.5" x14ac:dyDescent="0.35"/>
  <cols>
    <col min="3" max="3" width="9.81640625" bestFit="1" customWidth="1"/>
  </cols>
  <sheetData>
    <row r="1" spans="1:5" x14ac:dyDescent="0.35">
      <c r="A1" s="23" t="s">
        <v>328</v>
      </c>
      <c r="B1" s="23" t="s">
        <v>1</v>
      </c>
      <c r="C1" s="23" t="s">
        <v>329</v>
      </c>
      <c r="D1" s="23" t="s">
        <v>330</v>
      </c>
      <c r="E1" s="23" t="s">
        <v>331</v>
      </c>
    </row>
    <row r="2" spans="1:5" x14ac:dyDescent="0.35">
      <c r="A2" s="24" t="s">
        <v>4</v>
      </c>
      <c r="B2" s="24">
        <v>2019</v>
      </c>
      <c r="C2" s="24">
        <v>0</v>
      </c>
      <c r="D2" s="24">
        <v>1820969</v>
      </c>
      <c r="E2" s="24">
        <v>4544203</v>
      </c>
    </row>
    <row r="3" spans="1:5" x14ac:dyDescent="0.35">
      <c r="A3" s="24" t="s">
        <v>3</v>
      </c>
      <c r="B3" s="24">
        <v>2019</v>
      </c>
      <c r="C3" s="24">
        <v>0</v>
      </c>
      <c r="D3" s="24">
        <v>10146650</v>
      </c>
      <c r="E3" s="24">
        <v>6650385</v>
      </c>
    </row>
    <row r="4" spans="1:5" x14ac:dyDescent="0.35">
      <c r="A4" s="24" t="s">
        <v>6</v>
      </c>
      <c r="B4" s="24">
        <v>2019</v>
      </c>
      <c r="C4" s="24">
        <v>0</v>
      </c>
      <c r="D4" s="24">
        <v>13251409</v>
      </c>
      <c r="E4" s="24">
        <v>4668133</v>
      </c>
    </row>
    <row r="5" spans="1:5" x14ac:dyDescent="0.35">
      <c r="A5" s="24" t="s">
        <v>99</v>
      </c>
      <c r="B5" s="24">
        <v>2019</v>
      </c>
      <c r="C5" s="24">
        <v>0</v>
      </c>
      <c r="D5" s="24">
        <v>128251</v>
      </c>
      <c r="E5" s="24">
        <v>0</v>
      </c>
    </row>
    <row r="6" spans="1:5" x14ac:dyDescent="0.35">
      <c r="A6" s="24" t="s">
        <v>5</v>
      </c>
      <c r="B6" s="24">
        <v>2019</v>
      </c>
      <c r="C6" s="24">
        <v>686829</v>
      </c>
      <c r="D6" s="24">
        <v>8850838</v>
      </c>
      <c r="E6" s="24">
        <v>49557933</v>
      </c>
    </row>
    <row r="7" spans="1:5" x14ac:dyDescent="0.35">
      <c r="A7" s="24" t="s">
        <v>7</v>
      </c>
      <c r="B7" s="24">
        <v>2019</v>
      </c>
      <c r="C7" s="24">
        <v>17653453</v>
      </c>
      <c r="D7" s="24">
        <v>88205270</v>
      </c>
      <c r="E7" s="24">
        <v>330675119</v>
      </c>
    </row>
    <row r="8" spans="1:5" x14ac:dyDescent="0.35">
      <c r="A8" s="24" t="s">
        <v>8</v>
      </c>
      <c r="B8" s="24">
        <v>2019</v>
      </c>
      <c r="C8" s="24">
        <v>3275162</v>
      </c>
      <c r="D8" s="24">
        <v>18116638</v>
      </c>
      <c r="E8" s="24">
        <v>49855214</v>
      </c>
    </row>
    <row r="9" spans="1:5" x14ac:dyDescent="0.35">
      <c r="A9" s="24" t="s">
        <v>9</v>
      </c>
      <c r="B9" s="24">
        <v>2019</v>
      </c>
      <c r="C9" s="24">
        <v>1302927</v>
      </c>
      <c r="D9" s="24">
        <v>9462995</v>
      </c>
      <c r="E9" s="24">
        <v>23037923</v>
      </c>
    </row>
    <row r="10" spans="1:5" x14ac:dyDescent="0.35">
      <c r="A10" s="24" t="s">
        <v>11</v>
      </c>
      <c r="B10" s="24">
        <v>2019</v>
      </c>
      <c r="C10" s="24">
        <v>0</v>
      </c>
      <c r="D10" s="24">
        <v>19685883</v>
      </c>
      <c r="E10" s="24">
        <v>38872603</v>
      </c>
    </row>
    <row r="11" spans="1:5" x14ac:dyDescent="0.35">
      <c r="A11" s="24" t="s">
        <v>10</v>
      </c>
      <c r="B11" s="24">
        <v>2019</v>
      </c>
      <c r="C11" s="24">
        <v>0</v>
      </c>
      <c r="D11" s="24">
        <v>8098492</v>
      </c>
      <c r="E11" s="24">
        <v>8984139</v>
      </c>
    </row>
    <row r="12" spans="1:5" x14ac:dyDescent="0.35">
      <c r="A12" s="24" t="s">
        <v>12</v>
      </c>
      <c r="B12" s="24">
        <v>2019</v>
      </c>
      <c r="C12" s="24">
        <v>1206534</v>
      </c>
      <c r="D12" s="24">
        <v>80295496</v>
      </c>
      <c r="E12" s="24">
        <v>124877739</v>
      </c>
    </row>
    <row r="13" spans="1:5" x14ac:dyDescent="0.35">
      <c r="A13" s="24" t="s">
        <v>13</v>
      </c>
      <c r="B13" s="24">
        <v>2019</v>
      </c>
      <c r="C13" s="24">
        <v>3708274</v>
      </c>
      <c r="D13" s="24">
        <v>28298863</v>
      </c>
      <c r="E13" s="24">
        <v>40629519</v>
      </c>
    </row>
    <row r="14" spans="1:5" x14ac:dyDescent="0.35">
      <c r="A14" s="24" t="s">
        <v>109</v>
      </c>
      <c r="B14" s="24">
        <v>2019</v>
      </c>
      <c r="C14" s="24">
        <v>0</v>
      </c>
      <c r="D14" s="24">
        <v>372212</v>
      </c>
      <c r="E14" s="24">
        <v>422892</v>
      </c>
    </row>
    <row r="15" spans="1:5" x14ac:dyDescent="0.35">
      <c r="A15" s="24" t="s">
        <v>14</v>
      </c>
      <c r="B15" s="24">
        <v>2019</v>
      </c>
      <c r="C15" s="24">
        <v>1888935</v>
      </c>
      <c r="D15" s="24">
        <v>9218028</v>
      </c>
      <c r="E15" s="24">
        <v>20454917</v>
      </c>
    </row>
    <row r="16" spans="1:5" x14ac:dyDescent="0.35">
      <c r="A16" s="24" t="s">
        <v>18</v>
      </c>
      <c r="B16" s="24">
        <v>2019</v>
      </c>
      <c r="C16" s="24">
        <v>0</v>
      </c>
      <c r="D16" s="24">
        <v>16204926</v>
      </c>
      <c r="E16" s="24">
        <v>11203459</v>
      </c>
    </row>
    <row r="17" spans="1:5" x14ac:dyDescent="0.35">
      <c r="A17" s="24" t="s">
        <v>15</v>
      </c>
      <c r="B17" s="24">
        <v>2019</v>
      </c>
      <c r="C17" s="24">
        <v>0</v>
      </c>
      <c r="D17" s="24">
        <v>1792488</v>
      </c>
      <c r="E17" s="24">
        <v>4418282</v>
      </c>
    </row>
    <row r="18" spans="1:5" x14ac:dyDescent="0.35">
      <c r="A18" s="24" t="s">
        <v>16</v>
      </c>
      <c r="B18" s="24">
        <v>2019</v>
      </c>
      <c r="C18" s="24">
        <v>316684</v>
      </c>
      <c r="D18" s="24">
        <v>51817490</v>
      </c>
      <c r="E18" s="24">
        <v>103734267</v>
      </c>
    </row>
    <row r="19" spans="1:5" x14ac:dyDescent="0.35">
      <c r="A19" s="24" t="s">
        <v>17</v>
      </c>
      <c r="B19" s="24">
        <v>2019</v>
      </c>
      <c r="C19" s="24">
        <v>450990</v>
      </c>
      <c r="D19" s="24">
        <v>18241770</v>
      </c>
      <c r="E19" s="24">
        <v>19286019</v>
      </c>
    </row>
    <row r="20" spans="1:5" x14ac:dyDescent="0.35">
      <c r="A20" s="24" t="s">
        <v>19</v>
      </c>
      <c r="B20" s="24">
        <v>2019</v>
      </c>
      <c r="C20" s="24">
        <v>366540</v>
      </c>
      <c r="D20" s="24">
        <v>7847064</v>
      </c>
      <c r="E20" s="24">
        <v>7512599</v>
      </c>
    </row>
    <row r="21" spans="1:5" x14ac:dyDescent="0.35">
      <c r="A21" s="24" t="s">
        <v>20</v>
      </c>
      <c r="B21" s="24">
        <v>2019</v>
      </c>
      <c r="C21" s="24">
        <v>0</v>
      </c>
      <c r="D21" s="24">
        <v>35520308</v>
      </c>
      <c r="E21" s="24">
        <v>14087087</v>
      </c>
    </row>
    <row r="22" spans="1:5" x14ac:dyDescent="0.35">
      <c r="A22" s="24" t="s">
        <v>21</v>
      </c>
      <c r="B22" s="24">
        <v>2019</v>
      </c>
      <c r="C22" s="24">
        <v>0</v>
      </c>
      <c r="D22" s="24">
        <v>10323437</v>
      </c>
      <c r="E22" s="24">
        <v>15649937</v>
      </c>
    </row>
    <row r="23" spans="1:5" x14ac:dyDescent="0.35">
      <c r="A23" s="24" t="s">
        <v>24</v>
      </c>
      <c r="B23" s="24">
        <v>2019</v>
      </c>
      <c r="C23" s="24">
        <v>3104521</v>
      </c>
      <c r="D23" s="24">
        <v>31031514</v>
      </c>
      <c r="E23" s="24">
        <v>43374617</v>
      </c>
    </row>
    <row r="24" spans="1:5" x14ac:dyDescent="0.35">
      <c r="A24" s="24" t="s">
        <v>23</v>
      </c>
      <c r="B24" s="24">
        <v>2019</v>
      </c>
      <c r="C24" s="24">
        <v>6636014</v>
      </c>
      <c r="D24" s="24">
        <v>26146936</v>
      </c>
      <c r="E24" s="24">
        <v>48391900</v>
      </c>
    </row>
    <row r="25" spans="1:5" x14ac:dyDescent="0.35">
      <c r="A25" s="24" t="s">
        <v>22</v>
      </c>
      <c r="B25" s="24">
        <v>2019</v>
      </c>
      <c r="C25" s="24">
        <v>265210</v>
      </c>
      <c r="D25" s="24">
        <v>10826516</v>
      </c>
      <c r="E25" s="24">
        <v>4137861</v>
      </c>
    </row>
    <row r="26" spans="1:5" x14ac:dyDescent="0.35">
      <c r="A26" s="24" t="s">
        <v>25</v>
      </c>
      <c r="B26" s="24">
        <v>2019</v>
      </c>
      <c r="C26" s="24">
        <v>432546</v>
      </c>
      <c r="D26" s="24">
        <v>50261455</v>
      </c>
      <c r="E26" s="24">
        <v>49939298</v>
      </c>
    </row>
    <row r="27" spans="1:5" x14ac:dyDescent="0.35">
      <c r="A27" s="24" t="s">
        <v>26</v>
      </c>
      <c r="B27" s="24">
        <v>2019</v>
      </c>
      <c r="C27" s="24">
        <v>217003</v>
      </c>
      <c r="D27" s="24">
        <v>37519099</v>
      </c>
      <c r="E27" s="24">
        <v>44630214</v>
      </c>
    </row>
    <row r="28" spans="1:5" x14ac:dyDescent="0.35">
      <c r="A28" s="24" t="s">
        <v>28</v>
      </c>
      <c r="B28" s="24">
        <v>2019</v>
      </c>
      <c r="C28" s="24">
        <v>0</v>
      </c>
      <c r="D28" s="24">
        <v>25977732</v>
      </c>
      <c r="E28" s="24">
        <v>29294533</v>
      </c>
    </row>
    <row r="29" spans="1:5" x14ac:dyDescent="0.35">
      <c r="A29" s="24" t="s">
        <v>27</v>
      </c>
      <c r="B29" s="24">
        <v>2019</v>
      </c>
      <c r="C29" s="24">
        <v>0</v>
      </c>
      <c r="D29" s="24">
        <v>10355411</v>
      </c>
      <c r="E29" s="24">
        <v>3281232</v>
      </c>
    </row>
    <row r="30" spans="1:5" x14ac:dyDescent="0.35">
      <c r="A30" s="24" t="s">
        <v>29</v>
      </c>
      <c r="B30" s="24">
        <v>2019</v>
      </c>
      <c r="C30" s="24">
        <v>145031</v>
      </c>
      <c r="D30" s="24">
        <v>2994570</v>
      </c>
      <c r="E30" s="24">
        <v>3791255</v>
      </c>
    </row>
    <row r="31" spans="1:5" x14ac:dyDescent="0.35">
      <c r="A31" s="24" t="s">
        <v>242</v>
      </c>
      <c r="B31" s="24">
        <v>2019</v>
      </c>
      <c r="C31" s="24">
        <v>2548230</v>
      </c>
      <c r="D31" s="24">
        <v>49037696</v>
      </c>
      <c r="E31" s="24">
        <v>37124123</v>
      </c>
    </row>
    <row r="32" spans="1:5" x14ac:dyDescent="0.35">
      <c r="A32" s="24" t="s">
        <v>36</v>
      </c>
      <c r="B32" s="24">
        <v>2019</v>
      </c>
      <c r="C32" s="24">
        <v>0</v>
      </c>
      <c r="D32" s="24">
        <v>4584891</v>
      </c>
      <c r="E32" s="24">
        <v>1934311</v>
      </c>
    </row>
    <row r="33" spans="1:5" x14ac:dyDescent="0.35">
      <c r="A33" s="24" t="s">
        <v>30</v>
      </c>
      <c r="B33" s="24">
        <v>2019</v>
      </c>
      <c r="C33" s="24">
        <v>0</v>
      </c>
      <c r="D33" s="24">
        <v>4815160</v>
      </c>
      <c r="E33" s="24">
        <v>6276073</v>
      </c>
    </row>
    <row r="34" spans="1:5" x14ac:dyDescent="0.35">
      <c r="A34" s="24" t="s">
        <v>32</v>
      </c>
      <c r="B34" s="24">
        <v>2019</v>
      </c>
      <c r="C34" s="24">
        <v>3969821</v>
      </c>
      <c r="D34" s="24">
        <v>875174</v>
      </c>
      <c r="E34" s="24">
        <v>2401459</v>
      </c>
    </row>
    <row r="35" spans="1:5" x14ac:dyDescent="0.35">
      <c r="A35" s="24" t="s">
        <v>33</v>
      </c>
      <c r="B35" s="24">
        <v>2019</v>
      </c>
      <c r="C35" s="24">
        <v>30328896</v>
      </c>
      <c r="D35" s="24">
        <v>22632079</v>
      </c>
      <c r="E35" s="24">
        <v>85248950</v>
      </c>
    </row>
    <row r="36" spans="1:5" x14ac:dyDescent="0.35">
      <c r="A36" s="24" t="s">
        <v>34</v>
      </c>
      <c r="B36" s="24">
        <v>2019</v>
      </c>
      <c r="C36" s="24">
        <v>331362</v>
      </c>
      <c r="D36" s="24">
        <v>4270615</v>
      </c>
      <c r="E36" s="24">
        <v>11058565</v>
      </c>
    </row>
    <row r="37" spans="1:5" x14ac:dyDescent="0.35">
      <c r="A37" s="24" t="s">
        <v>31</v>
      </c>
      <c r="B37" s="24">
        <v>2019</v>
      </c>
      <c r="C37" s="24">
        <v>410090</v>
      </c>
      <c r="D37" s="24">
        <v>13795616</v>
      </c>
      <c r="E37" s="24">
        <v>22752296</v>
      </c>
    </row>
    <row r="38" spans="1:5" x14ac:dyDescent="0.35">
      <c r="A38" s="24" t="s">
        <v>35</v>
      </c>
      <c r="B38" s="24">
        <v>2019</v>
      </c>
      <c r="C38" s="24">
        <v>18162255</v>
      </c>
      <c r="D38" s="24">
        <v>62282351</v>
      </c>
      <c r="E38" s="24">
        <v>182735062</v>
      </c>
    </row>
    <row r="39" spans="1:5" x14ac:dyDescent="0.35">
      <c r="A39" s="24" t="s">
        <v>37</v>
      </c>
      <c r="B39" s="24">
        <v>2019</v>
      </c>
      <c r="C39" s="24">
        <v>515002</v>
      </c>
      <c r="D39" s="24">
        <v>37821824</v>
      </c>
      <c r="E39" s="24">
        <v>56939993</v>
      </c>
    </row>
    <row r="40" spans="1:5" x14ac:dyDescent="0.35">
      <c r="A40" s="24" t="s">
        <v>38</v>
      </c>
      <c r="B40" s="24">
        <v>2019</v>
      </c>
      <c r="C40" s="24">
        <v>92708</v>
      </c>
      <c r="D40" s="24">
        <v>19161183</v>
      </c>
      <c r="E40" s="24">
        <v>7918742</v>
      </c>
    </row>
    <row r="41" spans="1:5" x14ac:dyDescent="0.35">
      <c r="A41" s="24" t="s">
        <v>39</v>
      </c>
      <c r="B41" s="24">
        <v>2019</v>
      </c>
      <c r="C41" s="24">
        <v>3750422</v>
      </c>
      <c r="D41" s="24">
        <v>13160147</v>
      </c>
      <c r="E41" s="24">
        <v>33429198</v>
      </c>
    </row>
    <row r="42" spans="1:5" x14ac:dyDescent="0.35">
      <c r="A42" s="24" t="s">
        <v>40</v>
      </c>
      <c r="B42" s="24">
        <v>2019</v>
      </c>
      <c r="C42" s="24">
        <v>4926331</v>
      </c>
      <c r="D42" s="24">
        <v>44238102</v>
      </c>
      <c r="E42" s="24">
        <v>88986984</v>
      </c>
    </row>
    <row r="43" spans="1:5" x14ac:dyDescent="0.35">
      <c r="A43" s="24" t="s">
        <v>87</v>
      </c>
      <c r="B43" s="24">
        <v>2019</v>
      </c>
      <c r="C43" s="24">
        <v>0</v>
      </c>
      <c r="D43" s="24">
        <v>1401597</v>
      </c>
      <c r="E43" s="24">
        <v>5328065</v>
      </c>
    </row>
    <row r="44" spans="1:5" x14ac:dyDescent="0.35">
      <c r="A44" s="24" t="s">
        <v>41</v>
      </c>
      <c r="B44" s="24">
        <v>2019</v>
      </c>
      <c r="C44" s="24">
        <v>0</v>
      </c>
      <c r="D44" s="24">
        <v>2424533</v>
      </c>
      <c r="E44" s="24">
        <v>8922598</v>
      </c>
    </row>
    <row r="45" spans="1:5" x14ac:dyDescent="0.35">
      <c r="A45" s="24" t="s">
        <v>243</v>
      </c>
      <c r="B45" s="24">
        <v>2019</v>
      </c>
      <c r="C45" s="24">
        <v>701719</v>
      </c>
      <c r="D45" s="24">
        <v>9490872</v>
      </c>
      <c r="E45" s="24">
        <v>10435969</v>
      </c>
    </row>
    <row r="46" spans="1:5" x14ac:dyDescent="0.35">
      <c r="A46" s="24" t="s">
        <v>42</v>
      </c>
      <c r="B46" s="24">
        <v>2019</v>
      </c>
      <c r="C46" s="24">
        <v>0</v>
      </c>
      <c r="D46" s="24">
        <v>5071774</v>
      </c>
      <c r="E46" s="24">
        <v>1450451</v>
      </c>
    </row>
    <row r="47" spans="1:5" x14ac:dyDescent="0.35">
      <c r="A47" s="24" t="s">
        <v>43</v>
      </c>
      <c r="B47" s="24">
        <v>2019</v>
      </c>
      <c r="C47" s="24">
        <v>326460</v>
      </c>
      <c r="D47" s="24">
        <v>31402928</v>
      </c>
      <c r="E47" s="24">
        <v>21251959</v>
      </c>
    </row>
    <row r="48" spans="1:5" x14ac:dyDescent="0.35">
      <c r="A48" s="24" t="s">
        <v>44</v>
      </c>
      <c r="B48" s="24">
        <v>2019</v>
      </c>
      <c r="C48" s="24">
        <v>14830278</v>
      </c>
      <c r="D48" s="24">
        <v>75039448</v>
      </c>
      <c r="E48" s="24">
        <v>140051617</v>
      </c>
    </row>
    <row r="49" spans="1:5" x14ac:dyDescent="0.35">
      <c r="A49" s="24" t="s">
        <v>45</v>
      </c>
      <c r="B49" s="24">
        <v>2019</v>
      </c>
      <c r="C49" s="24">
        <v>904101</v>
      </c>
      <c r="D49" s="24">
        <v>3319266</v>
      </c>
      <c r="E49" s="24">
        <v>20872218</v>
      </c>
    </row>
    <row r="50" spans="1:5" x14ac:dyDescent="0.35">
      <c r="A50" s="24" t="s">
        <v>47</v>
      </c>
      <c r="B50" s="24">
        <v>2019</v>
      </c>
      <c r="C50" s="24">
        <v>4031352</v>
      </c>
      <c r="D50" s="24">
        <v>13200660</v>
      </c>
      <c r="E50" s="24">
        <v>44091053</v>
      </c>
    </row>
    <row r="51" spans="1:5" x14ac:dyDescent="0.35">
      <c r="A51" s="24" t="s">
        <v>332</v>
      </c>
      <c r="B51" s="24">
        <v>2019</v>
      </c>
      <c r="C51" s="24">
        <v>0</v>
      </c>
      <c r="D51" s="24">
        <v>349850</v>
      </c>
      <c r="E51" s="24">
        <v>291988</v>
      </c>
    </row>
    <row r="52" spans="1:5" x14ac:dyDescent="0.35">
      <c r="A52" s="24" t="s">
        <v>46</v>
      </c>
      <c r="B52" s="24">
        <v>2019</v>
      </c>
      <c r="C52" s="24">
        <v>2005605</v>
      </c>
      <c r="D52" s="24">
        <v>13420628</v>
      </c>
      <c r="E52" s="24">
        <v>3731759</v>
      </c>
    </row>
    <row r="53" spans="1:5" x14ac:dyDescent="0.35">
      <c r="A53" s="24" t="s">
        <v>48</v>
      </c>
      <c r="B53" s="24">
        <v>2019</v>
      </c>
      <c r="C53" s="24">
        <v>15447471</v>
      </c>
      <c r="D53" s="24">
        <v>28877650</v>
      </c>
      <c r="E53" s="24">
        <v>83332487</v>
      </c>
    </row>
    <row r="54" spans="1:5" x14ac:dyDescent="0.35">
      <c r="A54" s="24" t="s">
        <v>50</v>
      </c>
      <c r="B54" s="24">
        <v>2019</v>
      </c>
      <c r="C54" s="24">
        <v>880327</v>
      </c>
      <c r="D54" s="24">
        <v>16792018</v>
      </c>
      <c r="E54" s="24">
        <v>33284438</v>
      </c>
    </row>
    <row r="55" spans="1:5" x14ac:dyDescent="0.35">
      <c r="A55" s="24" t="s">
        <v>49</v>
      </c>
      <c r="B55" s="24">
        <v>2019</v>
      </c>
      <c r="C55" s="24">
        <v>0</v>
      </c>
      <c r="D55" s="24">
        <v>2671749</v>
      </c>
      <c r="E55" s="24">
        <v>9309564</v>
      </c>
    </row>
    <row r="56" spans="1:5" x14ac:dyDescent="0.35">
      <c r="A56" s="24" t="s">
        <v>51</v>
      </c>
      <c r="B56" s="24">
        <v>2019</v>
      </c>
      <c r="C56" s="24">
        <v>0</v>
      </c>
      <c r="D56" s="24">
        <v>1673521</v>
      </c>
      <c r="E56" s="24">
        <v>2044125</v>
      </c>
    </row>
    <row r="57" spans="1:5" x14ac:dyDescent="0.35">
      <c r="A57" s="24" t="s">
        <v>336</v>
      </c>
      <c r="B57" s="24">
        <v>2019</v>
      </c>
      <c r="C57" s="24">
        <f>SUM(C2:C56)</f>
        <v>145819083</v>
      </c>
      <c r="D57" s="24">
        <f t="shared" ref="D57:E57" si="0">SUM(D2:D56)</f>
        <v>1114624042</v>
      </c>
      <c r="E57" s="24">
        <f t="shared" si="0"/>
        <v>2027167326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Transit_Costs</vt:lpstr>
      <vt:lpstr>VMT_State_Allocation</vt:lpstr>
      <vt:lpstr>State_Prices</vt:lpstr>
      <vt:lpstr>Bike_Ped</vt:lpstr>
      <vt:lpstr>NTD_Service</vt:lpstr>
      <vt:lpstr>Cost_TimeSeries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2025-06-23T23:44:32Z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