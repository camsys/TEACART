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sys-my.sharepoint.com/personal/slarue_camsys_com/Documents/Documents/idot_github_puller/TEACART/data/"/>
    </mc:Choice>
  </mc:AlternateContent>
  <xr:revisionPtr revIDLastSave="1" documentId="8_{27A606CC-09D1-46C0-AC46-76EAF9350BC5}" xr6:coauthVersionLast="47" xr6:coauthVersionMax="47" xr10:uidLastSave="{48D79BA1-6B12-4F10-8847-D683D0A50863}"/>
  <bookViews>
    <workbookView xWindow="-110" yWindow="-110" windowWidth="19420" windowHeight="10420" tabRatio="643" activeTab="4" xr2:uid="{7ED227F8-E8D7-4F0B-9DDD-FC991517E453}"/>
  </bookViews>
  <sheets>
    <sheet name="References" sheetId="5" r:id="rId1"/>
    <sheet name="Tables" sheetId="8" r:id="rId2"/>
    <sheet name="Baseline" sheetId="6" r:id="rId3"/>
    <sheet name="Projects" sheetId="2" r:id="rId4"/>
    <sheet name="Assumptions" sheetId="1" r:id="rId5"/>
    <sheet name="Costs" sheetId="3" r:id="rId6"/>
    <sheet name="Scenarios" sheetId="9" r:id="rId7"/>
    <sheet name="Advanced" sheetId="7" r:id="rId8"/>
  </sheets>
  <externalReferences>
    <externalReference r:id="rId9"/>
  </externalReferences>
  <definedNames>
    <definedName name="ExternalData_14" localSheetId="4" hidden="1">Assumptions!$A$1:$M$91</definedName>
    <definedName name="ExternalData_8" localSheetId="3" hidden="1">Projects!$A$1:$M$199</definedName>
    <definedName name="ExternalData_9" localSheetId="5" hidden="1">Costs!$A$1:$L$160</definedName>
    <definedName name="PHEV_Elec">#REF!</definedName>
    <definedName name="up_cng">#REF!</definedName>
    <definedName name="up_dies">#REF!</definedName>
    <definedName name="up_eth">#REF!</definedName>
    <definedName name="up_gas">#REF!</definedName>
    <definedName name="up_lpg">#REF!</definedName>
    <definedName name="ViewMode">'[1]Project Inputs'!$B$299:$B$300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8" l="1" a="1"/>
  <c r="D17" i="8" s="1"/>
  <c r="D18" i="8" a="1"/>
  <c r="D18" i="8" s="1"/>
  <c r="D19" i="8" a="1"/>
  <c r="D19" i="8" s="1"/>
  <c r="D20" i="8" a="1"/>
  <c r="D20" i="8" s="1"/>
  <c r="D21" i="8" a="1"/>
  <c r="D21" i="8" s="1"/>
  <c r="D22" i="8" a="1"/>
  <c r="D22" i="8" s="1"/>
  <c r="D23" i="8" a="1"/>
  <c r="D23" i="8" s="1"/>
  <c r="D16" i="8" a="1"/>
  <c r="D16" i="8" s="1"/>
  <c r="D3" i="8" a="1"/>
  <c r="D3" i="8" s="1"/>
  <c r="D4" i="8" a="1"/>
  <c r="D4" i="8" s="1"/>
  <c r="D5" i="8" a="1"/>
  <c r="D5" i="8" s="1"/>
  <c r="D6" i="8" a="1"/>
  <c r="D6" i="8" s="1"/>
  <c r="D7" i="8" a="1"/>
  <c r="D7" i="8" s="1"/>
  <c r="D8" i="8" a="1"/>
  <c r="D8" i="8" s="1"/>
  <c r="D9" i="8" a="1"/>
  <c r="D9" i="8" s="1"/>
  <c r="D10" i="8" a="1"/>
  <c r="D10" i="8" s="1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2" i="8" a="1"/>
  <c r="D2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323717-EC0F-4411-9BF2-42F1D0A42815}" keepAlive="1" name="Query - Assumptions" description="Connection to the 'Assumptions' query in the workbook." type="5" refreshedVersion="0" background="1">
    <dbPr connection="Provider=Microsoft.Mashup.OleDb.1;Data Source=$Workbook$;Location=Assumptions;Extended Properties=&quot;&quot;" command="SELECT * FROM [Assumptions]"/>
  </connection>
  <connection id="2" xr16:uid="{9CEDD28B-7ED7-4E22-AF19-EC35CA359B68}" keepAlive="1" name="Query - Assumptions_UNPIVOTED" description="Connection to the 'Assumptions_UNPIVOTED' query in the workbook." type="5" refreshedVersion="8" background="1" saveData="1">
    <dbPr connection="Provider=Microsoft.Mashup.OleDb.1;Data Source=$Workbook$;Location=Assumptions_UNPIVOTED;Extended Properties=&quot;&quot;" command="SELECT * FROM [Assumptions_UNPIVOTED]"/>
  </connection>
  <connection id="3" xr16:uid="{77606B74-0260-4766-92ED-1A3CF2C5DB01}" keepAlive="1" name="Query - Baseline_Parameters_UNPIVOTED" description="Connection to the 'Baseline_Parameters_UNPIVOTED' query in the workbook." type="5" refreshedVersion="8" background="1" saveData="1">
    <dbPr connection="Provider=Microsoft.Mashup.OleDb.1;Data Source=$Workbook$;Location=Baseline_Parameters_UNPIVOTED;Extended Properties=&quot;&quot;" command="SELECT * FROM [Baseline_Parameters_UNPIVOTED]"/>
  </connection>
  <connection id="4" xr16:uid="{9DC46691-D9FF-473B-A43E-2CEB69BDEE3E}" keepAlive="1" name="Query - Basline_Parameters_Query" description="Connection to the 'Basline_Parameters_Query' query in the workbook." type="5" refreshedVersion="0" background="1">
    <dbPr connection="Provider=Microsoft.Mashup.OleDb.1;Data Source=$Workbook$;Location=Basline_Parameters_Query;Extended Properties=&quot;&quot;" command="SELECT * FROM [Basline_Parameters_Query]"/>
  </connection>
  <connection id="5" xr16:uid="{6B07B2B9-C70C-4425-928A-7D065D2E32E2}" keepAlive="1" name="Query - BP_Areas" description="Connection to the 'BP_Areas' query in the workbook." type="5" refreshedVersion="0" background="1">
    <dbPr connection="Provider=Microsoft.Mashup.OleDb.1;Data Source=$Workbook$;Location=BP_Areas;Extended Properties=&quot;&quot;" command="SELECT * FROM [BP_Areas]"/>
  </connection>
  <connection id="6" xr16:uid="{28898D01-A0F0-432A-B57D-7D8791001E99}" keepAlive="1" name="Query - BP_Modes" description="Connection to the 'BP_Modes' query in the workbook." type="5" refreshedVersion="0" background="1">
    <dbPr connection="Provider=Microsoft.Mashup.OleDb.1;Data Source=$Workbook$;Location=BP_Modes;Extended Properties=&quot;&quot;" command="SELECT * FROM [BP_Modes]"/>
  </connection>
  <connection id="7" xr16:uid="{21FF3714-7DC3-4E53-B58A-7308258A6AA4}" keepAlive="1" name="Query - BP_Params" description="Connection to the 'BP_Params' query in the workbook." type="5" refreshedVersion="0" background="1">
    <dbPr connection="Provider=Microsoft.Mashup.OleDb.1;Data Source=$Workbook$;Location=BP_Params;Extended Properties=&quot;&quot;" command="SELECT * FROM [BP_Params]"/>
  </connection>
  <connection id="8" xr16:uid="{D6B0C34E-0A93-478F-BACE-7E2AB0C3BDB2}" keepAlive="1" name="Query - Capital_Project_Inputs" description="Connection to the 'Capital_Project_Inputs' query in the workbook." type="5" refreshedVersion="0" background="1">
    <dbPr connection="Provider=Microsoft.Mashup.OleDb.1;Data Source=$Workbook$;Location=Capital_Project_Inputs;Extended Properties=&quot;&quot;" command="SELECT * FROM [Capital_Project_Inputs]"/>
  </connection>
  <connection id="9" xr16:uid="{A95E9CC3-7AF3-4163-8887-549D816418C6}" keepAlive="1" name="Query - Capital_Project_Inputs_UNPIVOTED" description="Connection to the 'Capital_Project_Inputs_UNPIVOTED' query in the workbook." type="5" refreshedVersion="8" background="1" saveData="1">
    <dbPr connection="Provider=Microsoft.Mashup.OleDb.1;Data Source=$Workbook$;Location=Capital_Project_Inputs_UNPIVOTED;Extended Properties=&quot;&quot;" command="SELECT * FROM [Capital_Project_Inputs_UNPIVOTED]"/>
  </connection>
  <connection id="10" xr16:uid="{AE2B7204-9406-499E-8B66-68303B0E6E19}" keepAlive="1" name="Query - Cost_Parameters" description="Connection to the 'Cost_Parameters' query in the workbook." type="5" refreshedVersion="0" background="1">
    <dbPr connection="Provider=Microsoft.Mashup.OleDb.1;Data Source=$Workbook$;Location=Cost_Parameters;Extended Properties=&quot;&quot;" command="SELECT * FROM [Cost_Parameters]"/>
  </connection>
  <connection id="11" xr16:uid="{8B034D4F-0E00-4246-B808-3045F5D68DBD}" keepAlive="1" name="Query - Cost_Parameters_UNPIVOTED" description="Connection to the 'Cost_Parameters_UNPIVOTED' query in the workbook." type="5" refreshedVersion="8" background="1" saveData="1">
    <dbPr connection="Provider=Microsoft.Mashup.OleDb.1;Data Source=$Workbook$;Location=Cost_Parameters_UNPIVOTED;Extended Properties=&quot;&quot;" command="SELECT * FROM [Cost_Parameters_UNPIVOTED]"/>
  </connection>
  <connection id="12" xr16:uid="{EC33B306-05DB-40E4-8DB5-BFE74E3DB9BD}" keepAlive="1" name="Query - CP_BP_Proj_Areas" description="Connection to the 'CP_BP_Proj_Areas' query in the workbook." type="5" refreshedVersion="0" background="1">
    <dbPr connection="Provider=Microsoft.Mashup.OleDb.1;Data Source=$Workbook$;Location=CP_BP_Proj_Areas;Extended Properties=&quot;&quot;" command="SELECT * FROM [CP_BP_Proj_Areas]"/>
  </connection>
  <connection id="13" xr16:uid="{5E56A327-EBAE-45B0-BB9D-413CE854AE50}" keepAlive="1" name="Query - CP_Class_Areas" description="Connection to the 'CP_Class_Areas' query in the workbook." type="5" refreshedVersion="0" background="1">
    <dbPr connection="Provider=Microsoft.Mashup.OleDb.1;Data Source=$Workbook$;Location=CP_Class_Areas;Extended Properties=&quot;&quot;" command="SELECT * FROM [CP_Class_Areas]"/>
  </connection>
  <connection id="14" xr16:uid="{A2655F7F-87B3-4C81-A5DB-C82FFB7884E0}" keepAlive="1" name="Query - CP_EV_Levels" description="Connection to the 'CP_EV_Levels' query in the workbook." type="5" refreshedVersion="0" background="1">
    <dbPr connection="Provider=Microsoft.Mashup.OleDb.1;Data Source=$Workbook$;Location=CP_EV_Levels;Extended Properties=&quot;&quot;" command="SELECT * FROM [CP_EV_Levels]"/>
  </connection>
  <connection id="15" xr16:uid="{0FD21B43-E620-448A-84DD-F4B98AD8B1B0}" keepAlive="1" name="Query - CP_Fuel_Prices" description="Connection to the 'CP_Fuel_Prices' query in the workbook." type="5" refreshedVersion="0" background="1">
    <dbPr connection="Provider=Microsoft.Mashup.OleDb.1;Data Source=$Workbook$;Location=CP_Fuel_Prices;Extended Properties=&quot;&quot;" command="SELECT * FROM [CP_Fuel_Prices]"/>
  </connection>
  <connection id="16" xr16:uid="{69D1C328-0A37-4F39-8755-ABD4F88ED8B7}" keepAlive="1" name="Query - CP_Proj_Class_Areas" description="Connection to the 'CP_Proj_Class_Areas' query in the workbook." type="5" refreshedVersion="0" background="1">
    <dbPr connection="Provider=Microsoft.Mashup.OleDb.1;Data Source=$Workbook$;Location=CP_Proj_Class_Areas;Extended Properties=&quot;&quot;" command="SELECT * FROM [CP_Proj_Class_Areas]"/>
  </connection>
  <connection id="17" xr16:uid="{3C4E2CC3-AF43-4907-B9A5-097FD741D0DD}" keepAlive="1" name="Query - CP_Transit_Mode_Fuel_Areas" description="Connection to the 'CP_Transit_Mode_Fuel_Areas' query in the workbook." type="5" refreshedVersion="0" background="1">
    <dbPr connection="Provider=Microsoft.Mashup.OleDb.1;Data Source=$Workbook$;Location=CP_Transit_Mode_Fuel_Areas;Extended Properties=&quot;&quot;" command="SELECT * FROM [CP_Transit_Mode_Fuel_Areas]"/>
  </connection>
  <connection id="18" xr16:uid="{7C23206D-33E5-466E-9145-607F6844FFA0}" keepAlive="1" name="Query - CP_Veh_Fuels" description="Connection to the 'CP_Veh_Fuels' query in the workbook." type="5" refreshedVersion="0" background="1">
    <dbPr connection="Provider=Microsoft.Mashup.OleDb.1;Data Source=$Workbook$;Location=CP_Veh_Fuels;Extended Properties=&quot;&quot;" command="SELECT * FROM [CP_Veh_Fuels]"/>
  </connection>
  <connection id="19" xr16:uid="{653659E9-14F6-42BE-84D0-F20175319989}" keepAlive="1" name="Query - CPI_Area_Mode_Fuels" description="Connection to the 'CPI_Area_Mode_Fuels' query in the workbook." type="5" refreshedVersion="0" background="1">
    <dbPr connection="Provider=Microsoft.Mashup.OleDb.1;Data Source=$Workbook$;Location=CPI_Area_Mode_Fuels;Extended Properties=&quot;&quot;" command="SELECT * FROM [CPI_Area_Mode_Fuels]"/>
  </connection>
  <connection id="20" xr16:uid="{41B5443D-1FB7-40AF-ACD1-123DD55DCBB5}" keepAlive="1" name="Query - CPI_Area_Projs" description="Connection to the 'CPI_Area_Projs' query in the workbook." type="5" refreshedVersion="0" background="1">
    <dbPr connection="Provider=Microsoft.Mashup.OleDb.1;Data Source=$Workbook$;Location=CPI_Area_Projs;Extended Properties=&quot;&quot;" command="SELECT * FROM [CPI_Area_Projs]"/>
  </connection>
  <connection id="21" xr16:uid="{5E3CBAC6-64CB-4FF6-AA66-0B71BC1EF51F}" keepAlive="1" name="Query - CPI_Class_Areas" description="Connection to the 'CPI_Class_Areas' query in the workbook." type="5" refreshedVersion="0" background="1">
    <dbPr connection="Provider=Microsoft.Mashup.OleDb.1;Data Source=$Workbook$;Location=CPI_Class_Areas;Extended Properties=&quot;&quot;" command="SELECT * FROM [CPI_Class_Areas]"/>
  </connection>
  <connection id="22" xr16:uid="{6E198218-A17C-4C30-AC29-626A31FE1CC9}" keepAlive="1" name="Query - CPI_DCFC_Levels" description="Connection to the 'CPI_DCFC_Levels' query in the workbook." type="5" refreshedVersion="0" background="1">
    <dbPr connection="Provider=Microsoft.Mashup.OleDb.1;Data Source=$Workbook$;Location=CPI_DCFC_Levels;Extended Properties=&quot;&quot;" command="SELECT * FROM [CPI_DCFC_Levels]"/>
  </connection>
  <connection id="23" xr16:uid="{4A626EA4-02CF-45A5-B894-43C65726F630}" keepAlive="1" name="Query - CPI_Params" description="Connection to the 'CPI_Params' query in the workbook." type="5" refreshedVersion="0" background="1">
    <dbPr connection="Provider=Microsoft.Mashup.OleDb.1;Data Source=$Workbook$;Location=CPI_Params;Extended Properties=&quot;&quot;" command="SELECT * FROM [CPI_Params]"/>
  </connection>
  <connection id="24" xr16:uid="{02647EDD-E41F-4E05-B373-C4ACB63C4BD9}" keepAlive="1" name="Query - CPI_Veh_Fuels" description="Connection to the 'CPI_Veh_Fuels' query in the workbook." type="5" refreshedVersion="0" background="1">
    <dbPr connection="Provider=Microsoft.Mashup.OleDb.1;Data Source=$Workbook$;Location=CPI_Veh_Fuels;Extended Properties=&quot;&quot;" command="SELECT * FROM [CPI_Veh_Fuels]"/>
  </connection>
  <connection id="25" xr16:uid="{A8877D91-0F73-4D1E-BE9D-B57F2BC16E23}" keepAlive="1" name="Query - Electricity_Params" description="Connection to the 'Electricity_Params' query in the workbook." type="5" refreshedVersion="0" background="1">
    <dbPr connection="Provider=Microsoft.Mashup.OleDb.1;Data Source=$Workbook$;Location=Electricity_Params;Extended Properties=&quot;&quot;" command="SELECT * FROM [Electricity_Params]"/>
  </connection>
  <connection id="26" xr16:uid="{A7C76A86-96C9-4136-ABF6-BF165E2FECF2}" keepAlive="1" name="Query - EV_DCFC_Levels" description="Connection to the 'EV_DCFC_Levels' query in the workbook." type="5" refreshedVersion="0" background="1">
    <dbPr connection="Provider=Microsoft.Mashup.OleDb.1;Data Source=$Workbook$;Location=EV_DCFC_Levels;Extended Properties=&quot;&quot;" command="SELECT * FROM [EV_DCFC_Levels]"/>
  </connection>
  <connection id="27" xr16:uid="{AEC89BD6-0813-4128-9E4B-A231A3895718}" keepAlive="1" name="Query - Freight_Rail_Params" description="Connection to the 'Freight_Rail_Params' query in the workbook." type="5" refreshedVersion="0" background="1">
    <dbPr connection="Provider=Microsoft.Mashup.OleDb.1;Data Source=$Workbook$;Location=Freight_Rail_Params;Extended Properties=&quot;&quot;" command="SELECT * FROM [Freight_Rail_Params]"/>
  </connection>
  <connection id="28" xr16:uid="{E043C4D3-DF9B-4302-954D-C91DD8A6009F}" keepAlive="1" name="Query - Medium_Heavy_Vehicles" description="Connection to the 'Medium_Heavy_Vehicles' query in the workbook." type="5" refreshedVersion="0" background="1">
    <dbPr connection="Provider=Microsoft.Mashup.OleDb.1;Data Source=$Workbook$;Location=Medium_Heavy_Vehicles;Extended Properties=&quot;&quot;" command="SELECT * FROM [Medium_Heavy_Vehicles]"/>
  </connection>
  <connection id="29" xr16:uid="{F0734A16-5EA5-4461-B903-551516B9EB97}" keepAlive="1" name="Query - Micromobility_Params" description="Connection to the 'Micromobility_Params' query in the workbook." type="5" refreshedVersion="0" background="1">
    <dbPr connection="Provider=Microsoft.Mashup.OleDb.1;Data Source=$Workbook$;Location=Micromobility_Params;Extended Properties=&quot;&quot;" command="SELECT * FROM [Micromobility_Params]"/>
  </connection>
  <connection id="30" xr16:uid="{372E4713-31C9-4261-98C2-839FC63C29A4}" keepAlive="1" name="Query - Park_Ride_Params" description="Connection to the 'Park_Ride_Params' query in the workbook." type="5" refreshedVersion="0" background="1">
    <dbPr connection="Provider=Microsoft.Mashup.OleDb.1;Data Source=$Workbook$;Location=Park_Ride_Params;Extended Properties=&quot;&quot;" command="SELECT * FROM [Park_Ride_Params]"/>
  </connection>
  <connection id="31" xr16:uid="{E4B96BDA-5456-4A84-B6D6-EA22FA57E4DB}" keepAlive="1" name="Query - Pass_Rail_Vehs" description="Connection to the 'Pass_Rail_Vehs' query in the workbook." type="5" refreshedVersion="0" background="1">
    <dbPr connection="Provider=Microsoft.Mashup.OleDb.1;Data Source=$Workbook$;Location=Pass_Rail_Vehs;Extended Properties=&quot;&quot;" command="SELECT * FROM [Pass_Rail_Vehs]"/>
  </connection>
  <connection id="32" xr16:uid="{0B43D1BC-4744-439B-9CF1-70B528EB8503}" keepAlive="1" name="Query - Roadway_Class_Areas" description="Connection to the 'Roadway_Class_Areas' query in the workbook." type="5" refreshedVersion="0" background="1">
    <dbPr connection="Provider=Microsoft.Mashup.OleDb.1;Data Source=$Workbook$;Location=Roadway_Class_Areas;Extended Properties=&quot;&quot;" command="SELECT * FROM [Roadway_Class_Areas]"/>
  </connection>
  <connection id="33" xr16:uid="{5F32080E-A450-4609-98DD-D661A8F49004}" keepAlive="1" name="Query - TDM_Params" description="Connection to the 'TDM_Params' query in the workbook." type="5" refreshedVersion="0" background="1">
    <dbPr connection="Provider=Microsoft.Mashup.OleDb.1;Data Source=$Workbook$;Location=TDM_Params;Extended Properties=&quot;&quot;" command="SELECT * FROM [TDM_Params]"/>
  </connection>
  <connection id="34" xr16:uid="{A4FFA7B8-B4FD-4E22-8C67-31C439BEB287}" keepAlive="1" name="Query - Transit_Mode_Areas" description="Connection to the 'Transit_Mode_Areas' query in the workbook." type="5" refreshedVersion="0" background="1">
    <dbPr connection="Provider=Microsoft.Mashup.OleDb.1;Data Source=$Workbook$;Location=Transit_Mode_Areas;Extended Properties=&quot;&quot;" command="SELECT * FROM [Transit_Mode_Areas]"/>
  </connection>
  <connection id="35" xr16:uid="{D724FDC7-3A24-4A32-82D9-D1CBECD72144}" keepAlive="1" name="Query - Transit_Mode_Fuels" description="Connection to the 'Transit_Mode_Fuels' query in the workbook." type="5" refreshedVersion="0" background="1">
    <dbPr connection="Provider=Microsoft.Mashup.OleDb.1;Data Source=$Workbook$;Location=Transit_Mode_Fuels;Extended Properties=&quot;&quot;" command="SELECT * FROM [Transit_Mode_Fuels]"/>
  </connection>
  <connection id="36" xr16:uid="{326B5261-8621-46BB-B7B1-56801E0B51C7}" keepAlive="1" name="Query - Transit_Params" description="Connection to the 'Transit_Params' query in the workbook." type="5" refreshedVersion="0" background="1">
    <dbPr connection="Provider=Microsoft.Mashup.OleDb.1;Data Source=$Workbook$;Location=Transit_Params;Extended Properties=&quot;&quot;" command="SELECT * FROM [Transit_Params]"/>
  </connection>
  <connection id="37" xr16:uid="{9EA120FA-34ED-45EF-AC01-EF2C98C29511}" keepAlive="1" name="Query - Veh_Types" description="Connection to the 'Veh_Types' query in the workbook." type="5" refreshedVersion="0" background="1">
    <dbPr connection="Provider=Microsoft.Mashup.OleDb.1;Data Source=$Workbook$;Location=Veh_Types;Extended Properties=&quot;&quot;" command="SELECT * FROM [Veh_Typ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<sst xmlns="http://schemas.openxmlformats.org/spreadsheetml/2006/main" count="3608" uniqueCount="298">
  <si>
    <t>category</t>
  </si>
  <si>
    <t>area_type</t>
  </si>
  <si>
    <t>DCFC_level</t>
  </si>
  <si>
    <t>mode_type</t>
  </si>
  <si>
    <t>veh_type</t>
  </si>
  <si>
    <t>road_class</t>
  </si>
  <si>
    <t>transit_mode</t>
  </si>
  <si>
    <t>fuel_type</t>
  </si>
  <si>
    <t>Bicycle and Pedestrian</t>
  </si>
  <si>
    <t>prior_mode_share</t>
  </si>
  <si>
    <t>Urban</t>
  </si>
  <si>
    <t>Suburban</t>
  </si>
  <si>
    <t>Rural</t>
  </si>
  <si>
    <t>EV Charging Infrastructure Data</t>
  </si>
  <si>
    <t>Level 2: General public</t>
  </si>
  <si>
    <t>veh_sales_elasticity_wrt_ports</t>
  </si>
  <si>
    <t>DCFC (50kw): General public</t>
  </si>
  <si>
    <t>DCFC (150kw): General public</t>
  </si>
  <si>
    <t>DCFC: Dedicated truck/bus (50kw)</t>
  </si>
  <si>
    <t>DCFC: Dedicated truck/bus (350kw)</t>
  </si>
  <si>
    <t>Park and Ride</t>
  </si>
  <si>
    <t>utilization_pct</t>
  </si>
  <si>
    <t>Medium and Heavy Duty Vehicle Replacement</t>
  </si>
  <si>
    <t>Light Duty Truck</t>
  </si>
  <si>
    <t>miles_per_veh_per_year</t>
  </si>
  <si>
    <t>Medium Duty Truck</t>
  </si>
  <si>
    <t>Heavy Duty Truck</t>
  </si>
  <si>
    <t>School Bus</t>
  </si>
  <si>
    <t>Traffic &amp; Roadway</t>
  </si>
  <si>
    <t>Principal Arterial</t>
  </si>
  <si>
    <t>avg_AADT</t>
  </si>
  <si>
    <t>VMT_per_lane_mile</t>
  </si>
  <si>
    <t>travel_speed_mph</t>
  </si>
  <si>
    <t>All</t>
  </si>
  <si>
    <t>Freeway</t>
  </si>
  <si>
    <t>truck_traffic_pct</t>
  </si>
  <si>
    <t>VMT_elasticity_lane_mi</t>
  </si>
  <si>
    <t>Arterial</t>
  </si>
  <si>
    <t>VMT_elasticity_trav_time</t>
  </si>
  <si>
    <t>Micromobility</t>
  </si>
  <si>
    <t>e_bike_cost</t>
  </si>
  <si>
    <t>subsidy_coverage_pct</t>
  </si>
  <si>
    <t>bike_trips_per_week</t>
  </si>
  <si>
    <t>avg_trip_miles</t>
  </si>
  <si>
    <t>prior_auto_mode_share</t>
  </si>
  <si>
    <t>TDM</t>
  </si>
  <si>
    <t>avg_reduction_in_drive_along_pct</t>
  </si>
  <si>
    <t>avg_work_trip_miles</t>
  </si>
  <si>
    <t>annualization_factor</t>
  </si>
  <si>
    <t>Transit</t>
  </si>
  <si>
    <t>bus_priority_travel_time_change</t>
  </si>
  <si>
    <t>bus_elasticity_trav_time</t>
  </si>
  <si>
    <t>routes_affected</t>
  </si>
  <si>
    <t>daily_buses_per_route</t>
  </si>
  <si>
    <t>route_hours_affected_pct</t>
  </si>
  <si>
    <t>weekday_annualization</t>
  </si>
  <si>
    <t>Bus</t>
  </si>
  <si>
    <t>avg_pax_mi_per_veh_mi</t>
  </si>
  <si>
    <t>rev_mi_per_veh</t>
  </si>
  <si>
    <t>Demand Response</t>
  </si>
  <si>
    <t>Commuter Bus</t>
  </si>
  <si>
    <t>Light rail/streetcar</t>
  </si>
  <si>
    <t>Heavy rail</t>
  </si>
  <si>
    <t>Commuter rail</t>
  </si>
  <si>
    <t>Vanpool</t>
  </si>
  <si>
    <t>Diesel</t>
  </si>
  <si>
    <t>veh_fuel_economy</t>
  </si>
  <si>
    <t>fuel_tech_fraction</t>
  </si>
  <si>
    <t>CNG</t>
  </si>
  <si>
    <t>Electric</t>
  </si>
  <si>
    <t>Gasoline</t>
  </si>
  <si>
    <t>Walk</t>
  </si>
  <si>
    <t>Bike</t>
  </si>
  <si>
    <t xml:space="preserve">Core </t>
  </si>
  <si>
    <t>New shared-use path</t>
  </si>
  <si>
    <t>New bicycle lane</t>
  </si>
  <si>
    <t>New separated bike lane</t>
  </si>
  <si>
    <t>New/improved sidewalk</t>
  </si>
  <si>
    <t>New Complete Streets treatment</t>
  </si>
  <si>
    <t>Widened shoulder</t>
  </si>
  <si>
    <t>EV Charging Infrastructure</t>
  </si>
  <si>
    <t>new_ports</t>
  </si>
  <si>
    <t>replacement_vehicles</t>
  </si>
  <si>
    <t>miles_priority</t>
  </si>
  <si>
    <t>Traffic Operations</t>
  </si>
  <si>
    <t>new_lane_miles</t>
  </si>
  <si>
    <t>Transit: Increased Fixed Route Service</t>
  </si>
  <si>
    <t xml:space="preserve"> CNG</t>
  </si>
  <si>
    <t>new_VOMS</t>
  </si>
  <si>
    <t xml:space="preserve"> Diesel</t>
  </si>
  <si>
    <t>Transit: Increased Demand Response Service</t>
  </si>
  <si>
    <t xml:space="preserve"> Electric</t>
  </si>
  <si>
    <t xml:space="preserve"> Gasoline</t>
  </si>
  <si>
    <t>Public Transportation: Rail</t>
  </si>
  <si>
    <t>Light Rail / Streetcar</t>
  </si>
  <si>
    <t>Heavy Rail</t>
  </si>
  <si>
    <t>Commuter Rail</t>
  </si>
  <si>
    <t>field</t>
  </si>
  <si>
    <t>value</t>
  </si>
  <si>
    <t>year</t>
  </si>
  <si>
    <t>cap_proj_type</t>
  </si>
  <si>
    <t>Roadway Expansion</t>
  </si>
  <si>
    <t>per_ln_mile_cap_cost</t>
  </si>
  <si>
    <t>per_ln_mile_cost</t>
  </si>
  <si>
    <t>per_unit_hardware_cost</t>
  </si>
  <si>
    <t>per_unit_installation_cost</t>
  </si>
  <si>
    <t>DCFC: General public (50kw)</t>
  </si>
  <si>
    <t>DCFC: General public (150kw)</t>
  </si>
  <si>
    <t>Charger for Transit Bus</t>
  </si>
  <si>
    <t>Charger for Demand Response</t>
  </si>
  <si>
    <t>per_veh_cap_cost</t>
  </si>
  <si>
    <t>New or retimed signal</t>
  </si>
  <si>
    <t xml:space="preserve">New roundabouts </t>
  </si>
  <si>
    <t>New roundabouts</t>
  </si>
  <si>
    <t>per_VRM_fuel_cost</t>
  </si>
  <si>
    <t>per_VRM_onm_cost</t>
  </si>
  <si>
    <t>per_mile_cost</t>
  </si>
  <si>
    <t>per_mile_maintain_cost</t>
  </si>
  <si>
    <t>Fuel Apportionment</t>
  </si>
  <si>
    <t>Passenger Car</t>
  </si>
  <si>
    <t>Passenger Rail</t>
  </si>
  <si>
    <t>Amtrak</t>
  </si>
  <si>
    <t>Freight Rail</t>
  </si>
  <si>
    <t>growth_rate</t>
  </si>
  <si>
    <t>energy_intensity</t>
  </si>
  <si>
    <t>state</t>
  </si>
  <si>
    <t>base_year</t>
  </si>
  <si>
    <t>horizon_year_2</t>
  </si>
  <si>
    <t>horizon_year_3</t>
  </si>
  <si>
    <t>include_electricity</t>
  </si>
  <si>
    <t>include_upstream_fuels</t>
  </si>
  <si>
    <t>Maryland</t>
  </si>
  <si>
    <t>All Roadways</t>
  </si>
  <si>
    <t>Vehicles replaced</t>
  </si>
  <si>
    <t>Freight Intermodal Facilities</t>
  </si>
  <si>
    <t>Transit: Increased Demand Response Service (VOMS)</t>
  </si>
  <si>
    <t>Bus Priority Treatment</t>
  </si>
  <si>
    <t>table</t>
  </si>
  <si>
    <t>Bicycle and Pedestrian Lane Miles of New Infrastructure</t>
  </si>
  <si>
    <t>Public Transportation: Bus Priority Treatment</t>
  </si>
  <si>
    <t>Traffic Operations (intersection Improvements)</t>
  </si>
  <si>
    <t>Transit: Increased Fixed Route Service (VOMS)</t>
  </si>
  <si>
    <t>Public Transportation: Rail (VOMS)</t>
  </si>
  <si>
    <t>Travel Demand Management</t>
  </si>
  <si>
    <t>e_bike_subsidies</t>
  </si>
  <si>
    <t>Roadway expansion</t>
  </si>
  <si>
    <t>Fleet Electrification</t>
  </si>
  <si>
    <t>new_retimed_signal</t>
  </si>
  <si>
    <t>new_roundabouts</t>
  </si>
  <si>
    <t>table_no_ui</t>
  </si>
  <si>
    <t>intermodal_investment</t>
  </si>
  <si>
    <t>Intermodal investment</t>
  </si>
  <si>
    <t>New ports</t>
  </si>
  <si>
    <t>New lane-miles</t>
  </si>
  <si>
    <t>New parking spaces</t>
  </si>
  <si>
    <t>E-bike subsidies</t>
  </si>
  <si>
    <t>covered_employees</t>
  </si>
  <si>
    <t>Covered employees</t>
  </si>
  <si>
    <t>New Vehicles Operating in Maximum Service (VOMS)</t>
  </si>
  <si>
    <t>Miles of bus priority</t>
  </si>
  <si>
    <t>Travel Demand Management (TDM)</t>
  </si>
  <si>
    <t>tab</t>
  </si>
  <si>
    <t>Assumptions</t>
  </si>
  <si>
    <t>Capital_Project_Inputs</t>
  </si>
  <si>
    <t>E-bike cost</t>
  </si>
  <si>
    <t>Subsidy coverage (%)</t>
  </si>
  <si>
    <t>Bike trips per week</t>
  </si>
  <si>
    <t>Average trip length</t>
  </si>
  <si>
    <t>Prior auto mode share</t>
  </si>
  <si>
    <t>Traffic Operations &amp; Roadway Expansion</t>
  </si>
  <si>
    <t>Average AADT</t>
  </si>
  <si>
    <t>VMT per lane-mile</t>
  </si>
  <si>
    <t>Travel speed (MPH)</t>
  </si>
  <si>
    <t>Truck Traffic (%)</t>
  </si>
  <si>
    <t>Induced travel elacity w/r/t/ lane mile</t>
  </si>
  <si>
    <t>Induced travel elacity w/r/t/ travel time</t>
  </si>
  <si>
    <t>Miles per vehicle per year</t>
  </si>
  <si>
    <t>unit</t>
  </si>
  <si>
    <t>Utilization (%)</t>
  </si>
  <si>
    <t>Park &amp; Ride</t>
  </si>
  <si>
    <t>Elasticity of vehicle sales w/r/t/ sales</t>
  </si>
  <si>
    <t>Average passenger miles per vehicle (load factor)</t>
  </si>
  <si>
    <t>On-road Vehicle Fuel Economy (MPGGE)</t>
  </si>
  <si>
    <t>Revenue mile per vehicle</t>
  </si>
  <si>
    <t>Bus ridership elasticity w/r/t travel time</t>
  </si>
  <si>
    <t>Bus priority % travel time change</t>
  </si>
  <si>
    <t>Daily buses per route (number)</t>
  </si>
  <si>
    <t>Route-hours affected (%)</t>
  </si>
  <si>
    <t>Routes affected (number)</t>
  </si>
  <si>
    <t>transit_category</t>
  </si>
  <si>
    <t>Bus Priority Factors</t>
  </si>
  <si>
    <t>On-Road Vehicle Fuel Economy</t>
  </si>
  <si>
    <t>Average Trip Length</t>
  </si>
  <si>
    <t>Average Passenger-Mile Per Vehicle</t>
  </si>
  <si>
    <t>Prior drive mode share of new riders</t>
  </si>
  <si>
    <t>Revenue Mile Per Vehicle</t>
  </si>
  <si>
    <t>Fuel Technology Fraction</t>
  </si>
  <si>
    <t>Onroad Public Transit - Fuel Technology Fraction (Advanced)</t>
  </si>
  <si>
    <t>Bicycle &amp; Pedestrian</t>
  </si>
  <si>
    <t>Cost per facility mile</t>
  </si>
  <si>
    <t>Annual Maintenance cost per facility mile</t>
  </si>
  <si>
    <t>Cost</t>
  </si>
  <si>
    <t>Per vehicle capital cost</t>
  </si>
  <si>
    <t>O&amp;M cost per VRM</t>
  </si>
  <si>
    <t>Fuel cost per VRM</t>
  </si>
  <si>
    <t>Traffic Operations (Intersection Improvements)</t>
  </si>
  <si>
    <t>per_mile_onm_cost</t>
  </si>
  <si>
    <t>Operating cost per mile</t>
  </si>
  <si>
    <t>Hardware cost per unit</t>
  </si>
  <si>
    <t>Installation cost per unit</t>
  </si>
  <si>
    <t>New/Expanded Park &amp; Ride</t>
  </si>
  <si>
    <t>new_spaces</t>
  </si>
  <si>
    <t>cost_per_improvement</t>
  </si>
  <si>
    <t>Cost per improvement</t>
  </si>
  <si>
    <t>annual_maintenance_cost</t>
  </si>
  <si>
    <t>Transit: Demand Response Service</t>
  </si>
  <si>
    <t>Transit: Fixed Route Service</t>
  </si>
  <si>
    <t>cost_per_employee</t>
  </si>
  <si>
    <t>Cost per employee</t>
  </si>
  <si>
    <t>Annual maintenance cost</t>
  </si>
  <si>
    <t>State subsidy per e-bike</t>
  </si>
  <si>
    <t>Fuel Price</t>
  </si>
  <si>
    <t>Fuel Price (2022$)</t>
  </si>
  <si>
    <t>dollars_per_gallon</t>
  </si>
  <si>
    <t>dollars_per_kwh</t>
  </si>
  <si>
    <t>dollars_per_gge</t>
  </si>
  <si>
    <t>Electricity</t>
  </si>
  <si>
    <t>Intermodal Freight Investment</t>
  </si>
  <si>
    <t>dollars_per_intermodal_investment</t>
  </si>
  <si>
    <t>Dollars per intermodal freight investment</t>
  </si>
  <si>
    <t>Dollars per gallon</t>
  </si>
  <si>
    <t>Dollars per kWh</t>
  </si>
  <si>
    <t>Dollars per Gasoline Gallon Equivalents (GGE)</t>
  </si>
  <si>
    <t>Light Rail</t>
  </si>
  <si>
    <t>energy_source</t>
  </si>
  <si>
    <t>Energy source (Diesel/Electric)</t>
  </si>
  <si>
    <t>Advanced</t>
  </si>
  <si>
    <t>Freight</t>
  </si>
  <si>
    <t>Growth rate</t>
  </si>
  <si>
    <t>Energy intensity (BTU/ton-mile)</t>
  </si>
  <si>
    <t>Construction</t>
  </si>
  <si>
    <t>direct_emissions</t>
  </si>
  <si>
    <t>upstream_emissions</t>
  </si>
  <si>
    <t>Direct emissions</t>
  </si>
  <si>
    <t>Upstream emissions</t>
  </si>
  <si>
    <t>Construction and Maintenance</t>
  </si>
  <si>
    <t>Fuel Apportionments</t>
  </si>
  <si>
    <t>phev_miles_on_el</t>
  </si>
  <si>
    <t>% PHEV miles driven on electricity</t>
  </si>
  <si>
    <t>Fuel technology fraction</t>
  </si>
  <si>
    <t>Passenger Cars</t>
  </si>
  <si>
    <t>Light Duty Trucks</t>
  </si>
  <si>
    <t>Medium Duty Trucks</t>
  </si>
  <si>
    <t>Heavy Duty Trucks</t>
  </si>
  <si>
    <t>EV Forecast</t>
  </si>
  <si>
    <t>Custom Forecast: Percent of on-road vehicles that are Evs</t>
  </si>
  <si>
    <t>Custom Forecast: Vehicles Miled Traveled (VMT)</t>
  </si>
  <si>
    <t>VMT Forecast</t>
  </si>
  <si>
    <t>table #</t>
  </si>
  <si>
    <t>Custom Forecast: Percent of on-road vehicles that are EVs</t>
  </si>
  <si>
    <t>Onroad Public Transit - Fuel Technology Fraction</t>
  </si>
  <si>
    <t>vmt_forecast</t>
  </si>
  <si>
    <t>trans_system_scope</t>
  </si>
  <si>
    <t>Default</t>
  </si>
  <si>
    <t>veh_elec_baseline</t>
  </si>
  <si>
    <t>AEO Baseline</t>
  </si>
  <si>
    <t>elec_grid_emissions_net_zero</t>
  </si>
  <si>
    <t>(to come)</t>
  </si>
  <si>
    <t>Category</t>
  </si>
  <si>
    <t>Unit</t>
  </si>
  <si>
    <t>Value</t>
  </si>
  <si>
    <t>Area Type</t>
  </si>
  <si>
    <t>Fuel Type</t>
  </si>
  <si>
    <t>Transit Mode</t>
  </si>
  <si>
    <t>facility_type</t>
  </si>
  <si>
    <t>Facility Type</t>
  </si>
  <si>
    <t>charge_port_detail</t>
  </si>
  <si>
    <t>Charging Port Detail</t>
  </si>
  <si>
    <t>Vehicle Type</t>
  </si>
  <si>
    <t>Road Classification</t>
  </si>
  <si>
    <t>description</t>
  </si>
  <si>
    <t>element</t>
  </si>
  <si>
    <t>Element</t>
  </si>
  <si>
    <t>Urban (4,000 - 10,000 ppsm)</t>
  </si>
  <si>
    <t>Suburban (500 - 4,000 ppsm)</t>
  </si>
  <si>
    <t>Annualization</t>
  </si>
  <si>
    <t>Prior drive mode share of new walkers/bikers</t>
  </si>
  <si>
    <t>Average reduction in drive-alone (%)</t>
  </si>
  <si>
    <t>Average work trip length (auto)</t>
  </si>
  <si>
    <t>Commuter Reduction Program</t>
  </si>
  <si>
    <t>Unique units</t>
  </si>
  <si>
    <t>horizon_year_1</t>
  </si>
  <si>
    <t>AmTrak</t>
  </si>
  <si>
    <t>Core ( greater than 10,000 ppsm)</t>
  </si>
  <si>
    <t>Rural ( less than 500 ppsm)</t>
  </si>
  <si>
    <t>Facility Types</t>
  </si>
  <si>
    <t>Captial cost per lane mile</t>
  </si>
  <si>
    <t>Cost per lane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</si>
</sst>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" fontId="0" fillId="0" borderId="0" xfId="0" applyNumberFormat="1"/>
    <xf numFmtId="1" fontId="2" fillId="0" borderId="0" xfId="1" applyNumberFormat="1" applyFont="1"/>
    <xf numFmtId="0" fontId="0" fillId="3" borderId="0" xfId="0" applyFill="1"/>
    <xf numFmtId="0" fontId="3" fillId="3" borderId="0" xfId="0" applyFont="1" applyFill="1"/>
  </cellXfs>
  <cellStyles count="2">
    <cellStyle name="Comma 2" xfId="1" xr:uid="{FD569F20-4BBB-467F-AADF-315D8A75F8BC}"/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porter_camsys_com/Documents/Documents/Library/Energy_&amp;_GHG/Analysis%20Methods/ICE%20Tool/ICE%20v2.0.2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ntroduction"/>
      <sheetName val="Project Inputs"/>
      <sheetName val="Summary Results"/>
      <sheetName val="Print Results"/>
      <sheetName val="Mitigation Strategies"/>
      <sheetName val="Bridges_Overpasses"/>
      <sheetName val="BRT"/>
      <sheetName val="Culverts"/>
      <sheetName val="Heavy_Rail"/>
      <sheetName val="Light_Rail"/>
      <sheetName val="Lighting"/>
      <sheetName val="Parking"/>
      <sheetName val="Pathways"/>
      <sheetName val="Roadways"/>
      <sheetName val="Roadway_Rehab"/>
      <sheetName val="Signage"/>
      <sheetName val="Vehicle_Ops"/>
      <sheetName val="Custom_Pavement"/>
      <sheetName val="Advanced Customization"/>
      <sheetName val="Annual Electricity Emissions"/>
      <sheetName val="Fuel Use Factors"/>
      <sheetName val="Conversion Factors"/>
      <sheetName val="Road - construction conv"/>
      <sheetName val="Road - factors"/>
      <sheetName val="Road - construction back"/>
      <sheetName val="BRT - factors"/>
      <sheetName val="Rail - factors"/>
      <sheetName val="Rail- construction back"/>
      <sheetName val="Vehicle Ops - Rates"/>
      <sheetName val="Culverts - Config"/>
      <sheetName val="Culverts - Box"/>
      <sheetName val="Culverts - Pipe"/>
      <sheetName val="Signage - Source"/>
      <sheetName val="Fuel Switching Facto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3B9C00D3-B0DA-4913-8833-2A2BAC1E6E96}" autoFormatId="16" applyNumberFormats="0" applyBorderFormats="0" applyFontFormats="0" applyPatternFormats="0" applyAlignmentFormats="0" applyWidthHeightFormats="0">
  <queryTableRefresh nextId="16">
    <queryTableFields count="13">
      <queryTableField id="1" name="category" tableColumnId="1"/>
      <queryTableField id="15" dataBound="0" tableColumnId="16"/>
      <queryTableField id="13" dataBound="0" tableColumnId="15"/>
      <queryTableField id="2" name="year" tableColumnId="2"/>
      <queryTableField id="3" name="area_type" tableColumnId="3"/>
      <queryTableField id="4" name="cap_proj_type" tableColumnId="4"/>
      <queryTableField id="5" name="DCFC_level" tableColumnId="5"/>
      <queryTableField id="6" name="veh_type" tableColumnId="6"/>
      <queryTableField id="7" name="fuel_type" tableColumnId="7"/>
      <queryTableField id="8" name="road_class" tableColumnId="8"/>
      <queryTableField id="9" name="transit_mode" tableColumnId="9"/>
      <queryTableField id="10" name="Attribute" tableColumnId="10"/>
      <queryTableField id="11" name="Valu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" xr16:uid="{0F6A8814-8CA3-40B3-88DB-8D330D287EF7}" autoFormatId="16" applyNumberFormats="0" applyBorderFormats="0" applyFontFormats="0" applyPatternFormats="0" applyAlignmentFormats="0" applyWidthHeightFormats="0">
  <queryTableRefresh nextId="15">
    <queryTableFields count="13">
      <queryTableField id="1" name="category" tableColumnId="1"/>
      <queryTableField id="12" dataBound="0" tableColumnId="12"/>
      <queryTableField id="11" dataBound="0" tableColumnId="11"/>
      <queryTableField id="13" dataBound="0" tableColumnId="13"/>
      <queryTableField id="2" name="area_type" tableColumnId="2"/>
      <queryTableField id="3" name="DCFC_level" tableColumnId="3"/>
      <queryTableField id="4" name="mode_type" tableColumnId="4"/>
      <queryTableField id="5" name="veh_type" tableColumnId="5"/>
      <queryTableField id="6" name="road_class" tableColumnId="6"/>
      <queryTableField id="7" name="transit_mode" tableColumnId="7"/>
      <queryTableField id="8" name="fuel_type" tableColumnId="8"/>
      <queryTableField id="9" name="Attribute" tableColumnId="9"/>
      <queryTableField id="10" name="Valu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60BB5190-6895-441C-BD79-1E1B38CBEA0D}" autoFormatId="16" applyNumberFormats="0" applyBorderFormats="0" applyFontFormats="0" applyPatternFormats="0" applyAlignmentFormats="0" applyWidthHeightFormats="0">
  <queryTableRefresh nextId="13">
    <queryTableFields count="12">
      <queryTableField id="1" name="category" tableColumnId="1"/>
      <queryTableField id="12" dataBound="0" tableColumnId="12"/>
      <queryTableField id="11" dataBound="0" tableColumnId="11"/>
      <queryTableField id="2" name="road_class" tableColumnId="2"/>
      <queryTableField id="3" name="area_type" tableColumnId="3"/>
      <queryTableField id="4" name="DCFC_level" tableColumnId="4"/>
      <queryTableField id="5" name="fuel_type" tableColumnId="5"/>
      <queryTableField id="6" name="veh_type" tableColumnId="6"/>
      <queryTableField id="7" name="cap_proj_type" tableColumnId="7"/>
      <queryTableField id="8" name="transit_mode" tableColumnId="8"/>
      <queryTableField id="9" name="Attribute" tableColumnId="9"/>
      <queryTableField id="10" name="Value" tableColumnId="1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7398A4-A723-4594-8114-D4CA3B039C54}" name="Table4" displayName="Table4" ref="A1:B77" totalsRowShown="0">
  <autoFilter ref="A1:B77" xr:uid="{577398A4-A723-4594-8114-D4CA3B039C54}"/>
  <tableColumns count="2">
    <tableColumn id="1" xr3:uid="{861521FB-AFE8-41AC-8235-019E62ECC04C}" name="field"/>
    <tableColumn id="2" xr3:uid="{9AA3EF18-92C6-4042-88B2-ADE2AF3DC99E}" name="description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4C8D5B-1BB4-4688-AF99-470DABEA4A9C}" name="Table20" displayName="Table20" ref="A1:K2" totalsRowShown="0">
  <autoFilter ref="A1:K2" xr:uid="{4F426ABF-DCCB-4752-B294-FF261C891BC6}"/>
  <tableColumns count="11">
    <tableColumn id="1" xr3:uid="{BFA24F73-AFFC-4C68-924D-A7EFEBB93783}" name="state"/>
    <tableColumn id="2" xr3:uid="{86E029DC-C8AD-4B29-A751-FA18A1E32745}" name="base_year"/>
    <tableColumn id="7" xr3:uid="{C09662D7-AB21-4D0B-B9A8-985838C49C33}" name="horizon_year_1" dataDxfId="29"/>
    <tableColumn id="8" xr3:uid="{927D12FA-E6E4-40ED-AB5A-2B742A6ED84E}" name="horizon_year_2" dataDxfId="28"/>
    <tableColumn id="3" xr3:uid="{9BEACC32-3B49-40DA-9E88-0B4D191589E2}" name="horizon_year_3" dataDxfId="27"/>
    <tableColumn id="4" xr3:uid="{C62DCC36-03E0-418F-AE14-A35B95B38D48}" name="trans_system_scope"/>
    <tableColumn id="5" xr3:uid="{9EFB240B-D07D-4429-8752-B7A96D3D7BFC}" name="include_electricity"/>
    <tableColumn id="6" xr3:uid="{2F26DC44-C0E0-42AC-9BF6-F8250946863C}" name="include_upstream_fuels"/>
    <tableColumn id="9" xr3:uid="{A6AC7058-A881-4E8F-8B0B-164A477E2D8E}" name="vmt_forecast"/>
    <tableColumn id="10" xr3:uid="{5F4D5870-A9AC-42C9-8E79-9A66E92247C4}" name="veh_elec_baseline"/>
    <tableColumn id="11" xr3:uid="{9B169FDC-14E0-4755-A5B4-8D111D44137B}" name="elec_grid_emissions_net_zero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072E4F-E6E1-4BE3-86C3-20AEB7497CCB}" name="Capital_Project_Inputs" displayName="Capital_Project_Inputs" ref="A1:M199" tableType="queryTable" totalsRowShown="0">
  <autoFilter ref="A1:M199" xr:uid="{68072E4F-E6E1-4BE3-86C3-20AEB7497CCB}"/>
  <tableColumns count="13">
    <tableColumn id="1" xr3:uid="{744B819E-05F1-41E4-A27E-6DECFD63BF86}" uniqueName="1" name="category" queryTableFieldId="1" dataDxfId="26"/>
    <tableColumn id="16" xr3:uid="{890BEFF7-A9A4-4CFF-A4F0-C90AF3CE3183}" uniqueName="16" name="table_no_ui" queryTableFieldId="15"/>
    <tableColumn id="15" xr3:uid="{D6881A6C-BB6B-40FA-B5D3-1321BC41440F}" uniqueName="15" name="table" queryTableFieldId="13"/>
    <tableColumn id="2" xr3:uid="{981ED663-4F70-46AC-81FD-7F56C0E382D1}" uniqueName="2" name="year" queryTableFieldId="2"/>
    <tableColumn id="3" xr3:uid="{86617F8C-88D4-459B-85FB-82D86881B5D0}" uniqueName="3" name="area_type" queryTableFieldId="3" dataDxfId="25"/>
    <tableColumn id="4" xr3:uid="{B620AAD0-B9A4-4177-8F0E-7C5D0A04C72C}" uniqueName="4" name="facility_type" queryTableFieldId="4" dataDxfId="24"/>
    <tableColumn id="5" xr3:uid="{65B39EA0-1134-49BF-BFF6-CDF5BACD108C}" uniqueName="5" name="charge_port_detail" queryTableFieldId="5" dataDxfId="23"/>
    <tableColumn id="6" xr3:uid="{D91B8D64-EE26-4F7F-B4D8-8621ACF6CD4E}" uniqueName="6" name="veh_type" queryTableFieldId="6" dataDxfId="22"/>
    <tableColumn id="7" xr3:uid="{EF16A9DF-60D7-403C-ABBD-748A320C6274}" uniqueName="7" name="fuel_type" queryTableFieldId="7" dataDxfId="21"/>
    <tableColumn id="8" xr3:uid="{00A1DE04-2630-431D-8192-A33FECA0793E}" uniqueName="8" name="road_class" queryTableFieldId="8" dataDxfId="20"/>
    <tableColumn id="9" xr3:uid="{96FECE33-0AB7-44CD-A867-E27AFFB4C993}" uniqueName="9" name="transit_mode" queryTableFieldId="9" dataDxfId="19"/>
    <tableColumn id="10" xr3:uid="{733DE83A-6E8B-4EA6-9AF5-EFE496246852}" uniqueName="10" name="unit" queryTableFieldId="10" dataDxfId="18"/>
    <tableColumn id="11" xr3:uid="{8EBFC20E-CADE-4D51-8FED-1A1BA9939FEF}" uniqueName="11" name="value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7C3A8-46EE-44EB-9FBA-E6FC8F755E4E}" name="Assumptions" displayName="Assumptions" ref="A1:M91" tableType="queryTable" totalsRowShown="0">
  <autoFilter ref="A1:M91" xr:uid="{A297C3A8-46EE-44EB-9FBA-E6FC8F755E4E}"/>
  <tableColumns count="13">
    <tableColumn id="1" xr3:uid="{4BD1A21D-E3E5-4384-89EB-562B00E4DF63}" uniqueName="1" name="category" queryTableFieldId="1" dataDxfId="17"/>
    <tableColumn id="12" xr3:uid="{CAE29803-1457-47D1-841A-87584BD9CB5B}" uniqueName="12" name="table_no_ui" queryTableFieldId="12"/>
    <tableColumn id="11" xr3:uid="{C059B05C-BA80-46D2-AE02-9CBC074084A2}" uniqueName="11" name="table" queryTableFieldId="11"/>
    <tableColumn id="13" xr3:uid="{5744091B-B0A2-46C5-BD43-10930B7C7A73}" uniqueName="13" name="transit_category" queryTableFieldId="13"/>
    <tableColumn id="2" xr3:uid="{E543836E-F07B-43F7-95A1-AC11FA8DE3A2}" uniqueName="2" name="area_type" queryTableFieldId="2" dataDxfId="16"/>
    <tableColumn id="3" xr3:uid="{5BAE7A67-94B0-49B6-9459-27C6915F8CB9}" uniqueName="3" name="DCFC_level" queryTableFieldId="3" dataDxfId="15"/>
    <tableColumn id="4" xr3:uid="{6485FBC9-3EC7-4BCB-BC6E-9258C767FA56}" uniqueName="4" name="element" queryTableFieldId="4" dataDxfId="14"/>
    <tableColumn id="5" xr3:uid="{8A7C5B7F-E699-49A1-8271-DB8397E82D07}" uniqueName="5" name="veh_type" queryTableFieldId="5" dataDxfId="13"/>
    <tableColumn id="6" xr3:uid="{4DF23E9A-124F-45BA-BE19-7AD648B3F71B}" uniqueName="6" name="road_class" queryTableFieldId="6" dataDxfId="12"/>
    <tableColumn id="7" xr3:uid="{DB5E30D1-BEA1-41DA-84F3-C92DDE82466A}" uniqueName="7" name="transit_mode" queryTableFieldId="7" dataDxfId="11"/>
    <tableColumn id="8" xr3:uid="{8F66E45A-BFB4-40A7-BBB4-A529260C81B4}" uniqueName="8" name="fuel_type" queryTableFieldId="8" dataDxfId="10"/>
    <tableColumn id="9" xr3:uid="{90422CDB-125C-4279-970D-BF19B95DE434}" uniqueName="9" name="unit" queryTableFieldId="9" dataDxfId="9"/>
    <tableColumn id="10" xr3:uid="{94E89E0D-34CF-4D89-A1CE-FCE592ABC3B1}" uniqueName="10" name="value" queryTableField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BBE325-1C6F-4C09-9176-7A99DAB4A822}" name="Cost_Parameters" displayName="Cost_Parameters" ref="A1:L160" tableType="queryTable" totalsRowShown="0">
  <autoFilter ref="A1:L160" xr:uid="{99BBE325-1C6F-4C09-9176-7A99DAB4A822}">
    <filterColumn colId="1">
      <filters>
        <filter val="1"/>
      </filters>
    </filterColumn>
  </autoFilter>
  <tableColumns count="12">
    <tableColumn id="1" xr3:uid="{3DD42230-3709-454B-BD0B-FA6259CCBFFB}" uniqueName="1" name="category" queryTableFieldId="1" dataDxfId="8"/>
    <tableColumn id="12" xr3:uid="{51540D11-62CB-4060-9764-BD474BA77EFD}" uniqueName="12" name="table_no_ui" queryTableFieldId="12"/>
    <tableColumn id="11" xr3:uid="{6F8038DF-AC95-4184-BC3C-AC189D73314C}" uniqueName="11" name="table" queryTableFieldId="11"/>
    <tableColumn id="2" xr3:uid="{C18D127F-55B0-4901-B4FB-0ECE3954A02D}" uniqueName="2" name="road_class" queryTableFieldId="2" dataDxfId="7"/>
    <tableColumn id="3" xr3:uid="{2C320ACC-55F9-4140-A2B2-DEDF98996BCA}" uniqueName="3" name="area_type" queryTableFieldId="3" dataDxfId="6"/>
    <tableColumn id="4" xr3:uid="{AC7F2C49-14CA-4996-8271-682F1343288D}" uniqueName="4" name="DCFC_level" queryTableFieldId="4" dataDxfId="5"/>
    <tableColumn id="5" xr3:uid="{6A8A0521-2C1E-4347-953A-D3775D7F1C43}" uniqueName="5" name="fuel_type" queryTableFieldId="5" dataDxfId="4"/>
    <tableColumn id="6" xr3:uid="{67D964C1-9292-43FF-AC61-B6E3E6E946BF}" uniqueName="6" name="veh_type" queryTableFieldId="6" dataDxfId="3"/>
    <tableColumn id="7" xr3:uid="{E4C68F3F-3359-4B87-8521-F20B6D03FC1D}" uniqueName="7" name="cap_proj_type" queryTableFieldId="7" dataDxfId="2"/>
    <tableColumn id="8" xr3:uid="{54747636-0341-4D9D-BAE4-FAB2EF045F9F}" uniqueName="8" name="transit_mode" queryTableFieldId="8" dataDxfId="1"/>
    <tableColumn id="9" xr3:uid="{54500AF0-1791-4CF6-B7C0-40335E914486}" uniqueName="9" name="unit" queryTableFieldId="9" dataDxfId="0"/>
    <tableColumn id="10" xr3:uid="{4708D513-48C8-4731-91FB-04282EBE1580}" uniqueName="10" name="value" queryTableFieldId="10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FFC9DE-11FC-4305-9AA3-ABF57474CF7F}" name="Advanced" displayName="Advanced" ref="A1:N263" totalsRowShown="0">
  <autoFilter ref="A1:N263" xr:uid="{C6FFC9DE-11FC-4305-9AA3-ABF57474CF7F}"/>
  <sortState xmlns:xlrd2="http://schemas.microsoft.com/office/spreadsheetml/2017/richdata2" ref="A2:N263">
    <sortCondition ref="B2:B263"/>
  </sortState>
  <tableColumns count="14">
    <tableColumn id="1" xr3:uid="{C37C49E9-9645-4C53-9F21-6315E1C2B1AD}" name="category"/>
    <tableColumn id="2" xr3:uid="{5B46CD01-0A6D-470B-A6F5-F9AB7D563F16}" name="table_no_ui"/>
    <tableColumn id="3" xr3:uid="{1F3CFBC8-1064-4C08-856A-AA09B9FFD4D5}" name="table"/>
    <tableColumn id="4" xr3:uid="{426AB0DC-7AE9-42BE-A0F4-36717A48A0FA}" name="transit_category"/>
    <tableColumn id="14" xr3:uid="{DF619B1A-EB1E-427A-AB0F-6D09647D3AE6}" name="year"/>
    <tableColumn id="5" xr3:uid="{756B83B6-AB8A-4B48-B9BE-7A7C575E9761}" name="area_type"/>
    <tableColumn id="6" xr3:uid="{BCFA378F-9565-4254-8A6F-713FD126B94F}" name="DCFC_level"/>
    <tableColumn id="7" xr3:uid="{6F52BBBF-3A62-4FB4-84AE-168529F73EEF}" name="mode_type"/>
    <tableColumn id="8" xr3:uid="{8F94DE70-C11D-4D1F-B877-87ABA118B55C}" name="veh_type"/>
    <tableColumn id="9" xr3:uid="{53E4A8E2-1612-4853-AF5F-3903E1E91352}" name="road_class"/>
    <tableColumn id="10" xr3:uid="{C20DEC63-2351-428B-992C-3823018907A5}" name="transit_mode"/>
    <tableColumn id="11" xr3:uid="{1F9B9F50-A6C7-4644-87D4-879921B2C4D0}" name="fuel_type"/>
    <tableColumn id="12" xr3:uid="{D3EE596A-B5EA-4315-BAB4-1E4AC4A81942}" name="unit"/>
    <tableColumn id="13" xr3:uid="{229E7FCA-5109-45A3-A15B-AFC3B97FA8DB}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5B6D-E039-4DB5-8DC1-41A1F59E42C1}">
  <sheetPr>
    <tabColor theme="6"/>
  </sheetPr>
  <dimension ref="A1:B77"/>
  <sheetViews>
    <sheetView workbookViewId="0">
      <selection activeCell="C19" sqref="C19"/>
    </sheetView>
  </sheetViews>
  <sheetFormatPr defaultRowHeight="14.5" x14ac:dyDescent="0.35"/>
  <cols>
    <col min="1" max="1" width="33.81640625" bestFit="1" customWidth="1"/>
    <col min="2" max="2" width="49.1796875" bestFit="1" customWidth="1"/>
    <col min="3" max="3" width="36.81640625" customWidth="1"/>
    <col min="4" max="4" width="11.54296875" bestFit="1" customWidth="1"/>
    <col min="8" max="8" width="24.81640625" customWidth="1"/>
  </cols>
  <sheetData>
    <row r="1" spans="1:2" x14ac:dyDescent="0.35">
      <c r="A1" t="s">
        <v>97</v>
      </c>
      <c r="B1" t="s">
        <v>280</v>
      </c>
    </row>
    <row r="2" spans="1:2" x14ac:dyDescent="0.35">
      <c r="A2" t="s">
        <v>88</v>
      </c>
      <c r="B2" t="s">
        <v>158</v>
      </c>
    </row>
    <row r="3" spans="1:2" x14ac:dyDescent="0.35">
      <c r="A3" t="s">
        <v>83</v>
      </c>
      <c r="B3" t="s">
        <v>159</v>
      </c>
    </row>
    <row r="4" spans="1:2" x14ac:dyDescent="0.35">
      <c r="A4" t="s">
        <v>82</v>
      </c>
      <c r="B4" t="s">
        <v>133</v>
      </c>
    </row>
    <row r="5" spans="1:2" x14ac:dyDescent="0.35">
      <c r="A5" t="s">
        <v>156</v>
      </c>
      <c r="B5" t="s">
        <v>157</v>
      </c>
    </row>
    <row r="6" spans="1:2" x14ac:dyDescent="0.35">
      <c r="A6" t="s">
        <v>144</v>
      </c>
      <c r="B6" t="s">
        <v>155</v>
      </c>
    </row>
    <row r="7" spans="1:2" x14ac:dyDescent="0.35">
      <c r="A7" t="s">
        <v>147</v>
      </c>
      <c r="B7" t="s">
        <v>111</v>
      </c>
    </row>
    <row r="8" spans="1:2" x14ac:dyDescent="0.35">
      <c r="A8" t="s">
        <v>148</v>
      </c>
      <c r="B8" t="s">
        <v>113</v>
      </c>
    </row>
    <row r="9" spans="1:2" x14ac:dyDescent="0.35">
      <c r="A9" t="s">
        <v>211</v>
      </c>
      <c r="B9" t="s">
        <v>154</v>
      </c>
    </row>
    <row r="10" spans="1:2" x14ac:dyDescent="0.35">
      <c r="A10" t="s">
        <v>81</v>
      </c>
      <c r="B10" t="s">
        <v>152</v>
      </c>
    </row>
    <row r="11" spans="1:2" x14ac:dyDescent="0.35">
      <c r="A11" t="s">
        <v>150</v>
      </c>
      <c r="B11" t="s">
        <v>151</v>
      </c>
    </row>
    <row r="12" spans="1:2" x14ac:dyDescent="0.35">
      <c r="A12" t="s">
        <v>85</v>
      </c>
      <c r="B12" t="s">
        <v>153</v>
      </c>
    </row>
    <row r="13" spans="1:2" x14ac:dyDescent="0.35">
      <c r="A13" t="s">
        <v>40</v>
      </c>
      <c r="B13" t="s">
        <v>164</v>
      </c>
    </row>
    <row r="14" spans="1:2" x14ac:dyDescent="0.35">
      <c r="A14" t="s">
        <v>41</v>
      </c>
      <c r="B14" t="s">
        <v>165</v>
      </c>
    </row>
    <row r="15" spans="1:2" x14ac:dyDescent="0.35">
      <c r="A15" t="s">
        <v>42</v>
      </c>
      <c r="B15" t="s">
        <v>166</v>
      </c>
    </row>
    <row r="16" spans="1:2" x14ac:dyDescent="0.35">
      <c r="A16" t="s">
        <v>43</v>
      </c>
      <c r="B16" t="s">
        <v>167</v>
      </c>
    </row>
    <row r="17" spans="1:2" x14ac:dyDescent="0.35">
      <c r="A17" t="s">
        <v>44</v>
      </c>
      <c r="B17" t="s">
        <v>168</v>
      </c>
    </row>
    <row r="18" spans="1:2" x14ac:dyDescent="0.35">
      <c r="A18" t="s">
        <v>30</v>
      </c>
      <c r="B18" t="s">
        <v>170</v>
      </c>
    </row>
    <row r="19" spans="1:2" x14ac:dyDescent="0.35">
      <c r="A19" t="s">
        <v>31</v>
      </c>
      <c r="B19" t="s">
        <v>171</v>
      </c>
    </row>
    <row r="20" spans="1:2" x14ac:dyDescent="0.35">
      <c r="A20" t="s">
        <v>32</v>
      </c>
      <c r="B20" t="s">
        <v>172</v>
      </c>
    </row>
    <row r="21" spans="1:2" x14ac:dyDescent="0.35">
      <c r="A21" t="s">
        <v>35</v>
      </c>
      <c r="B21" t="s">
        <v>173</v>
      </c>
    </row>
    <row r="22" spans="1:2" x14ac:dyDescent="0.35">
      <c r="A22" t="s">
        <v>36</v>
      </c>
      <c r="B22" t="s">
        <v>174</v>
      </c>
    </row>
    <row r="23" spans="1:2" x14ac:dyDescent="0.35">
      <c r="A23" t="s">
        <v>38</v>
      </c>
      <c r="B23" t="s">
        <v>175</v>
      </c>
    </row>
    <row r="24" spans="1:2" x14ac:dyDescent="0.35">
      <c r="A24" t="s">
        <v>24</v>
      </c>
      <c r="B24" t="s">
        <v>176</v>
      </c>
    </row>
    <row r="25" spans="1:2" x14ac:dyDescent="0.35">
      <c r="A25" t="s">
        <v>21</v>
      </c>
      <c r="B25" t="s">
        <v>178</v>
      </c>
    </row>
    <row r="26" spans="1:2" x14ac:dyDescent="0.35">
      <c r="A26" t="s">
        <v>15</v>
      </c>
      <c r="B26" t="s">
        <v>180</v>
      </c>
    </row>
    <row r="27" spans="1:2" x14ac:dyDescent="0.35">
      <c r="A27" t="s">
        <v>57</v>
      </c>
      <c r="B27" t="s">
        <v>181</v>
      </c>
    </row>
    <row r="28" spans="1:2" x14ac:dyDescent="0.35">
      <c r="A28" t="s">
        <v>66</v>
      </c>
      <c r="B28" t="s">
        <v>182</v>
      </c>
    </row>
    <row r="29" spans="1:2" x14ac:dyDescent="0.35">
      <c r="A29" t="s">
        <v>58</v>
      </c>
      <c r="B29" t="s">
        <v>183</v>
      </c>
    </row>
    <row r="30" spans="1:2" x14ac:dyDescent="0.35">
      <c r="A30" t="s">
        <v>51</v>
      </c>
      <c r="B30" t="s">
        <v>184</v>
      </c>
    </row>
    <row r="31" spans="1:2" x14ac:dyDescent="0.35">
      <c r="A31" t="s">
        <v>50</v>
      </c>
      <c r="B31" t="s">
        <v>185</v>
      </c>
    </row>
    <row r="32" spans="1:2" x14ac:dyDescent="0.35">
      <c r="A32" t="s">
        <v>53</v>
      </c>
      <c r="B32" t="s">
        <v>186</v>
      </c>
    </row>
    <row r="33" spans="1:2" x14ac:dyDescent="0.35">
      <c r="A33" t="s">
        <v>54</v>
      </c>
      <c r="B33" t="s">
        <v>187</v>
      </c>
    </row>
    <row r="34" spans="1:2" x14ac:dyDescent="0.35">
      <c r="A34" t="s">
        <v>52</v>
      </c>
      <c r="B34" t="s">
        <v>188</v>
      </c>
    </row>
    <row r="35" spans="1:2" x14ac:dyDescent="0.35">
      <c r="A35" t="s">
        <v>67</v>
      </c>
      <c r="B35" t="s">
        <v>249</v>
      </c>
    </row>
    <row r="36" spans="1:2" x14ac:dyDescent="0.35">
      <c r="A36" t="s">
        <v>116</v>
      </c>
      <c r="B36" t="s">
        <v>199</v>
      </c>
    </row>
    <row r="37" spans="1:2" x14ac:dyDescent="0.35">
      <c r="A37" t="s">
        <v>117</v>
      </c>
      <c r="B37" t="s">
        <v>200</v>
      </c>
    </row>
    <row r="38" spans="1:2" x14ac:dyDescent="0.35">
      <c r="A38" t="s">
        <v>110</v>
      </c>
      <c r="B38" t="s">
        <v>202</v>
      </c>
    </row>
    <row r="39" spans="1:2" x14ac:dyDescent="0.35">
      <c r="A39" t="s">
        <v>114</v>
      </c>
      <c r="B39" t="s">
        <v>204</v>
      </c>
    </row>
    <row r="40" spans="1:2" x14ac:dyDescent="0.35">
      <c r="A40" t="s">
        <v>115</v>
      </c>
      <c r="B40" t="s">
        <v>203</v>
      </c>
    </row>
    <row r="41" spans="1:2" x14ac:dyDescent="0.35">
      <c r="A41" t="s">
        <v>206</v>
      </c>
      <c r="B41" t="s">
        <v>207</v>
      </c>
    </row>
    <row r="42" spans="1:2" x14ac:dyDescent="0.35">
      <c r="A42" t="s">
        <v>104</v>
      </c>
      <c r="B42" t="s">
        <v>208</v>
      </c>
    </row>
    <row r="43" spans="1:2" x14ac:dyDescent="0.35">
      <c r="A43" t="s">
        <v>105</v>
      </c>
      <c r="B43" t="s">
        <v>209</v>
      </c>
    </row>
    <row r="44" spans="1:2" x14ac:dyDescent="0.35">
      <c r="A44" t="s">
        <v>212</v>
      </c>
      <c r="B44" t="s">
        <v>213</v>
      </c>
    </row>
    <row r="45" spans="1:2" x14ac:dyDescent="0.35">
      <c r="A45" t="s">
        <v>214</v>
      </c>
      <c r="B45" t="s">
        <v>219</v>
      </c>
    </row>
    <row r="46" spans="1:2" x14ac:dyDescent="0.35">
      <c r="A46" t="s">
        <v>217</v>
      </c>
      <c r="B46" t="s">
        <v>218</v>
      </c>
    </row>
    <row r="47" spans="1:2" x14ac:dyDescent="0.35">
      <c r="A47" t="s">
        <v>228</v>
      </c>
      <c r="B47" t="s">
        <v>229</v>
      </c>
    </row>
    <row r="48" spans="1:2" x14ac:dyDescent="0.35">
      <c r="A48" t="s">
        <v>223</v>
      </c>
      <c r="B48" t="s">
        <v>230</v>
      </c>
    </row>
    <row r="49" spans="1:2" x14ac:dyDescent="0.35">
      <c r="A49" t="s">
        <v>224</v>
      </c>
      <c r="B49" t="s">
        <v>231</v>
      </c>
    </row>
    <row r="50" spans="1:2" x14ac:dyDescent="0.35">
      <c r="A50" t="s">
        <v>225</v>
      </c>
      <c r="B50" t="s">
        <v>232</v>
      </c>
    </row>
    <row r="51" spans="1:2" x14ac:dyDescent="0.35">
      <c r="A51" t="s">
        <v>234</v>
      </c>
      <c r="B51" t="s">
        <v>235</v>
      </c>
    </row>
    <row r="52" spans="1:2" x14ac:dyDescent="0.35">
      <c r="A52" t="s">
        <v>123</v>
      </c>
      <c r="B52" t="s">
        <v>238</v>
      </c>
    </row>
    <row r="53" spans="1:2" x14ac:dyDescent="0.35">
      <c r="A53" t="s">
        <v>124</v>
      </c>
      <c r="B53" t="s">
        <v>239</v>
      </c>
    </row>
    <row r="54" spans="1:2" x14ac:dyDescent="0.35">
      <c r="A54" t="s">
        <v>241</v>
      </c>
      <c r="B54" t="s">
        <v>243</v>
      </c>
    </row>
    <row r="55" spans="1:2" x14ac:dyDescent="0.35">
      <c r="A55" t="s">
        <v>242</v>
      </c>
      <c r="B55" t="s">
        <v>244</v>
      </c>
    </row>
    <row r="56" spans="1:2" x14ac:dyDescent="0.35">
      <c r="A56" t="s">
        <v>247</v>
      </c>
      <c r="B56" t="s">
        <v>248</v>
      </c>
    </row>
    <row r="57" spans="1:2" x14ac:dyDescent="0.35">
      <c r="A57" t="s">
        <v>0</v>
      </c>
      <c r="B57" t="s">
        <v>268</v>
      </c>
    </row>
    <row r="58" spans="1:2" x14ac:dyDescent="0.35">
      <c r="A58" t="s">
        <v>149</v>
      </c>
      <c r="B58" t="s">
        <v>149</v>
      </c>
    </row>
    <row r="59" spans="1:2" x14ac:dyDescent="0.35">
      <c r="A59" t="s">
        <v>137</v>
      </c>
      <c r="B59" t="s">
        <v>137</v>
      </c>
    </row>
    <row r="60" spans="1:2" x14ac:dyDescent="0.35">
      <c r="A60" t="s">
        <v>99</v>
      </c>
      <c r="B60" t="s">
        <v>99</v>
      </c>
    </row>
    <row r="61" spans="1:2" x14ac:dyDescent="0.35">
      <c r="A61" t="s">
        <v>1</v>
      </c>
      <c r="B61" t="s">
        <v>271</v>
      </c>
    </row>
    <row r="62" spans="1:2" x14ac:dyDescent="0.35">
      <c r="A62" t="s">
        <v>274</v>
      </c>
      <c r="B62" t="s">
        <v>275</v>
      </c>
    </row>
    <row r="63" spans="1:2" x14ac:dyDescent="0.35">
      <c r="A63" t="s">
        <v>276</v>
      </c>
      <c r="B63" t="s">
        <v>277</v>
      </c>
    </row>
    <row r="64" spans="1:2" x14ac:dyDescent="0.35">
      <c r="A64" t="s">
        <v>4</v>
      </c>
      <c r="B64" t="s">
        <v>278</v>
      </c>
    </row>
    <row r="65" spans="1:2" x14ac:dyDescent="0.35">
      <c r="A65" t="s">
        <v>7</v>
      </c>
      <c r="B65" t="s">
        <v>272</v>
      </c>
    </row>
    <row r="66" spans="1:2" x14ac:dyDescent="0.35">
      <c r="A66" t="s">
        <v>5</v>
      </c>
      <c r="B66" t="s">
        <v>279</v>
      </c>
    </row>
    <row r="67" spans="1:2" x14ac:dyDescent="0.35">
      <c r="A67" t="s">
        <v>6</v>
      </c>
      <c r="B67" t="s">
        <v>273</v>
      </c>
    </row>
    <row r="68" spans="1:2" x14ac:dyDescent="0.35">
      <c r="A68" t="s">
        <v>177</v>
      </c>
      <c r="B68" t="s">
        <v>269</v>
      </c>
    </row>
    <row r="69" spans="1:2" x14ac:dyDescent="0.35">
      <c r="A69" t="s">
        <v>98</v>
      </c>
      <c r="B69" t="s">
        <v>270</v>
      </c>
    </row>
    <row r="70" spans="1:2" x14ac:dyDescent="0.35">
      <c r="A70" t="s">
        <v>281</v>
      </c>
      <c r="B70" t="s">
        <v>282</v>
      </c>
    </row>
    <row r="71" spans="1:2" x14ac:dyDescent="0.35">
      <c r="A71" t="s">
        <v>9</v>
      </c>
      <c r="B71" t="s">
        <v>286</v>
      </c>
    </row>
    <row r="72" spans="1:2" x14ac:dyDescent="0.35">
      <c r="A72" t="s">
        <v>48</v>
      </c>
      <c r="B72" t="s">
        <v>285</v>
      </c>
    </row>
    <row r="73" spans="1:2" x14ac:dyDescent="0.35">
      <c r="A73" t="s">
        <v>46</v>
      </c>
      <c r="B73" t="s">
        <v>287</v>
      </c>
    </row>
    <row r="74" spans="1:2" x14ac:dyDescent="0.35">
      <c r="A74" t="s">
        <v>47</v>
      </c>
      <c r="B74" t="s">
        <v>288</v>
      </c>
    </row>
    <row r="75" spans="1:2" x14ac:dyDescent="0.35">
      <c r="A75" t="s">
        <v>100</v>
      </c>
      <c r="B75" t="s">
        <v>295</v>
      </c>
    </row>
    <row r="76" spans="1:2" x14ac:dyDescent="0.35">
      <c r="A76" t="s">
        <v>102</v>
      </c>
      <c r="B76" t="s">
        <v>296</v>
      </c>
    </row>
    <row r="77" spans="1:2" x14ac:dyDescent="0.35">
      <c r="A77" t="s">
        <v>103</v>
      </c>
      <c r="B77" t="s">
        <v>297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03F2-C4FE-468A-BD56-8CB415FE416C}">
  <dimension ref="A1:D44"/>
  <sheetViews>
    <sheetView workbookViewId="0">
      <selection activeCell="D21" sqref="D21"/>
    </sheetView>
  </sheetViews>
  <sheetFormatPr defaultRowHeight="14.5" x14ac:dyDescent="0.35"/>
  <cols>
    <col min="1" max="1" width="12.81640625" customWidth="1"/>
    <col min="2" max="3" width="45.1796875" customWidth="1"/>
  </cols>
  <sheetData>
    <row r="1" spans="1:4" x14ac:dyDescent="0.35">
      <c r="A1" t="s">
        <v>258</v>
      </c>
      <c r="B1" t="s">
        <v>137</v>
      </c>
      <c r="C1" t="s">
        <v>161</v>
      </c>
      <c r="D1" t="s">
        <v>290</v>
      </c>
    </row>
    <row r="2" spans="1:4" x14ac:dyDescent="0.35">
      <c r="A2">
        <v>1</v>
      </c>
      <c r="B2" t="s">
        <v>138</v>
      </c>
      <c r="C2" t="s">
        <v>163</v>
      </c>
      <c r="D2" cm="1">
        <f t="array" ref="D2">SUM(--(LEN(_xlfn.UNIQUE(_xlfn._xlws.FILTER(Capital_Project_Inputs[unit],Capital_Project_Inputs[table_no_ui]=A2,"")))&gt;0))</f>
        <v>1</v>
      </c>
    </row>
    <row r="3" spans="1:4" x14ac:dyDescent="0.35">
      <c r="A3">
        <v>2</v>
      </c>
      <c r="B3" t="s">
        <v>141</v>
      </c>
      <c r="C3" t="s">
        <v>163</v>
      </c>
      <c r="D3" cm="1">
        <f t="array" ref="D3">SUM(--(LEN(_xlfn.UNIQUE(_xlfn._xlws.FILTER(Capital_Project_Inputs[unit],Capital_Project_Inputs[table_no_ui]=A3,"")))&gt;0))</f>
        <v>1</v>
      </c>
    </row>
    <row r="4" spans="1:4" x14ac:dyDescent="0.35">
      <c r="A4">
        <v>3</v>
      </c>
      <c r="B4" t="s">
        <v>135</v>
      </c>
      <c r="C4" t="s">
        <v>163</v>
      </c>
      <c r="D4" cm="1">
        <f t="array" ref="D4">SUM(--(LEN(_xlfn.UNIQUE(_xlfn._xlws.FILTER(Capital_Project_Inputs[unit],Capital_Project_Inputs[table_no_ui]=A4,"")))&gt;0))</f>
        <v>1</v>
      </c>
    </row>
    <row r="5" spans="1:4" x14ac:dyDescent="0.35">
      <c r="A5">
        <v>4</v>
      </c>
      <c r="B5" t="s">
        <v>146</v>
      </c>
      <c r="C5" t="s">
        <v>163</v>
      </c>
      <c r="D5" cm="1">
        <f t="array" ref="D5">SUM(--(LEN(_xlfn.UNIQUE(_xlfn._xlws.FILTER(Capital_Project_Inputs[unit],Capital_Project_Inputs[table_no_ui]=A5,"")))&gt;0))</f>
        <v>1</v>
      </c>
    </row>
    <row r="6" spans="1:4" x14ac:dyDescent="0.35">
      <c r="A6">
        <v>5</v>
      </c>
      <c r="B6" t="s">
        <v>139</v>
      </c>
      <c r="C6" t="s">
        <v>163</v>
      </c>
      <c r="D6" cm="1">
        <f t="array" ref="D6">SUM(--(LEN(_xlfn.UNIQUE(_xlfn._xlws.FILTER(Capital_Project_Inputs[unit],Capital_Project_Inputs[table_no_ui]=A6,"")))&gt;0))</f>
        <v>1</v>
      </c>
    </row>
    <row r="7" spans="1:4" x14ac:dyDescent="0.35">
      <c r="A7">
        <v>6</v>
      </c>
      <c r="B7" t="s">
        <v>142</v>
      </c>
      <c r="C7" t="s">
        <v>163</v>
      </c>
      <c r="D7" cm="1">
        <f t="array" ref="D7">SUM(--(LEN(_xlfn.UNIQUE(_xlfn._xlws.FILTER(Capital_Project_Inputs[unit],Capital_Project_Inputs[table_no_ui]=A7,"")))&gt;0))</f>
        <v>1</v>
      </c>
    </row>
    <row r="8" spans="1:4" x14ac:dyDescent="0.35">
      <c r="A8">
        <v>7</v>
      </c>
      <c r="B8" t="s">
        <v>143</v>
      </c>
      <c r="C8" t="s">
        <v>163</v>
      </c>
      <c r="D8" cm="1">
        <f t="array" ref="D8">SUM(--(LEN(_xlfn.UNIQUE(_xlfn._xlws.FILTER(Capital_Project_Inputs[unit],Capital_Project_Inputs[table_no_ui]=A8,"")))&gt;0))</f>
        <v>1</v>
      </c>
    </row>
    <row r="9" spans="1:4" x14ac:dyDescent="0.35">
      <c r="A9">
        <v>8</v>
      </c>
      <c r="B9" t="s">
        <v>39</v>
      </c>
      <c r="C9" t="s">
        <v>163</v>
      </c>
      <c r="D9" cm="1">
        <f t="array" ref="D9">SUM(--(LEN(_xlfn.UNIQUE(_xlfn._xlws.FILTER(Capital_Project_Inputs[unit],Capital_Project_Inputs[table_no_ui]=A9,"")))&gt;0))</f>
        <v>1</v>
      </c>
    </row>
    <row r="10" spans="1:4" x14ac:dyDescent="0.35">
      <c r="A10">
        <v>9</v>
      </c>
      <c r="B10" t="s">
        <v>205</v>
      </c>
      <c r="C10" t="s">
        <v>163</v>
      </c>
      <c r="D10" cm="1">
        <f t="array" ref="D10">SUM(--(LEN(_xlfn.UNIQUE(_xlfn._xlws.FILTER(Capital_Project_Inputs[unit],Capital_Project_Inputs[table_no_ui]=A10,"")))&gt;0))</f>
        <v>2</v>
      </c>
    </row>
    <row r="11" spans="1:4" x14ac:dyDescent="0.35">
      <c r="A11">
        <v>10</v>
      </c>
      <c r="B11" t="s">
        <v>22</v>
      </c>
      <c r="C11" t="s">
        <v>163</v>
      </c>
      <c r="D11" cm="1">
        <f t="array" ref="D11">SUM(--(LEN(_xlfn.UNIQUE(_xlfn._xlws.FILTER(Capital_Project_Inputs[unit],Capital_Project_Inputs[table_no_ui]=A11,"")))&gt;0))</f>
        <v>1</v>
      </c>
    </row>
    <row r="12" spans="1:4" x14ac:dyDescent="0.35">
      <c r="A12">
        <v>11</v>
      </c>
      <c r="B12" t="s">
        <v>20</v>
      </c>
      <c r="C12" t="s">
        <v>163</v>
      </c>
      <c r="D12" cm="1">
        <f t="array" ref="D12">SUM(--(LEN(_xlfn.UNIQUE(_xlfn._xlws.FILTER(Capital_Project_Inputs[unit],Capital_Project_Inputs[table_no_ui]=A12,"")))&gt;0))</f>
        <v>1</v>
      </c>
    </row>
    <row r="13" spans="1:4" x14ac:dyDescent="0.35">
      <c r="A13">
        <v>12</v>
      </c>
      <c r="B13" t="s">
        <v>80</v>
      </c>
      <c r="C13" t="s">
        <v>163</v>
      </c>
      <c r="D13" cm="1">
        <f t="array" ref="D13">SUM(--(LEN(_xlfn.UNIQUE(_xlfn._xlws.FILTER(Capital_Project_Inputs[unit],Capital_Project_Inputs[table_no_ui]=A13,"")))&gt;0))</f>
        <v>1</v>
      </c>
    </row>
    <row r="14" spans="1:4" x14ac:dyDescent="0.35">
      <c r="A14">
        <v>13</v>
      </c>
      <c r="B14" t="s">
        <v>134</v>
      </c>
      <c r="C14" t="s">
        <v>163</v>
      </c>
      <c r="D14" cm="1">
        <f t="array" ref="D14">SUM(--(LEN(_xlfn.UNIQUE(_xlfn._xlws.FILTER(Capital_Project_Inputs[unit],Capital_Project_Inputs[table_no_ui]=A14,"")))&gt;0))</f>
        <v>1</v>
      </c>
    </row>
    <row r="15" spans="1:4" x14ac:dyDescent="0.35">
      <c r="A15">
        <v>14</v>
      </c>
      <c r="B15" t="s">
        <v>101</v>
      </c>
      <c r="C15" t="s">
        <v>163</v>
      </c>
      <c r="D15" cm="1">
        <f t="array" ref="D15">SUM(--(LEN(_xlfn.UNIQUE(_xlfn._xlws.FILTER(Capital_Project_Inputs[unit],Capital_Project_Inputs[table_no_ui]=A15,"")))&gt;0))</f>
        <v>1</v>
      </c>
    </row>
    <row r="16" spans="1:4" x14ac:dyDescent="0.35">
      <c r="A16">
        <v>1</v>
      </c>
      <c r="B16" t="s">
        <v>8</v>
      </c>
      <c r="C16" t="s">
        <v>162</v>
      </c>
      <c r="D16" cm="1">
        <f t="array" ref="D16">SUM(--(LEN(_xlfn.UNIQUE(_xlfn._xlws.FILTER(Assumptions[unit],Assumptions[table_no_ui]=A16,"")))&gt;0))</f>
        <v>3</v>
      </c>
    </row>
    <row r="17" spans="1:4" x14ac:dyDescent="0.35">
      <c r="A17">
        <v>2</v>
      </c>
      <c r="B17" t="s">
        <v>49</v>
      </c>
      <c r="C17" t="s">
        <v>162</v>
      </c>
      <c r="D17" cm="1">
        <f t="array" ref="D17">SUM(--(LEN(_xlfn.UNIQUE(_xlfn._xlws.FILTER(Assumptions[unit],Assumptions[table_no_ui]=A17,"")))&gt;0))</f>
        <v>11</v>
      </c>
    </row>
    <row r="18" spans="1:4" x14ac:dyDescent="0.35">
      <c r="A18">
        <v>3</v>
      </c>
      <c r="B18" t="s">
        <v>160</v>
      </c>
      <c r="C18" t="s">
        <v>162</v>
      </c>
      <c r="D18" cm="1">
        <f t="array" ref="D18">SUM(--(LEN(_xlfn.UNIQUE(_xlfn._xlws.FILTER(Assumptions[unit],Assumptions[table_no_ui]=A18,"")))&gt;0))</f>
        <v>3</v>
      </c>
    </row>
    <row r="19" spans="1:4" x14ac:dyDescent="0.35">
      <c r="A19">
        <v>4</v>
      </c>
      <c r="B19" t="s">
        <v>39</v>
      </c>
      <c r="C19" t="s">
        <v>162</v>
      </c>
      <c r="D19" cm="1">
        <f t="array" ref="D19">SUM(--(LEN(_xlfn.UNIQUE(_xlfn._xlws.FILTER(Assumptions[unit],Assumptions[table_no_ui]=A19,"")))&gt;0))</f>
        <v>5</v>
      </c>
    </row>
    <row r="20" spans="1:4" x14ac:dyDescent="0.35">
      <c r="A20">
        <v>5</v>
      </c>
      <c r="B20" t="s">
        <v>169</v>
      </c>
      <c r="C20" t="s">
        <v>162</v>
      </c>
      <c r="D20" cm="1">
        <f t="array" ref="D20">SUM(--(LEN(_xlfn.UNIQUE(_xlfn._xlws.FILTER(Assumptions[unit],Assumptions[table_no_ui]=A20,"")))&gt;0))</f>
        <v>6</v>
      </c>
    </row>
    <row r="21" spans="1:4" x14ac:dyDescent="0.35">
      <c r="A21">
        <v>6</v>
      </c>
      <c r="B21" t="s">
        <v>22</v>
      </c>
      <c r="C21" t="s">
        <v>162</v>
      </c>
      <c r="D21" cm="1">
        <f t="array" ref="D21">SUM(--(LEN(_xlfn.UNIQUE(_xlfn._xlws.FILTER(Assumptions[unit],Assumptions[table_no_ui]=A21,"")))&gt;0))</f>
        <v>1</v>
      </c>
    </row>
    <row r="22" spans="1:4" x14ac:dyDescent="0.35">
      <c r="A22">
        <v>7</v>
      </c>
      <c r="B22" t="s">
        <v>179</v>
      </c>
      <c r="C22" t="s">
        <v>162</v>
      </c>
      <c r="D22" cm="1">
        <f t="array" ref="D22">SUM(--(LEN(_xlfn.UNIQUE(_xlfn._xlws.FILTER(Assumptions[unit],Assumptions[table_no_ui]=A22,"")))&gt;0))</f>
        <v>1</v>
      </c>
    </row>
    <row r="23" spans="1:4" x14ac:dyDescent="0.35">
      <c r="A23">
        <v>8</v>
      </c>
      <c r="B23" t="s">
        <v>80</v>
      </c>
      <c r="C23" t="s">
        <v>162</v>
      </c>
      <c r="D23" cm="1">
        <f t="array" ref="D23">SUM(--(LEN(_xlfn.UNIQUE(_xlfn._xlws.FILTER(Assumptions[unit],Assumptions[table_no_ui]=A23,"")))&gt;0))</f>
        <v>1</v>
      </c>
    </row>
    <row r="24" spans="1:4" x14ac:dyDescent="0.35">
      <c r="A24">
        <v>1</v>
      </c>
      <c r="B24" t="s">
        <v>198</v>
      </c>
      <c r="C24" t="s">
        <v>201</v>
      </c>
    </row>
    <row r="25" spans="1:4" x14ac:dyDescent="0.35">
      <c r="A25">
        <v>2</v>
      </c>
      <c r="B25" t="s">
        <v>216</v>
      </c>
      <c r="C25" t="s">
        <v>201</v>
      </c>
    </row>
    <row r="26" spans="1:4" x14ac:dyDescent="0.35">
      <c r="A26">
        <v>3</v>
      </c>
      <c r="B26" t="s">
        <v>215</v>
      </c>
      <c r="C26" t="s">
        <v>201</v>
      </c>
    </row>
    <row r="27" spans="1:4" x14ac:dyDescent="0.35">
      <c r="A27">
        <v>4</v>
      </c>
      <c r="B27" t="s">
        <v>139</v>
      </c>
      <c r="C27" t="s">
        <v>201</v>
      </c>
    </row>
    <row r="28" spans="1:4" x14ac:dyDescent="0.35">
      <c r="A28">
        <v>5</v>
      </c>
      <c r="B28" t="s">
        <v>93</v>
      </c>
      <c r="C28" t="s">
        <v>201</v>
      </c>
    </row>
    <row r="29" spans="1:4" x14ac:dyDescent="0.35">
      <c r="A29">
        <v>6</v>
      </c>
      <c r="B29" t="s">
        <v>143</v>
      </c>
      <c r="C29" t="s">
        <v>201</v>
      </c>
    </row>
    <row r="30" spans="1:4" x14ac:dyDescent="0.35">
      <c r="A30">
        <v>7</v>
      </c>
      <c r="B30" t="s">
        <v>39</v>
      </c>
      <c r="C30" t="s">
        <v>201</v>
      </c>
    </row>
    <row r="31" spans="1:4" x14ac:dyDescent="0.35">
      <c r="A31">
        <v>8</v>
      </c>
      <c r="B31" t="s">
        <v>205</v>
      </c>
      <c r="C31" t="s">
        <v>201</v>
      </c>
    </row>
    <row r="32" spans="1:4" x14ac:dyDescent="0.35">
      <c r="A32">
        <v>9</v>
      </c>
      <c r="B32" t="s">
        <v>22</v>
      </c>
      <c r="C32" t="s">
        <v>201</v>
      </c>
    </row>
    <row r="33" spans="1:3" x14ac:dyDescent="0.35">
      <c r="A33">
        <v>10</v>
      </c>
      <c r="B33" t="s">
        <v>179</v>
      </c>
      <c r="C33" t="s">
        <v>201</v>
      </c>
    </row>
    <row r="34" spans="1:3" x14ac:dyDescent="0.35">
      <c r="A34">
        <v>11</v>
      </c>
      <c r="B34" t="s">
        <v>80</v>
      </c>
      <c r="C34" t="s">
        <v>201</v>
      </c>
    </row>
    <row r="35" spans="1:3" x14ac:dyDescent="0.35">
      <c r="A35">
        <v>12</v>
      </c>
      <c r="B35" t="s">
        <v>101</v>
      </c>
      <c r="C35" t="s">
        <v>201</v>
      </c>
    </row>
    <row r="36" spans="1:3" x14ac:dyDescent="0.35">
      <c r="A36">
        <v>13</v>
      </c>
      <c r="B36" t="s">
        <v>221</v>
      </c>
      <c r="C36" t="s">
        <v>201</v>
      </c>
    </row>
    <row r="37" spans="1:3" x14ac:dyDescent="0.35">
      <c r="A37">
        <v>14</v>
      </c>
      <c r="B37" t="s">
        <v>227</v>
      </c>
      <c r="C37" t="s">
        <v>201</v>
      </c>
    </row>
    <row r="38" spans="1:3" x14ac:dyDescent="0.35">
      <c r="A38">
        <v>1</v>
      </c>
      <c r="B38" t="s">
        <v>259</v>
      </c>
      <c r="C38" t="s">
        <v>236</v>
      </c>
    </row>
    <row r="39" spans="1:3" x14ac:dyDescent="0.35">
      <c r="A39">
        <v>2</v>
      </c>
      <c r="B39" t="s">
        <v>256</v>
      </c>
      <c r="C39" t="s">
        <v>236</v>
      </c>
    </row>
    <row r="40" spans="1:3" x14ac:dyDescent="0.35">
      <c r="A40">
        <v>3</v>
      </c>
      <c r="B40" t="s">
        <v>260</v>
      </c>
      <c r="C40" t="s">
        <v>236</v>
      </c>
    </row>
    <row r="41" spans="1:3" x14ac:dyDescent="0.35">
      <c r="A41">
        <v>4</v>
      </c>
      <c r="B41" t="s">
        <v>120</v>
      </c>
      <c r="C41" t="s">
        <v>236</v>
      </c>
    </row>
    <row r="42" spans="1:3" x14ac:dyDescent="0.35">
      <c r="A42">
        <v>5</v>
      </c>
      <c r="B42" t="s">
        <v>122</v>
      </c>
      <c r="C42" t="s">
        <v>236</v>
      </c>
    </row>
    <row r="43" spans="1:3" x14ac:dyDescent="0.35">
      <c r="A43">
        <v>6</v>
      </c>
      <c r="B43" t="s">
        <v>245</v>
      </c>
      <c r="C43" t="s">
        <v>236</v>
      </c>
    </row>
    <row r="44" spans="1:3" x14ac:dyDescent="0.35">
      <c r="A44">
        <v>7</v>
      </c>
      <c r="B44" t="s">
        <v>246</v>
      </c>
      <c r="C44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3C76-56DE-4B9F-84BB-3595243BDAB2}">
  <sheetPr>
    <tabColor theme="1" tint="0.14999847407452621"/>
  </sheetPr>
  <dimension ref="A1:K2"/>
  <sheetViews>
    <sheetView workbookViewId="0">
      <selection activeCell="G11" sqref="G11"/>
    </sheetView>
  </sheetViews>
  <sheetFormatPr defaultColWidth="10.81640625" defaultRowHeight="14.5" x14ac:dyDescent="0.35"/>
  <cols>
    <col min="1" max="1" width="11" customWidth="1"/>
    <col min="2" max="4" width="14.81640625" customWidth="1"/>
    <col min="5" max="5" width="17.81640625" customWidth="1"/>
    <col min="6" max="6" width="14.81640625" customWidth="1"/>
    <col min="7" max="7" width="18.54296875" customWidth="1"/>
    <col min="8" max="8" width="23.36328125" customWidth="1"/>
  </cols>
  <sheetData>
    <row r="1" spans="1:11" x14ac:dyDescent="0.35">
      <c r="A1" t="s">
        <v>125</v>
      </c>
      <c r="B1" t="s">
        <v>126</v>
      </c>
      <c r="C1" t="s">
        <v>291</v>
      </c>
      <c r="D1" t="s">
        <v>127</v>
      </c>
      <c r="E1" t="s">
        <v>128</v>
      </c>
      <c r="F1" t="s">
        <v>262</v>
      </c>
      <c r="G1" t="s">
        <v>129</v>
      </c>
      <c r="H1" t="s">
        <v>130</v>
      </c>
      <c r="I1" t="s">
        <v>261</v>
      </c>
      <c r="J1" t="s">
        <v>264</v>
      </c>
      <c r="K1" t="s">
        <v>266</v>
      </c>
    </row>
    <row r="2" spans="1:11" x14ac:dyDescent="0.35">
      <c r="A2" t="s">
        <v>131</v>
      </c>
      <c r="B2">
        <v>2021</v>
      </c>
      <c r="C2" s="2">
        <v>2025</v>
      </c>
      <c r="D2" s="2">
        <v>2030</v>
      </c>
      <c r="E2" s="3">
        <v>2050</v>
      </c>
      <c r="F2" t="s">
        <v>132</v>
      </c>
      <c r="G2" t="b">
        <v>1</v>
      </c>
      <c r="H2" t="b">
        <v>0</v>
      </c>
      <c r="I2" t="s">
        <v>263</v>
      </c>
      <c r="J2" t="s">
        <v>265</v>
      </c>
      <c r="K2">
        <v>2030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8E27-EA50-4F2F-8EF4-1DF845BC5ACD}">
  <sheetPr>
    <tabColor theme="9"/>
  </sheetPr>
  <dimension ref="A1:M199"/>
  <sheetViews>
    <sheetView showGridLines="0" topLeftCell="C1" zoomScale="80" zoomScaleNormal="80" workbookViewId="0">
      <selection activeCell="L31" sqref="L31"/>
    </sheetView>
  </sheetViews>
  <sheetFormatPr defaultRowHeight="14.5" x14ac:dyDescent="0.35"/>
  <cols>
    <col min="1" max="1" width="52.81640625" bestFit="1" customWidth="1"/>
    <col min="2" max="2" width="14.08984375" customWidth="1"/>
    <col min="3" max="3" width="52.81640625" customWidth="1"/>
    <col min="4" max="4" width="32.81640625" customWidth="1"/>
    <col min="5" max="5" width="11.54296875" customWidth="1"/>
    <col min="6" max="6" width="28.36328125" customWidth="1"/>
    <col min="7" max="7" width="30.54296875" customWidth="1"/>
    <col min="8" max="8" width="17.36328125" customWidth="1"/>
    <col min="9" max="9" width="11" customWidth="1"/>
    <col min="10" max="10" width="11.81640625" customWidth="1"/>
    <col min="11" max="12" width="17.54296875" customWidth="1"/>
    <col min="13" max="13" width="19.36328125" bestFit="1" customWidth="1"/>
    <col min="14" max="14" width="47.54296875" customWidth="1"/>
  </cols>
  <sheetData>
    <row r="1" spans="1:13" x14ac:dyDescent="0.35">
      <c r="A1" s="1" t="s">
        <v>0</v>
      </c>
      <c r="B1" s="1" t="s">
        <v>149</v>
      </c>
      <c r="C1" s="1" t="s">
        <v>137</v>
      </c>
      <c r="D1" s="1" t="s">
        <v>99</v>
      </c>
      <c r="E1" s="1" t="s">
        <v>1</v>
      </c>
      <c r="F1" s="1" t="s">
        <v>274</v>
      </c>
      <c r="G1" s="1" t="s">
        <v>276</v>
      </c>
      <c r="H1" s="1" t="s">
        <v>4</v>
      </c>
      <c r="I1" s="1" t="s">
        <v>7</v>
      </c>
      <c r="J1" s="1" t="s">
        <v>5</v>
      </c>
      <c r="K1" s="1" t="s">
        <v>6</v>
      </c>
      <c r="L1" s="5" t="s">
        <v>177</v>
      </c>
      <c r="M1" t="s">
        <v>98</v>
      </c>
    </row>
    <row r="2" spans="1:13" x14ac:dyDescent="0.35">
      <c r="A2" t="s">
        <v>8</v>
      </c>
      <c r="B2">
        <v>1</v>
      </c>
      <c r="C2" t="s">
        <v>138</v>
      </c>
      <c r="D2" t="s">
        <v>291</v>
      </c>
      <c r="E2" t="s">
        <v>73</v>
      </c>
      <c r="F2" t="s">
        <v>74</v>
      </c>
      <c r="L2" t="s">
        <v>85</v>
      </c>
      <c r="M2">
        <v>4</v>
      </c>
    </row>
    <row r="3" spans="1:13" x14ac:dyDescent="0.35">
      <c r="A3" t="s">
        <v>8</v>
      </c>
      <c r="B3">
        <v>1</v>
      </c>
      <c r="C3" t="s">
        <v>138</v>
      </c>
      <c r="D3" t="s">
        <v>291</v>
      </c>
      <c r="E3" t="s">
        <v>10</v>
      </c>
      <c r="F3" t="s">
        <v>74</v>
      </c>
      <c r="L3" t="s">
        <v>85</v>
      </c>
      <c r="M3">
        <v>8</v>
      </c>
    </row>
    <row r="4" spans="1:13" x14ac:dyDescent="0.35">
      <c r="A4" t="s">
        <v>8</v>
      </c>
      <c r="B4">
        <v>1</v>
      </c>
      <c r="C4" t="s">
        <v>138</v>
      </c>
      <c r="D4" t="s">
        <v>291</v>
      </c>
      <c r="E4" t="s">
        <v>11</v>
      </c>
      <c r="F4" t="s">
        <v>74</v>
      </c>
      <c r="L4" t="s">
        <v>85</v>
      </c>
      <c r="M4">
        <v>7</v>
      </c>
    </row>
    <row r="5" spans="1:13" x14ac:dyDescent="0.35">
      <c r="A5" t="s">
        <v>8</v>
      </c>
      <c r="B5">
        <v>1</v>
      </c>
      <c r="C5" t="s">
        <v>138</v>
      </c>
      <c r="D5" t="s">
        <v>291</v>
      </c>
      <c r="E5" t="s">
        <v>12</v>
      </c>
      <c r="F5" t="s">
        <v>74</v>
      </c>
      <c r="L5" t="s">
        <v>85</v>
      </c>
      <c r="M5">
        <v>6</v>
      </c>
    </row>
    <row r="6" spans="1:13" x14ac:dyDescent="0.35">
      <c r="A6" t="s">
        <v>8</v>
      </c>
      <c r="B6">
        <v>1</v>
      </c>
      <c r="C6" t="s">
        <v>138</v>
      </c>
      <c r="D6" t="s">
        <v>291</v>
      </c>
      <c r="E6" t="s">
        <v>73</v>
      </c>
      <c r="F6" t="s">
        <v>75</v>
      </c>
      <c r="L6" t="s">
        <v>85</v>
      </c>
      <c r="M6">
        <v>8</v>
      </c>
    </row>
    <row r="7" spans="1:13" x14ac:dyDescent="0.35">
      <c r="A7" t="s">
        <v>8</v>
      </c>
      <c r="B7">
        <v>1</v>
      </c>
      <c r="C7" t="s">
        <v>138</v>
      </c>
      <c r="D7" t="s">
        <v>291</v>
      </c>
      <c r="E7" t="s">
        <v>10</v>
      </c>
      <c r="F7" t="s">
        <v>75</v>
      </c>
      <c r="L7" t="s">
        <v>85</v>
      </c>
      <c r="M7">
        <v>7</v>
      </c>
    </row>
    <row r="8" spans="1:13" x14ac:dyDescent="0.35">
      <c r="A8" t="s">
        <v>8</v>
      </c>
      <c r="B8">
        <v>1</v>
      </c>
      <c r="C8" t="s">
        <v>138</v>
      </c>
      <c r="D8" t="s">
        <v>291</v>
      </c>
      <c r="E8" t="s">
        <v>11</v>
      </c>
      <c r="F8" t="s">
        <v>75</v>
      </c>
      <c r="L8" t="s">
        <v>85</v>
      </c>
      <c r="M8">
        <v>6</v>
      </c>
    </row>
    <row r="9" spans="1:13" x14ac:dyDescent="0.35">
      <c r="A9" t="s">
        <v>8</v>
      </c>
      <c r="B9">
        <v>1</v>
      </c>
      <c r="C9" t="s">
        <v>138</v>
      </c>
      <c r="D9" t="s">
        <v>291</v>
      </c>
      <c r="E9" t="s">
        <v>12</v>
      </c>
      <c r="F9" t="s">
        <v>75</v>
      </c>
      <c r="L9" t="s">
        <v>85</v>
      </c>
      <c r="M9">
        <v>8</v>
      </c>
    </row>
    <row r="10" spans="1:13" x14ac:dyDescent="0.35">
      <c r="A10" t="s">
        <v>8</v>
      </c>
      <c r="B10">
        <v>1</v>
      </c>
      <c r="C10" t="s">
        <v>138</v>
      </c>
      <c r="D10" t="s">
        <v>291</v>
      </c>
      <c r="E10" t="s">
        <v>73</v>
      </c>
      <c r="F10" t="s">
        <v>76</v>
      </c>
      <c r="L10" t="s">
        <v>85</v>
      </c>
      <c r="M10">
        <v>8</v>
      </c>
    </row>
    <row r="11" spans="1:13" x14ac:dyDescent="0.35">
      <c r="A11" t="s">
        <v>8</v>
      </c>
      <c r="B11">
        <v>1</v>
      </c>
      <c r="C11" t="s">
        <v>138</v>
      </c>
      <c r="D11" t="s">
        <v>291</v>
      </c>
      <c r="E11" t="s">
        <v>10</v>
      </c>
      <c r="F11" t="s">
        <v>76</v>
      </c>
      <c r="L11" t="s">
        <v>85</v>
      </c>
      <c r="M11">
        <v>14</v>
      </c>
    </row>
    <row r="12" spans="1:13" x14ac:dyDescent="0.35">
      <c r="A12" t="s">
        <v>8</v>
      </c>
      <c r="B12">
        <v>1</v>
      </c>
      <c r="C12" t="s">
        <v>138</v>
      </c>
      <c r="D12" t="s">
        <v>291</v>
      </c>
      <c r="E12" t="s">
        <v>73</v>
      </c>
      <c r="F12" t="s">
        <v>77</v>
      </c>
      <c r="L12" t="s">
        <v>85</v>
      </c>
      <c r="M12">
        <v>12</v>
      </c>
    </row>
    <row r="13" spans="1:13" x14ac:dyDescent="0.35">
      <c r="A13" t="s">
        <v>8</v>
      </c>
      <c r="B13">
        <v>1</v>
      </c>
      <c r="C13" t="s">
        <v>138</v>
      </c>
      <c r="D13" t="s">
        <v>291</v>
      </c>
      <c r="E13" t="s">
        <v>10</v>
      </c>
      <c r="F13" t="s">
        <v>77</v>
      </c>
      <c r="L13" t="s">
        <v>85</v>
      </c>
      <c r="M13">
        <v>35</v>
      </c>
    </row>
    <row r="14" spans="1:13" x14ac:dyDescent="0.35">
      <c r="A14" t="s">
        <v>8</v>
      </c>
      <c r="B14">
        <v>1</v>
      </c>
      <c r="C14" t="s">
        <v>138</v>
      </c>
      <c r="D14" t="s">
        <v>291</v>
      </c>
      <c r="E14" t="s">
        <v>11</v>
      </c>
      <c r="F14" t="s">
        <v>77</v>
      </c>
      <c r="L14" t="s">
        <v>85</v>
      </c>
      <c r="M14">
        <v>98</v>
      </c>
    </row>
    <row r="15" spans="1:13" x14ac:dyDescent="0.35">
      <c r="A15" t="s">
        <v>8</v>
      </c>
      <c r="B15">
        <v>1</v>
      </c>
      <c r="C15" t="s">
        <v>138</v>
      </c>
      <c r="D15" t="s">
        <v>291</v>
      </c>
      <c r="E15" t="s">
        <v>12</v>
      </c>
      <c r="F15" t="s">
        <v>77</v>
      </c>
      <c r="L15" t="s">
        <v>85</v>
      </c>
      <c r="M15">
        <v>48</v>
      </c>
    </row>
    <row r="16" spans="1:13" x14ac:dyDescent="0.35">
      <c r="A16" t="s">
        <v>8</v>
      </c>
      <c r="B16">
        <v>1</v>
      </c>
      <c r="C16" t="s">
        <v>138</v>
      </c>
      <c r="D16" t="s">
        <v>291</v>
      </c>
      <c r="E16" t="s">
        <v>73</v>
      </c>
      <c r="F16" t="s">
        <v>78</v>
      </c>
      <c r="L16" t="s">
        <v>85</v>
      </c>
      <c r="M16">
        <v>89</v>
      </c>
    </row>
    <row r="17" spans="1:13" x14ac:dyDescent="0.35">
      <c r="A17" t="s">
        <v>8</v>
      </c>
      <c r="B17">
        <v>1</v>
      </c>
      <c r="C17" t="s">
        <v>138</v>
      </c>
      <c r="D17" t="s">
        <v>291</v>
      </c>
      <c r="E17" t="s">
        <v>10</v>
      </c>
      <c r="F17" t="s">
        <v>78</v>
      </c>
      <c r="L17" t="s">
        <v>85</v>
      </c>
      <c r="M17">
        <v>44</v>
      </c>
    </row>
    <row r="18" spans="1:13" x14ac:dyDescent="0.35">
      <c r="A18" t="s">
        <v>8</v>
      </c>
      <c r="B18">
        <v>1</v>
      </c>
      <c r="C18" t="s">
        <v>138</v>
      </c>
      <c r="D18" t="s">
        <v>291</v>
      </c>
      <c r="E18" t="s">
        <v>11</v>
      </c>
      <c r="F18" t="s">
        <v>78</v>
      </c>
      <c r="L18" t="s">
        <v>85</v>
      </c>
      <c r="M18">
        <v>11</v>
      </c>
    </row>
    <row r="19" spans="1:13" x14ac:dyDescent="0.35">
      <c r="A19" t="s">
        <v>8</v>
      </c>
      <c r="B19">
        <v>1</v>
      </c>
      <c r="C19" t="s">
        <v>138</v>
      </c>
      <c r="D19" t="s">
        <v>291</v>
      </c>
      <c r="E19" t="s">
        <v>11</v>
      </c>
      <c r="F19" t="s">
        <v>79</v>
      </c>
      <c r="L19" t="s">
        <v>85</v>
      </c>
      <c r="M19">
        <v>12</v>
      </c>
    </row>
    <row r="20" spans="1:13" x14ac:dyDescent="0.35">
      <c r="A20" t="s">
        <v>8</v>
      </c>
      <c r="B20">
        <v>1</v>
      </c>
      <c r="C20" t="s">
        <v>138</v>
      </c>
      <c r="D20" t="s">
        <v>291</v>
      </c>
      <c r="E20" t="s">
        <v>12</v>
      </c>
      <c r="F20" t="s">
        <v>79</v>
      </c>
      <c r="L20" t="s">
        <v>85</v>
      </c>
      <c r="M20">
        <v>7</v>
      </c>
    </row>
    <row r="21" spans="1:13" x14ac:dyDescent="0.35">
      <c r="A21" t="s">
        <v>8</v>
      </c>
      <c r="B21">
        <v>1</v>
      </c>
      <c r="C21" t="s">
        <v>138</v>
      </c>
      <c r="D21" t="s">
        <v>127</v>
      </c>
      <c r="E21" t="s">
        <v>73</v>
      </c>
      <c r="F21" t="s">
        <v>74</v>
      </c>
      <c r="L21" t="s">
        <v>85</v>
      </c>
      <c r="M21">
        <v>3</v>
      </c>
    </row>
    <row r="22" spans="1:13" x14ac:dyDescent="0.35">
      <c r="A22" t="s">
        <v>8</v>
      </c>
      <c r="B22">
        <v>1</v>
      </c>
      <c r="C22" t="s">
        <v>138</v>
      </c>
      <c r="D22" t="s">
        <v>127</v>
      </c>
      <c r="E22" t="s">
        <v>10</v>
      </c>
      <c r="F22" t="s">
        <v>74</v>
      </c>
      <c r="L22" t="s">
        <v>85</v>
      </c>
      <c r="M22">
        <v>55</v>
      </c>
    </row>
    <row r="23" spans="1:13" x14ac:dyDescent="0.35">
      <c r="A23" t="s">
        <v>8</v>
      </c>
      <c r="B23">
        <v>1</v>
      </c>
      <c r="C23" t="s">
        <v>138</v>
      </c>
      <c r="D23" t="s">
        <v>127</v>
      </c>
      <c r="E23" t="s">
        <v>11</v>
      </c>
      <c r="F23" t="s">
        <v>74</v>
      </c>
      <c r="L23" t="s">
        <v>85</v>
      </c>
      <c r="M23">
        <v>10</v>
      </c>
    </row>
    <row r="24" spans="1:13" x14ac:dyDescent="0.35">
      <c r="A24" t="s">
        <v>8</v>
      </c>
      <c r="B24">
        <v>1</v>
      </c>
      <c r="C24" t="s">
        <v>138</v>
      </c>
      <c r="D24" t="s">
        <v>127</v>
      </c>
      <c r="E24" t="s">
        <v>12</v>
      </c>
      <c r="F24" t="s">
        <v>74</v>
      </c>
      <c r="L24" t="s">
        <v>85</v>
      </c>
      <c r="M24">
        <v>23</v>
      </c>
    </row>
    <row r="25" spans="1:13" x14ac:dyDescent="0.35">
      <c r="A25" t="s">
        <v>8</v>
      </c>
      <c r="B25">
        <v>1</v>
      </c>
      <c r="C25" t="s">
        <v>138</v>
      </c>
      <c r="D25" t="s">
        <v>127</v>
      </c>
      <c r="E25" t="s">
        <v>73</v>
      </c>
      <c r="F25" t="s">
        <v>75</v>
      </c>
      <c r="L25" t="s">
        <v>85</v>
      </c>
      <c r="M25">
        <v>11</v>
      </c>
    </row>
    <row r="26" spans="1:13" x14ac:dyDescent="0.35">
      <c r="A26" t="s">
        <v>8</v>
      </c>
      <c r="B26">
        <v>1</v>
      </c>
      <c r="C26" t="s">
        <v>138</v>
      </c>
      <c r="D26" t="s">
        <v>127</v>
      </c>
      <c r="E26" t="s">
        <v>10</v>
      </c>
      <c r="F26" t="s">
        <v>75</v>
      </c>
      <c r="L26" t="s">
        <v>85</v>
      </c>
      <c r="M26">
        <v>10</v>
      </c>
    </row>
    <row r="27" spans="1:13" x14ac:dyDescent="0.35">
      <c r="A27" t="s">
        <v>8</v>
      </c>
      <c r="B27">
        <v>1</v>
      </c>
      <c r="C27" t="s">
        <v>138</v>
      </c>
      <c r="D27" t="s">
        <v>127</v>
      </c>
      <c r="E27" t="s">
        <v>11</v>
      </c>
      <c r="F27" t="s">
        <v>75</v>
      </c>
      <c r="L27" t="s">
        <v>85</v>
      </c>
      <c r="M27">
        <v>11</v>
      </c>
    </row>
    <row r="28" spans="1:13" x14ac:dyDescent="0.35">
      <c r="A28" t="s">
        <v>8</v>
      </c>
      <c r="B28">
        <v>1</v>
      </c>
      <c r="C28" t="s">
        <v>138</v>
      </c>
      <c r="D28" t="s">
        <v>127</v>
      </c>
      <c r="E28" t="s">
        <v>12</v>
      </c>
      <c r="F28" t="s">
        <v>75</v>
      </c>
      <c r="L28" t="s">
        <v>85</v>
      </c>
      <c r="M28">
        <v>13</v>
      </c>
    </row>
    <row r="29" spans="1:13" x14ac:dyDescent="0.35">
      <c r="A29" t="s">
        <v>8</v>
      </c>
      <c r="B29">
        <v>1</v>
      </c>
      <c r="C29" t="s">
        <v>138</v>
      </c>
      <c r="D29" t="s">
        <v>127</v>
      </c>
      <c r="E29" t="s">
        <v>73</v>
      </c>
      <c r="F29" t="s">
        <v>76</v>
      </c>
      <c r="L29" t="s">
        <v>85</v>
      </c>
      <c r="M29">
        <v>14</v>
      </c>
    </row>
    <row r="30" spans="1:13" x14ac:dyDescent="0.35">
      <c r="A30" t="s">
        <v>8</v>
      </c>
      <c r="B30">
        <v>1</v>
      </c>
      <c r="C30" t="s">
        <v>138</v>
      </c>
      <c r="D30" t="s">
        <v>127</v>
      </c>
      <c r="E30" t="s">
        <v>10</v>
      </c>
      <c r="F30" t="s">
        <v>76</v>
      </c>
      <c r="L30" t="s">
        <v>85</v>
      </c>
      <c r="M30">
        <v>72</v>
      </c>
    </row>
    <row r="31" spans="1:13" x14ac:dyDescent="0.35">
      <c r="A31" t="s">
        <v>8</v>
      </c>
      <c r="B31">
        <v>1</v>
      </c>
      <c r="C31" t="s">
        <v>138</v>
      </c>
      <c r="D31" t="s">
        <v>127</v>
      </c>
      <c r="E31" t="s">
        <v>73</v>
      </c>
      <c r="F31" t="s">
        <v>77</v>
      </c>
      <c r="L31" t="s">
        <v>85</v>
      </c>
      <c r="M31">
        <v>44</v>
      </c>
    </row>
    <row r="32" spans="1:13" x14ac:dyDescent="0.35">
      <c r="A32" t="s">
        <v>8</v>
      </c>
      <c r="B32">
        <v>1</v>
      </c>
      <c r="C32" t="s">
        <v>138</v>
      </c>
      <c r="D32" t="s">
        <v>127</v>
      </c>
      <c r="E32" t="s">
        <v>10</v>
      </c>
      <c r="F32" t="s">
        <v>77</v>
      </c>
      <c r="L32" t="s">
        <v>85</v>
      </c>
      <c r="M32">
        <v>12</v>
      </c>
    </row>
    <row r="33" spans="1:13" x14ac:dyDescent="0.35">
      <c r="A33" t="s">
        <v>8</v>
      </c>
      <c r="B33">
        <v>1</v>
      </c>
      <c r="C33" t="s">
        <v>138</v>
      </c>
      <c r="D33" t="s">
        <v>127</v>
      </c>
      <c r="E33" t="s">
        <v>11</v>
      </c>
      <c r="F33" t="s">
        <v>77</v>
      </c>
      <c r="L33" t="s">
        <v>85</v>
      </c>
      <c r="M33">
        <v>35</v>
      </c>
    </row>
    <row r="34" spans="1:13" x14ac:dyDescent="0.35">
      <c r="A34" t="s">
        <v>8</v>
      </c>
      <c r="B34">
        <v>1</v>
      </c>
      <c r="C34" t="s">
        <v>138</v>
      </c>
      <c r="D34" t="s">
        <v>127</v>
      </c>
      <c r="E34" t="s">
        <v>12</v>
      </c>
      <c r="F34" t="s">
        <v>77</v>
      </c>
      <c r="L34" t="s">
        <v>85</v>
      </c>
      <c r="M34">
        <v>98</v>
      </c>
    </row>
    <row r="35" spans="1:13" x14ac:dyDescent="0.35">
      <c r="A35" t="s">
        <v>8</v>
      </c>
      <c r="B35">
        <v>1</v>
      </c>
      <c r="C35" t="s">
        <v>138</v>
      </c>
      <c r="D35" t="s">
        <v>127</v>
      </c>
      <c r="E35" t="s">
        <v>73</v>
      </c>
      <c r="F35" t="s">
        <v>78</v>
      </c>
      <c r="L35" t="s">
        <v>85</v>
      </c>
      <c r="M35">
        <v>48</v>
      </c>
    </row>
    <row r="36" spans="1:13" x14ac:dyDescent="0.35">
      <c r="A36" t="s">
        <v>8</v>
      </c>
      <c r="B36">
        <v>1</v>
      </c>
      <c r="C36" t="s">
        <v>138</v>
      </c>
      <c r="D36" t="s">
        <v>127</v>
      </c>
      <c r="E36" t="s">
        <v>10</v>
      </c>
      <c r="F36" t="s">
        <v>78</v>
      </c>
      <c r="L36" t="s">
        <v>85</v>
      </c>
      <c r="M36">
        <v>89</v>
      </c>
    </row>
    <row r="37" spans="1:13" x14ac:dyDescent="0.35">
      <c r="A37" t="s">
        <v>8</v>
      </c>
      <c r="B37">
        <v>1</v>
      </c>
      <c r="C37" t="s">
        <v>138</v>
      </c>
      <c r="D37" t="s">
        <v>127</v>
      </c>
      <c r="E37" t="s">
        <v>11</v>
      </c>
      <c r="F37" t="s">
        <v>78</v>
      </c>
      <c r="L37" t="s">
        <v>85</v>
      </c>
      <c r="M37">
        <v>44</v>
      </c>
    </row>
    <row r="38" spans="1:13" x14ac:dyDescent="0.35">
      <c r="A38" t="s">
        <v>8</v>
      </c>
      <c r="B38">
        <v>1</v>
      </c>
      <c r="C38" t="s">
        <v>138</v>
      </c>
      <c r="D38" t="s">
        <v>127</v>
      </c>
      <c r="E38" t="s">
        <v>11</v>
      </c>
      <c r="F38" t="s">
        <v>79</v>
      </c>
      <c r="L38" t="s">
        <v>85</v>
      </c>
      <c r="M38">
        <v>11</v>
      </c>
    </row>
    <row r="39" spans="1:13" x14ac:dyDescent="0.35">
      <c r="A39" t="s">
        <v>8</v>
      </c>
      <c r="B39">
        <v>1</v>
      </c>
      <c r="C39" t="s">
        <v>138</v>
      </c>
      <c r="D39" t="s">
        <v>127</v>
      </c>
      <c r="E39" t="s">
        <v>12</v>
      </c>
      <c r="F39" t="s">
        <v>79</v>
      </c>
      <c r="L39" t="s">
        <v>85</v>
      </c>
      <c r="M39">
        <v>12</v>
      </c>
    </row>
    <row r="40" spans="1:13" x14ac:dyDescent="0.35">
      <c r="A40" t="s">
        <v>8</v>
      </c>
      <c r="B40">
        <v>1</v>
      </c>
      <c r="C40" t="s">
        <v>138</v>
      </c>
      <c r="D40" t="s">
        <v>128</v>
      </c>
      <c r="E40" t="s">
        <v>73</v>
      </c>
      <c r="F40" t="s">
        <v>74</v>
      </c>
      <c r="L40" t="s">
        <v>85</v>
      </c>
      <c r="M40">
        <v>7</v>
      </c>
    </row>
    <row r="41" spans="1:13" x14ac:dyDescent="0.35">
      <c r="A41" t="s">
        <v>8</v>
      </c>
      <c r="B41">
        <v>1</v>
      </c>
      <c r="C41" t="s">
        <v>138</v>
      </c>
      <c r="D41" t="s">
        <v>128</v>
      </c>
      <c r="E41" t="s">
        <v>10</v>
      </c>
      <c r="F41" t="s">
        <v>74</v>
      </c>
      <c r="L41" t="s">
        <v>85</v>
      </c>
      <c r="M41">
        <v>3</v>
      </c>
    </row>
    <row r="42" spans="1:13" x14ac:dyDescent="0.35">
      <c r="A42" t="s">
        <v>8</v>
      </c>
      <c r="B42">
        <v>1</v>
      </c>
      <c r="C42" t="s">
        <v>138</v>
      </c>
      <c r="D42" t="s">
        <v>128</v>
      </c>
      <c r="E42" t="s">
        <v>11</v>
      </c>
      <c r="F42" t="s">
        <v>74</v>
      </c>
      <c r="L42" t="s">
        <v>85</v>
      </c>
      <c r="M42">
        <v>55</v>
      </c>
    </row>
    <row r="43" spans="1:13" x14ac:dyDescent="0.35">
      <c r="A43" t="s">
        <v>8</v>
      </c>
      <c r="B43">
        <v>1</v>
      </c>
      <c r="C43" t="s">
        <v>138</v>
      </c>
      <c r="D43" t="s">
        <v>128</v>
      </c>
      <c r="E43" t="s">
        <v>12</v>
      </c>
      <c r="F43" t="s">
        <v>74</v>
      </c>
      <c r="L43" t="s">
        <v>85</v>
      </c>
      <c r="M43">
        <v>10</v>
      </c>
    </row>
    <row r="44" spans="1:13" x14ac:dyDescent="0.35">
      <c r="A44" t="s">
        <v>8</v>
      </c>
      <c r="B44">
        <v>1</v>
      </c>
      <c r="C44" t="s">
        <v>138</v>
      </c>
      <c r="D44" t="s">
        <v>128</v>
      </c>
      <c r="E44" t="s">
        <v>73</v>
      </c>
      <c r="F44" t="s">
        <v>75</v>
      </c>
      <c r="L44" t="s">
        <v>85</v>
      </c>
      <c r="M44">
        <v>23</v>
      </c>
    </row>
    <row r="45" spans="1:13" x14ac:dyDescent="0.35">
      <c r="A45" t="s">
        <v>8</v>
      </c>
      <c r="B45">
        <v>1</v>
      </c>
      <c r="C45" t="s">
        <v>138</v>
      </c>
      <c r="D45" t="s">
        <v>128</v>
      </c>
      <c r="E45" t="s">
        <v>10</v>
      </c>
      <c r="F45" t="s">
        <v>75</v>
      </c>
      <c r="L45" t="s">
        <v>85</v>
      </c>
      <c r="M45">
        <v>12</v>
      </c>
    </row>
    <row r="46" spans="1:13" x14ac:dyDescent="0.35">
      <c r="A46" t="s">
        <v>8</v>
      </c>
      <c r="B46">
        <v>1</v>
      </c>
      <c r="C46" t="s">
        <v>138</v>
      </c>
      <c r="D46" t="s">
        <v>128</v>
      </c>
      <c r="E46" t="s">
        <v>11</v>
      </c>
      <c r="F46" t="s">
        <v>75</v>
      </c>
      <c r="L46" t="s">
        <v>85</v>
      </c>
      <c r="M46">
        <v>7</v>
      </c>
    </row>
    <row r="47" spans="1:13" x14ac:dyDescent="0.35">
      <c r="A47" t="s">
        <v>8</v>
      </c>
      <c r="B47">
        <v>1</v>
      </c>
      <c r="C47" t="s">
        <v>138</v>
      </c>
      <c r="D47" t="s">
        <v>128</v>
      </c>
      <c r="E47" t="s">
        <v>12</v>
      </c>
      <c r="F47" t="s">
        <v>75</v>
      </c>
      <c r="L47" t="s">
        <v>85</v>
      </c>
      <c r="M47">
        <v>3</v>
      </c>
    </row>
    <row r="48" spans="1:13" x14ac:dyDescent="0.35">
      <c r="A48" t="s">
        <v>8</v>
      </c>
      <c r="B48">
        <v>1</v>
      </c>
      <c r="C48" t="s">
        <v>138</v>
      </c>
      <c r="D48" t="s">
        <v>128</v>
      </c>
      <c r="E48" t="s">
        <v>73</v>
      </c>
      <c r="F48" t="s">
        <v>76</v>
      </c>
      <c r="L48" t="s">
        <v>85</v>
      </c>
      <c r="M48">
        <v>55</v>
      </c>
    </row>
    <row r="49" spans="1:13" x14ac:dyDescent="0.35">
      <c r="A49" t="s">
        <v>8</v>
      </c>
      <c r="B49">
        <v>1</v>
      </c>
      <c r="C49" t="s">
        <v>138</v>
      </c>
      <c r="D49" t="s">
        <v>128</v>
      </c>
      <c r="E49" t="s">
        <v>10</v>
      </c>
      <c r="F49" t="s">
        <v>76</v>
      </c>
      <c r="L49" t="s">
        <v>85</v>
      </c>
      <c r="M49">
        <v>10</v>
      </c>
    </row>
    <row r="50" spans="1:13" x14ac:dyDescent="0.35">
      <c r="A50" t="s">
        <v>8</v>
      </c>
      <c r="B50">
        <v>1</v>
      </c>
      <c r="C50" t="s">
        <v>138</v>
      </c>
      <c r="D50" t="s">
        <v>128</v>
      </c>
      <c r="E50" t="s">
        <v>73</v>
      </c>
      <c r="F50" t="s">
        <v>77</v>
      </c>
      <c r="L50" t="s">
        <v>85</v>
      </c>
      <c r="M50">
        <v>52</v>
      </c>
    </row>
    <row r="51" spans="1:13" x14ac:dyDescent="0.35">
      <c r="A51" t="s">
        <v>8</v>
      </c>
      <c r="B51">
        <v>1</v>
      </c>
      <c r="C51" t="s">
        <v>138</v>
      </c>
      <c r="D51" t="s">
        <v>128</v>
      </c>
      <c r="E51" t="s">
        <v>10</v>
      </c>
      <c r="F51" t="s">
        <v>77</v>
      </c>
      <c r="L51" t="s">
        <v>85</v>
      </c>
      <c r="M51">
        <v>11</v>
      </c>
    </row>
    <row r="52" spans="1:13" x14ac:dyDescent="0.35">
      <c r="A52" t="s">
        <v>8</v>
      </c>
      <c r="B52">
        <v>1</v>
      </c>
      <c r="C52" t="s">
        <v>138</v>
      </c>
      <c r="D52" t="s">
        <v>128</v>
      </c>
      <c r="E52" t="s">
        <v>11</v>
      </c>
      <c r="F52" t="s">
        <v>77</v>
      </c>
      <c r="L52" t="s">
        <v>85</v>
      </c>
      <c r="M52">
        <v>42</v>
      </c>
    </row>
    <row r="53" spans="1:13" x14ac:dyDescent="0.35">
      <c r="A53" t="s">
        <v>8</v>
      </c>
      <c r="B53">
        <v>1</v>
      </c>
      <c r="C53" t="s">
        <v>138</v>
      </c>
      <c r="D53" t="s">
        <v>128</v>
      </c>
      <c r="E53" t="s">
        <v>12</v>
      </c>
      <c r="F53" t="s">
        <v>77</v>
      </c>
      <c r="L53" t="s">
        <v>85</v>
      </c>
      <c r="M53">
        <v>14</v>
      </c>
    </row>
    <row r="54" spans="1:13" x14ac:dyDescent="0.35">
      <c r="A54" t="s">
        <v>8</v>
      </c>
      <c r="B54">
        <v>1</v>
      </c>
      <c r="C54" t="s">
        <v>138</v>
      </c>
      <c r="D54" t="s">
        <v>128</v>
      </c>
      <c r="E54" t="s">
        <v>73</v>
      </c>
      <c r="F54" t="s">
        <v>78</v>
      </c>
      <c r="L54" t="s">
        <v>85</v>
      </c>
      <c r="M54">
        <v>24</v>
      </c>
    </row>
    <row r="55" spans="1:13" x14ac:dyDescent="0.35">
      <c r="A55" t="s">
        <v>8</v>
      </c>
      <c r="B55">
        <v>1</v>
      </c>
      <c r="C55" t="s">
        <v>138</v>
      </c>
      <c r="D55" t="s">
        <v>128</v>
      </c>
      <c r="E55" t="s">
        <v>10</v>
      </c>
      <c r="F55" t="s">
        <v>78</v>
      </c>
      <c r="L55" t="s">
        <v>85</v>
      </c>
      <c r="M55">
        <v>18</v>
      </c>
    </row>
    <row r="56" spans="1:13" x14ac:dyDescent="0.35">
      <c r="A56" t="s">
        <v>8</v>
      </c>
      <c r="B56">
        <v>1</v>
      </c>
      <c r="C56" t="s">
        <v>138</v>
      </c>
      <c r="D56" t="s">
        <v>128</v>
      </c>
      <c r="E56" t="s">
        <v>11</v>
      </c>
      <c r="F56" t="s">
        <v>78</v>
      </c>
      <c r="L56" t="s">
        <v>85</v>
      </c>
      <c r="M56">
        <v>40</v>
      </c>
    </row>
    <row r="57" spans="1:13" x14ac:dyDescent="0.35">
      <c r="A57" t="s">
        <v>8</v>
      </c>
      <c r="B57">
        <v>1</v>
      </c>
      <c r="C57" t="s">
        <v>138</v>
      </c>
      <c r="D57" t="s">
        <v>128</v>
      </c>
      <c r="E57" t="s">
        <v>11</v>
      </c>
      <c r="F57" t="s">
        <v>79</v>
      </c>
      <c r="L57" t="s">
        <v>85</v>
      </c>
      <c r="M57">
        <v>12</v>
      </c>
    </row>
    <row r="58" spans="1:13" x14ac:dyDescent="0.35">
      <c r="A58" t="s">
        <v>8</v>
      </c>
      <c r="B58">
        <v>1</v>
      </c>
      <c r="C58" t="s">
        <v>138</v>
      </c>
      <c r="D58" t="s">
        <v>128</v>
      </c>
      <c r="E58" t="s">
        <v>12</v>
      </c>
      <c r="F58" t="s">
        <v>79</v>
      </c>
      <c r="L58" t="s">
        <v>85</v>
      </c>
      <c r="M58">
        <v>13</v>
      </c>
    </row>
    <row r="59" spans="1:13" x14ac:dyDescent="0.35">
      <c r="A59" t="s">
        <v>86</v>
      </c>
      <c r="B59">
        <v>2</v>
      </c>
      <c r="C59" t="s">
        <v>141</v>
      </c>
      <c r="D59" t="s">
        <v>291</v>
      </c>
      <c r="E59" t="s">
        <v>10</v>
      </c>
      <c r="I59" t="s">
        <v>87</v>
      </c>
      <c r="K59" t="s">
        <v>56</v>
      </c>
      <c r="L59" t="s">
        <v>88</v>
      </c>
      <c r="M59">
        <v>44</v>
      </c>
    </row>
    <row r="60" spans="1:13" x14ac:dyDescent="0.35">
      <c r="A60" t="s">
        <v>86</v>
      </c>
      <c r="B60">
        <v>2</v>
      </c>
      <c r="C60" t="s">
        <v>141</v>
      </c>
      <c r="D60" t="s">
        <v>291</v>
      </c>
      <c r="E60" t="s">
        <v>12</v>
      </c>
      <c r="I60" t="s">
        <v>87</v>
      </c>
      <c r="K60" t="s">
        <v>56</v>
      </c>
      <c r="L60" t="s">
        <v>88</v>
      </c>
      <c r="M60">
        <v>55</v>
      </c>
    </row>
    <row r="61" spans="1:13" x14ac:dyDescent="0.35">
      <c r="A61" t="s">
        <v>86</v>
      </c>
      <c r="B61">
        <v>2</v>
      </c>
      <c r="C61" t="s">
        <v>141</v>
      </c>
      <c r="D61" t="s">
        <v>127</v>
      </c>
      <c r="E61" t="s">
        <v>10</v>
      </c>
      <c r="I61" t="s">
        <v>87</v>
      </c>
      <c r="K61" t="s">
        <v>56</v>
      </c>
      <c r="L61" t="s">
        <v>88</v>
      </c>
      <c r="M61">
        <v>88</v>
      </c>
    </row>
    <row r="62" spans="1:13" x14ac:dyDescent="0.35">
      <c r="A62" t="s">
        <v>86</v>
      </c>
      <c r="B62">
        <v>2</v>
      </c>
      <c r="C62" t="s">
        <v>141</v>
      </c>
      <c r="D62" t="s">
        <v>127</v>
      </c>
      <c r="E62" t="s">
        <v>12</v>
      </c>
      <c r="I62" t="s">
        <v>87</v>
      </c>
      <c r="K62" t="s">
        <v>56</v>
      </c>
      <c r="L62" t="s">
        <v>88</v>
      </c>
      <c r="M62">
        <v>77</v>
      </c>
    </row>
    <row r="63" spans="1:13" x14ac:dyDescent="0.35">
      <c r="A63" t="s">
        <v>86</v>
      </c>
      <c r="B63">
        <v>2</v>
      </c>
      <c r="C63" t="s">
        <v>141</v>
      </c>
      <c r="D63" t="s">
        <v>128</v>
      </c>
      <c r="E63" t="s">
        <v>10</v>
      </c>
      <c r="I63" t="s">
        <v>87</v>
      </c>
      <c r="K63" t="s">
        <v>56</v>
      </c>
      <c r="L63" t="s">
        <v>88</v>
      </c>
      <c r="M63">
        <v>99</v>
      </c>
    </row>
    <row r="64" spans="1:13" x14ac:dyDescent="0.35">
      <c r="A64" t="s">
        <v>86</v>
      </c>
      <c r="B64">
        <v>2</v>
      </c>
      <c r="C64" t="s">
        <v>141</v>
      </c>
      <c r="D64" t="s">
        <v>128</v>
      </c>
      <c r="E64" t="s">
        <v>12</v>
      </c>
      <c r="I64" t="s">
        <v>87</v>
      </c>
      <c r="K64" t="s">
        <v>56</v>
      </c>
      <c r="L64" t="s">
        <v>88</v>
      </c>
      <c r="M64">
        <v>56</v>
      </c>
    </row>
    <row r="65" spans="1:13" x14ac:dyDescent="0.35">
      <c r="A65" t="s">
        <v>86</v>
      </c>
      <c r="B65">
        <v>2</v>
      </c>
      <c r="C65" t="s">
        <v>141</v>
      </c>
      <c r="D65" t="s">
        <v>291</v>
      </c>
      <c r="E65" t="s">
        <v>10</v>
      </c>
      <c r="I65" t="s">
        <v>89</v>
      </c>
      <c r="K65" t="s">
        <v>56</v>
      </c>
      <c r="L65" t="s">
        <v>88</v>
      </c>
      <c r="M65">
        <v>45</v>
      </c>
    </row>
    <row r="66" spans="1:13" x14ac:dyDescent="0.35">
      <c r="A66" t="s">
        <v>86</v>
      </c>
      <c r="B66">
        <v>2</v>
      </c>
      <c r="C66" t="s">
        <v>141</v>
      </c>
      <c r="D66" t="s">
        <v>291</v>
      </c>
      <c r="E66" t="s">
        <v>12</v>
      </c>
      <c r="I66" t="s">
        <v>89</v>
      </c>
      <c r="K66" t="s">
        <v>56</v>
      </c>
      <c r="L66" t="s">
        <v>88</v>
      </c>
      <c r="M66">
        <v>66</v>
      </c>
    </row>
    <row r="67" spans="1:13" x14ac:dyDescent="0.35">
      <c r="A67" t="s">
        <v>86</v>
      </c>
      <c r="B67">
        <v>2</v>
      </c>
      <c r="C67" t="s">
        <v>141</v>
      </c>
      <c r="D67" t="s">
        <v>127</v>
      </c>
      <c r="E67" t="s">
        <v>10</v>
      </c>
      <c r="I67" t="s">
        <v>89</v>
      </c>
      <c r="K67" t="s">
        <v>56</v>
      </c>
      <c r="L67" t="s">
        <v>88</v>
      </c>
      <c r="M67">
        <v>99</v>
      </c>
    </row>
    <row r="68" spans="1:13" x14ac:dyDescent="0.35">
      <c r="A68" t="s">
        <v>86</v>
      </c>
      <c r="B68">
        <v>2</v>
      </c>
      <c r="C68" t="s">
        <v>141</v>
      </c>
      <c r="D68" t="s">
        <v>127</v>
      </c>
      <c r="E68" t="s">
        <v>12</v>
      </c>
      <c r="I68" t="s">
        <v>89</v>
      </c>
      <c r="K68" t="s">
        <v>56</v>
      </c>
      <c r="L68" t="s">
        <v>88</v>
      </c>
      <c r="M68">
        <v>79</v>
      </c>
    </row>
    <row r="69" spans="1:13" x14ac:dyDescent="0.35">
      <c r="A69" t="s">
        <v>86</v>
      </c>
      <c r="B69">
        <v>2</v>
      </c>
      <c r="C69" t="s">
        <v>141</v>
      </c>
      <c r="D69" t="s">
        <v>128</v>
      </c>
      <c r="E69" t="s">
        <v>10</v>
      </c>
      <c r="I69" t="s">
        <v>89</v>
      </c>
      <c r="K69" t="s">
        <v>56</v>
      </c>
      <c r="L69" t="s">
        <v>88</v>
      </c>
      <c r="M69">
        <v>89</v>
      </c>
    </row>
    <row r="70" spans="1:13" x14ac:dyDescent="0.35">
      <c r="A70" t="s">
        <v>86</v>
      </c>
      <c r="B70">
        <v>2</v>
      </c>
      <c r="C70" t="s">
        <v>141</v>
      </c>
      <c r="D70" t="s">
        <v>128</v>
      </c>
      <c r="E70" t="s">
        <v>12</v>
      </c>
      <c r="I70" t="s">
        <v>89</v>
      </c>
      <c r="K70" t="s">
        <v>56</v>
      </c>
      <c r="L70" t="s">
        <v>88</v>
      </c>
      <c r="M70">
        <v>77</v>
      </c>
    </row>
    <row r="71" spans="1:13" x14ac:dyDescent="0.35">
      <c r="A71" t="s">
        <v>86</v>
      </c>
      <c r="B71">
        <v>2</v>
      </c>
      <c r="C71" t="s">
        <v>141</v>
      </c>
      <c r="D71" t="s">
        <v>291</v>
      </c>
      <c r="E71" t="s">
        <v>10</v>
      </c>
      <c r="I71" t="s">
        <v>91</v>
      </c>
      <c r="K71" t="s">
        <v>56</v>
      </c>
      <c r="L71" t="s">
        <v>88</v>
      </c>
      <c r="M71">
        <v>94</v>
      </c>
    </row>
    <row r="72" spans="1:13" x14ac:dyDescent="0.35">
      <c r="A72" t="s">
        <v>86</v>
      </c>
      <c r="B72">
        <v>2</v>
      </c>
      <c r="C72" t="s">
        <v>141</v>
      </c>
      <c r="D72" t="s">
        <v>291</v>
      </c>
      <c r="E72" t="s">
        <v>12</v>
      </c>
      <c r="I72" t="s">
        <v>91</v>
      </c>
      <c r="K72" t="s">
        <v>56</v>
      </c>
      <c r="L72" t="s">
        <v>88</v>
      </c>
      <c r="M72">
        <v>56</v>
      </c>
    </row>
    <row r="73" spans="1:13" x14ac:dyDescent="0.35">
      <c r="A73" t="s">
        <v>86</v>
      </c>
      <c r="B73">
        <v>2</v>
      </c>
      <c r="C73" t="s">
        <v>141</v>
      </c>
      <c r="D73" t="s">
        <v>127</v>
      </c>
      <c r="E73" t="s">
        <v>10</v>
      </c>
      <c r="I73" t="s">
        <v>91</v>
      </c>
      <c r="K73" t="s">
        <v>56</v>
      </c>
      <c r="L73" t="s">
        <v>88</v>
      </c>
      <c r="M73">
        <v>45</v>
      </c>
    </row>
    <row r="74" spans="1:13" x14ac:dyDescent="0.35">
      <c r="A74" t="s">
        <v>86</v>
      </c>
      <c r="B74">
        <v>2</v>
      </c>
      <c r="C74" t="s">
        <v>141</v>
      </c>
      <c r="D74" t="s">
        <v>127</v>
      </c>
      <c r="E74" t="s">
        <v>12</v>
      </c>
      <c r="I74" t="s">
        <v>91</v>
      </c>
      <c r="K74" t="s">
        <v>56</v>
      </c>
      <c r="L74" t="s">
        <v>88</v>
      </c>
      <c r="M74">
        <v>66</v>
      </c>
    </row>
    <row r="75" spans="1:13" x14ac:dyDescent="0.35">
      <c r="A75" t="s">
        <v>86</v>
      </c>
      <c r="B75">
        <v>2</v>
      </c>
      <c r="C75" t="s">
        <v>141</v>
      </c>
      <c r="D75" t="s">
        <v>128</v>
      </c>
      <c r="E75" t="s">
        <v>10</v>
      </c>
      <c r="I75" t="s">
        <v>91</v>
      </c>
      <c r="K75" t="s">
        <v>56</v>
      </c>
      <c r="L75" t="s">
        <v>88</v>
      </c>
      <c r="M75">
        <v>99</v>
      </c>
    </row>
    <row r="76" spans="1:13" x14ac:dyDescent="0.35">
      <c r="A76" t="s">
        <v>86</v>
      </c>
      <c r="B76">
        <v>2</v>
      </c>
      <c r="C76" t="s">
        <v>141</v>
      </c>
      <c r="D76" t="s">
        <v>128</v>
      </c>
      <c r="E76" t="s">
        <v>12</v>
      </c>
      <c r="I76" t="s">
        <v>91</v>
      </c>
      <c r="K76" t="s">
        <v>56</v>
      </c>
      <c r="L76" t="s">
        <v>88</v>
      </c>
      <c r="M76">
        <v>79</v>
      </c>
    </row>
    <row r="77" spans="1:13" x14ac:dyDescent="0.35">
      <c r="A77" t="s">
        <v>90</v>
      </c>
      <c r="B77">
        <v>3</v>
      </c>
      <c r="C77" t="s">
        <v>135</v>
      </c>
      <c r="D77" t="s">
        <v>291</v>
      </c>
      <c r="E77" t="s">
        <v>10</v>
      </c>
      <c r="I77" t="s">
        <v>89</v>
      </c>
      <c r="K77" t="s">
        <v>59</v>
      </c>
      <c r="L77" t="s">
        <v>88</v>
      </c>
      <c r="M77">
        <v>45</v>
      </c>
    </row>
    <row r="78" spans="1:13" x14ac:dyDescent="0.35">
      <c r="A78" t="s">
        <v>90</v>
      </c>
      <c r="B78">
        <v>3</v>
      </c>
      <c r="C78" t="s">
        <v>135</v>
      </c>
      <c r="D78" t="s">
        <v>291</v>
      </c>
      <c r="E78" t="s">
        <v>12</v>
      </c>
      <c r="I78" t="s">
        <v>89</v>
      </c>
      <c r="K78" t="s">
        <v>59</v>
      </c>
      <c r="L78" t="s">
        <v>88</v>
      </c>
      <c r="M78">
        <v>66</v>
      </c>
    </row>
    <row r="79" spans="1:13" x14ac:dyDescent="0.35">
      <c r="A79" t="s">
        <v>90</v>
      </c>
      <c r="B79">
        <v>3</v>
      </c>
      <c r="C79" t="s">
        <v>135</v>
      </c>
      <c r="D79" t="s">
        <v>127</v>
      </c>
      <c r="E79" t="s">
        <v>10</v>
      </c>
      <c r="I79" t="s">
        <v>89</v>
      </c>
      <c r="K79" t="s">
        <v>59</v>
      </c>
      <c r="L79" t="s">
        <v>88</v>
      </c>
      <c r="M79">
        <v>99</v>
      </c>
    </row>
    <row r="80" spans="1:13" x14ac:dyDescent="0.35">
      <c r="A80" t="s">
        <v>90</v>
      </c>
      <c r="B80">
        <v>3</v>
      </c>
      <c r="C80" t="s">
        <v>135</v>
      </c>
      <c r="D80" t="s">
        <v>127</v>
      </c>
      <c r="E80" t="s">
        <v>12</v>
      </c>
      <c r="I80" t="s">
        <v>89</v>
      </c>
      <c r="K80" t="s">
        <v>59</v>
      </c>
      <c r="L80" t="s">
        <v>88</v>
      </c>
      <c r="M80">
        <v>79</v>
      </c>
    </row>
    <row r="81" spans="1:13" x14ac:dyDescent="0.35">
      <c r="A81" t="s">
        <v>90</v>
      </c>
      <c r="B81">
        <v>3</v>
      </c>
      <c r="C81" t="s">
        <v>135</v>
      </c>
      <c r="D81" t="s">
        <v>128</v>
      </c>
      <c r="E81" t="s">
        <v>10</v>
      </c>
      <c r="I81" t="s">
        <v>89</v>
      </c>
      <c r="K81" t="s">
        <v>59</v>
      </c>
      <c r="L81" t="s">
        <v>88</v>
      </c>
      <c r="M81">
        <v>56</v>
      </c>
    </row>
    <row r="82" spans="1:13" x14ac:dyDescent="0.35">
      <c r="A82" t="s">
        <v>90</v>
      </c>
      <c r="B82">
        <v>3</v>
      </c>
      <c r="C82" t="s">
        <v>135</v>
      </c>
      <c r="D82" t="s">
        <v>128</v>
      </c>
      <c r="E82" t="s">
        <v>12</v>
      </c>
      <c r="I82" t="s">
        <v>89</v>
      </c>
      <c r="K82" t="s">
        <v>59</v>
      </c>
      <c r="L82" t="s">
        <v>88</v>
      </c>
      <c r="M82">
        <v>99</v>
      </c>
    </row>
    <row r="83" spans="1:13" x14ac:dyDescent="0.35">
      <c r="A83" t="s">
        <v>90</v>
      </c>
      <c r="B83">
        <v>3</v>
      </c>
      <c r="C83" t="s">
        <v>135</v>
      </c>
      <c r="D83" t="s">
        <v>291</v>
      </c>
      <c r="E83" t="s">
        <v>10</v>
      </c>
      <c r="I83" t="s">
        <v>91</v>
      </c>
      <c r="K83" t="s">
        <v>59</v>
      </c>
      <c r="L83" t="s">
        <v>88</v>
      </c>
      <c r="M83">
        <v>89</v>
      </c>
    </row>
    <row r="84" spans="1:13" x14ac:dyDescent="0.35">
      <c r="A84" t="s">
        <v>90</v>
      </c>
      <c r="B84">
        <v>3</v>
      </c>
      <c r="C84" t="s">
        <v>135</v>
      </c>
      <c r="D84" t="s">
        <v>291</v>
      </c>
      <c r="E84" t="s">
        <v>12</v>
      </c>
      <c r="I84" t="s">
        <v>91</v>
      </c>
      <c r="K84" t="s">
        <v>59</v>
      </c>
      <c r="L84" t="s">
        <v>88</v>
      </c>
      <c r="M84">
        <v>77</v>
      </c>
    </row>
    <row r="85" spans="1:13" x14ac:dyDescent="0.35">
      <c r="A85" t="s">
        <v>90</v>
      </c>
      <c r="B85">
        <v>3</v>
      </c>
      <c r="C85" t="s">
        <v>135</v>
      </c>
      <c r="D85" t="s">
        <v>127</v>
      </c>
      <c r="E85" t="s">
        <v>10</v>
      </c>
      <c r="I85" t="s">
        <v>91</v>
      </c>
      <c r="K85" t="s">
        <v>59</v>
      </c>
      <c r="L85" t="s">
        <v>88</v>
      </c>
      <c r="M85">
        <v>89</v>
      </c>
    </row>
    <row r="86" spans="1:13" x14ac:dyDescent="0.35">
      <c r="A86" t="s">
        <v>90</v>
      </c>
      <c r="B86">
        <v>3</v>
      </c>
      <c r="C86" t="s">
        <v>135</v>
      </c>
      <c r="D86" t="s">
        <v>127</v>
      </c>
      <c r="E86" t="s">
        <v>12</v>
      </c>
      <c r="I86" t="s">
        <v>91</v>
      </c>
      <c r="K86" t="s">
        <v>59</v>
      </c>
      <c r="L86" t="s">
        <v>88</v>
      </c>
      <c r="M86">
        <v>46</v>
      </c>
    </row>
    <row r="87" spans="1:13" x14ac:dyDescent="0.35">
      <c r="A87" t="s">
        <v>90</v>
      </c>
      <c r="B87">
        <v>3</v>
      </c>
      <c r="C87" t="s">
        <v>135</v>
      </c>
      <c r="D87" t="s">
        <v>128</v>
      </c>
      <c r="E87" t="s">
        <v>10</v>
      </c>
      <c r="I87" t="s">
        <v>91</v>
      </c>
      <c r="K87" t="s">
        <v>59</v>
      </c>
      <c r="L87" t="s">
        <v>88</v>
      </c>
      <c r="M87">
        <v>79</v>
      </c>
    </row>
    <row r="88" spans="1:13" x14ac:dyDescent="0.35">
      <c r="A88" t="s">
        <v>90</v>
      </c>
      <c r="B88">
        <v>3</v>
      </c>
      <c r="C88" t="s">
        <v>135</v>
      </c>
      <c r="D88" t="s">
        <v>128</v>
      </c>
      <c r="E88" t="s">
        <v>12</v>
      </c>
      <c r="I88" t="s">
        <v>91</v>
      </c>
      <c r="K88" t="s">
        <v>59</v>
      </c>
      <c r="L88" t="s">
        <v>88</v>
      </c>
      <c r="M88">
        <v>89</v>
      </c>
    </row>
    <row r="89" spans="1:13" x14ac:dyDescent="0.35">
      <c r="A89" t="s">
        <v>90</v>
      </c>
      <c r="B89">
        <v>3</v>
      </c>
      <c r="C89" t="s">
        <v>135</v>
      </c>
      <c r="D89" t="s">
        <v>291</v>
      </c>
      <c r="E89" t="s">
        <v>10</v>
      </c>
      <c r="I89" t="s">
        <v>92</v>
      </c>
      <c r="K89" t="s">
        <v>59</v>
      </c>
      <c r="L89" t="s">
        <v>88</v>
      </c>
      <c r="M89">
        <v>89</v>
      </c>
    </row>
    <row r="90" spans="1:13" x14ac:dyDescent="0.35">
      <c r="A90" t="s">
        <v>90</v>
      </c>
      <c r="B90">
        <v>3</v>
      </c>
      <c r="C90" t="s">
        <v>135</v>
      </c>
      <c r="D90" t="s">
        <v>291</v>
      </c>
      <c r="E90" t="s">
        <v>12</v>
      </c>
      <c r="I90" t="s">
        <v>92</v>
      </c>
      <c r="K90" t="s">
        <v>59</v>
      </c>
      <c r="L90" t="s">
        <v>88</v>
      </c>
      <c r="M90">
        <v>46</v>
      </c>
    </row>
    <row r="91" spans="1:13" x14ac:dyDescent="0.35">
      <c r="A91" t="s">
        <v>90</v>
      </c>
      <c r="B91">
        <v>3</v>
      </c>
      <c r="C91" t="s">
        <v>135</v>
      </c>
      <c r="D91" t="s">
        <v>127</v>
      </c>
      <c r="E91" t="s">
        <v>10</v>
      </c>
      <c r="I91" t="s">
        <v>92</v>
      </c>
      <c r="K91" t="s">
        <v>59</v>
      </c>
      <c r="L91" t="s">
        <v>88</v>
      </c>
      <c r="M91">
        <v>94</v>
      </c>
    </row>
    <row r="92" spans="1:13" x14ac:dyDescent="0.35">
      <c r="A92" t="s">
        <v>90</v>
      </c>
      <c r="B92">
        <v>3</v>
      </c>
      <c r="C92" t="s">
        <v>135</v>
      </c>
      <c r="D92" t="s">
        <v>127</v>
      </c>
      <c r="E92" t="s">
        <v>12</v>
      </c>
      <c r="I92" t="s">
        <v>92</v>
      </c>
      <c r="K92" t="s">
        <v>59</v>
      </c>
      <c r="L92" t="s">
        <v>88</v>
      </c>
      <c r="M92">
        <v>56</v>
      </c>
    </row>
    <row r="93" spans="1:13" x14ac:dyDescent="0.35">
      <c r="A93" t="s">
        <v>90</v>
      </c>
      <c r="B93">
        <v>3</v>
      </c>
      <c r="C93" t="s">
        <v>135</v>
      </c>
      <c r="D93" t="s">
        <v>128</v>
      </c>
      <c r="E93" t="s">
        <v>10</v>
      </c>
      <c r="I93" t="s">
        <v>92</v>
      </c>
      <c r="K93" t="s">
        <v>59</v>
      </c>
      <c r="L93" t="s">
        <v>88</v>
      </c>
      <c r="M93">
        <v>77</v>
      </c>
    </row>
    <row r="94" spans="1:13" x14ac:dyDescent="0.35">
      <c r="A94" t="s">
        <v>90</v>
      </c>
      <c r="B94">
        <v>3</v>
      </c>
      <c r="C94" t="s">
        <v>135</v>
      </c>
      <c r="D94" t="s">
        <v>128</v>
      </c>
      <c r="E94" t="s">
        <v>12</v>
      </c>
      <c r="I94" t="s">
        <v>92</v>
      </c>
      <c r="K94" t="s">
        <v>59</v>
      </c>
      <c r="L94" t="s">
        <v>88</v>
      </c>
      <c r="M94">
        <v>94</v>
      </c>
    </row>
    <row r="95" spans="1:13" x14ac:dyDescent="0.35">
      <c r="A95" t="s">
        <v>136</v>
      </c>
      <c r="B95">
        <v>5</v>
      </c>
      <c r="C95" t="s">
        <v>139</v>
      </c>
      <c r="D95" t="s">
        <v>291</v>
      </c>
      <c r="L95" t="s">
        <v>83</v>
      </c>
      <c r="M95">
        <v>200</v>
      </c>
    </row>
    <row r="96" spans="1:13" x14ac:dyDescent="0.35">
      <c r="A96" t="s">
        <v>136</v>
      </c>
      <c r="B96">
        <v>5</v>
      </c>
      <c r="C96" t="s">
        <v>139</v>
      </c>
      <c r="D96" t="s">
        <v>127</v>
      </c>
      <c r="L96" t="s">
        <v>83</v>
      </c>
      <c r="M96">
        <v>200</v>
      </c>
    </row>
    <row r="97" spans="1:13" x14ac:dyDescent="0.35">
      <c r="A97" t="s">
        <v>136</v>
      </c>
      <c r="B97">
        <v>5</v>
      </c>
      <c r="C97" t="s">
        <v>139</v>
      </c>
      <c r="D97" t="s">
        <v>128</v>
      </c>
      <c r="L97" t="s">
        <v>83</v>
      </c>
      <c r="M97">
        <v>200</v>
      </c>
    </row>
    <row r="98" spans="1:13" x14ac:dyDescent="0.35">
      <c r="A98" t="s">
        <v>86</v>
      </c>
      <c r="B98">
        <v>4</v>
      </c>
      <c r="C98" t="s">
        <v>146</v>
      </c>
      <c r="D98" t="s">
        <v>291</v>
      </c>
      <c r="E98" t="s">
        <v>10</v>
      </c>
      <c r="I98" t="s">
        <v>87</v>
      </c>
      <c r="K98" t="s">
        <v>56</v>
      </c>
      <c r="L98" t="s">
        <v>82</v>
      </c>
      <c r="M98">
        <v>50</v>
      </c>
    </row>
    <row r="99" spans="1:13" x14ac:dyDescent="0.35">
      <c r="A99" t="s">
        <v>86</v>
      </c>
      <c r="B99">
        <v>4</v>
      </c>
      <c r="C99" t="s">
        <v>146</v>
      </c>
      <c r="D99" t="s">
        <v>291</v>
      </c>
      <c r="E99" t="s">
        <v>12</v>
      </c>
      <c r="I99" t="s">
        <v>87</v>
      </c>
      <c r="K99" t="s">
        <v>56</v>
      </c>
      <c r="L99" t="s">
        <v>82</v>
      </c>
      <c r="M99">
        <v>50</v>
      </c>
    </row>
    <row r="100" spans="1:13" x14ac:dyDescent="0.35">
      <c r="A100" t="s">
        <v>86</v>
      </c>
      <c r="B100">
        <v>4</v>
      </c>
      <c r="C100" t="s">
        <v>146</v>
      </c>
      <c r="D100" t="s">
        <v>127</v>
      </c>
      <c r="E100" t="s">
        <v>10</v>
      </c>
      <c r="I100" t="s">
        <v>87</v>
      </c>
      <c r="K100" t="s">
        <v>56</v>
      </c>
      <c r="L100" t="s">
        <v>82</v>
      </c>
      <c r="M100">
        <v>50</v>
      </c>
    </row>
    <row r="101" spans="1:13" x14ac:dyDescent="0.35">
      <c r="A101" t="s">
        <v>86</v>
      </c>
      <c r="B101">
        <v>4</v>
      </c>
      <c r="C101" t="s">
        <v>146</v>
      </c>
      <c r="D101" t="s">
        <v>127</v>
      </c>
      <c r="E101" t="s">
        <v>12</v>
      </c>
      <c r="I101" t="s">
        <v>87</v>
      </c>
      <c r="K101" t="s">
        <v>56</v>
      </c>
      <c r="L101" t="s">
        <v>82</v>
      </c>
      <c r="M101">
        <v>50</v>
      </c>
    </row>
    <row r="102" spans="1:13" x14ac:dyDescent="0.35">
      <c r="A102" t="s">
        <v>86</v>
      </c>
      <c r="B102">
        <v>4</v>
      </c>
      <c r="C102" t="s">
        <v>146</v>
      </c>
      <c r="D102" t="s">
        <v>128</v>
      </c>
      <c r="E102" t="s">
        <v>10</v>
      </c>
      <c r="I102" t="s">
        <v>87</v>
      </c>
      <c r="K102" t="s">
        <v>56</v>
      </c>
      <c r="L102" t="s">
        <v>82</v>
      </c>
      <c r="M102">
        <v>50</v>
      </c>
    </row>
    <row r="103" spans="1:13" x14ac:dyDescent="0.35">
      <c r="A103" t="s">
        <v>86</v>
      </c>
      <c r="B103">
        <v>4</v>
      </c>
      <c r="C103" t="s">
        <v>146</v>
      </c>
      <c r="D103" t="s">
        <v>128</v>
      </c>
      <c r="E103" t="s">
        <v>12</v>
      </c>
      <c r="I103" t="s">
        <v>87</v>
      </c>
      <c r="K103" t="s">
        <v>56</v>
      </c>
      <c r="L103" t="s">
        <v>82</v>
      </c>
      <c r="M103">
        <v>50</v>
      </c>
    </row>
    <row r="104" spans="1:13" x14ac:dyDescent="0.35">
      <c r="A104" t="s">
        <v>86</v>
      </c>
      <c r="B104">
        <v>4</v>
      </c>
      <c r="C104" t="s">
        <v>146</v>
      </c>
      <c r="D104" t="s">
        <v>291</v>
      </c>
      <c r="E104" t="s">
        <v>10</v>
      </c>
      <c r="I104" t="s">
        <v>89</v>
      </c>
      <c r="K104" t="s">
        <v>56</v>
      </c>
      <c r="L104" t="s">
        <v>82</v>
      </c>
      <c r="M104">
        <v>50</v>
      </c>
    </row>
    <row r="105" spans="1:13" x14ac:dyDescent="0.35">
      <c r="A105" t="s">
        <v>86</v>
      </c>
      <c r="B105">
        <v>4</v>
      </c>
      <c r="C105" t="s">
        <v>146</v>
      </c>
      <c r="D105" t="s">
        <v>291</v>
      </c>
      <c r="E105" t="s">
        <v>12</v>
      </c>
      <c r="I105" t="s">
        <v>89</v>
      </c>
      <c r="K105" t="s">
        <v>56</v>
      </c>
      <c r="L105" t="s">
        <v>82</v>
      </c>
      <c r="M105">
        <v>50</v>
      </c>
    </row>
    <row r="106" spans="1:13" x14ac:dyDescent="0.35">
      <c r="A106" t="s">
        <v>86</v>
      </c>
      <c r="B106">
        <v>4</v>
      </c>
      <c r="C106" t="s">
        <v>146</v>
      </c>
      <c r="D106" t="s">
        <v>127</v>
      </c>
      <c r="E106" t="s">
        <v>10</v>
      </c>
      <c r="I106" t="s">
        <v>89</v>
      </c>
      <c r="K106" t="s">
        <v>56</v>
      </c>
      <c r="L106" t="s">
        <v>82</v>
      </c>
      <c r="M106">
        <v>50</v>
      </c>
    </row>
    <row r="107" spans="1:13" x14ac:dyDescent="0.35">
      <c r="A107" t="s">
        <v>86</v>
      </c>
      <c r="B107">
        <v>4</v>
      </c>
      <c r="C107" t="s">
        <v>146</v>
      </c>
      <c r="D107" t="s">
        <v>127</v>
      </c>
      <c r="E107" t="s">
        <v>12</v>
      </c>
      <c r="I107" t="s">
        <v>89</v>
      </c>
      <c r="K107" t="s">
        <v>56</v>
      </c>
      <c r="L107" t="s">
        <v>82</v>
      </c>
      <c r="M107">
        <v>50</v>
      </c>
    </row>
    <row r="108" spans="1:13" x14ac:dyDescent="0.35">
      <c r="A108" t="s">
        <v>86</v>
      </c>
      <c r="B108">
        <v>4</v>
      </c>
      <c r="C108" t="s">
        <v>146</v>
      </c>
      <c r="D108" t="s">
        <v>128</v>
      </c>
      <c r="E108" t="s">
        <v>10</v>
      </c>
      <c r="I108" t="s">
        <v>89</v>
      </c>
      <c r="K108" t="s">
        <v>56</v>
      </c>
      <c r="L108" t="s">
        <v>82</v>
      </c>
      <c r="M108">
        <v>50</v>
      </c>
    </row>
    <row r="109" spans="1:13" x14ac:dyDescent="0.35">
      <c r="A109" t="s">
        <v>86</v>
      </c>
      <c r="B109">
        <v>4</v>
      </c>
      <c r="C109" t="s">
        <v>146</v>
      </c>
      <c r="D109" t="s">
        <v>128</v>
      </c>
      <c r="E109" t="s">
        <v>12</v>
      </c>
      <c r="I109" t="s">
        <v>89</v>
      </c>
      <c r="K109" t="s">
        <v>56</v>
      </c>
      <c r="L109" t="s">
        <v>82</v>
      </c>
      <c r="M109">
        <v>50</v>
      </c>
    </row>
    <row r="110" spans="1:13" x14ac:dyDescent="0.35">
      <c r="A110" t="s">
        <v>90</v>
      </c>
      <c r="B110">
        <v>4</v>
      </c>
      <c r="C110" t="s">
        <v>146</v>
      </c>
      <c r="D110" t="s">
        <v>291</v>
      </c>
      <c r="E110" t="s">
        <v>10</v>
      </c>
      <c r="I110" t="s">
        <v>89</v>
      </c>
      <c r="K110" t="s">
        <v>59</v>
      </c>
      <c r="L110" t="s">
        <v>82</v>
      </c>
      <c r="M110">
        <v>50</v>
      </c>
    </row>
    <row r="111" spans="1:13" x14ac:dyDescent="0.35">
      <c r="A111" t="s">
        <v>90</v>
      </c>
      <c r="B111">
        <v>4</v>
      </c>
      <c r="C111" t="s">
        <v>146</v>
      </c>
      <c r="D111" t="s">
        <v>291</v>
      </c>
      <c r="E111" t="s">
        <v>12</v>
      </c>
      <c r="I111" t="s">
        <v>89</v>
      </c>
      <c r="K111" t="s">
        <v>59</v>
      </c>
      <c r="L111" t="s">
        <v>82</v>
      </c>
      <c r="M111">
        <v>50</v>
      </c>
    </row>
    <row r="112" spans="1:13" x14ac:dyDescent="0.35">
      <c r="A112" t="s">
        <v>90</v>
      </c>
      <c r="B112">
        <v>4</v>
      </c>
      <c r="C112" t="s">
        <v>146</v>
      </c>
      <c r="D112" t="s">
        <v>127</v>
      </c>
      <c r="E112" t="s">
        <v>10</v>
      </c>
      <c r="I112" t="s">
        <v>89</v>
      </c>
      <c r="K112" t="s">
        <v>59</v>
      </c>
      <c r="L112" t="s">
        <v>82</v>
      </c>
      <c r="M112">
        <v>50</v>
      </c>
    </row>
    <row r="113" spans="1:13" x14ac:dyDescent="0.35">
      <c r="A113" t="s">
        <v>90</v>
      </c>
      <c r="B113">
        <v>4</v>
      </c>
      <c r="C113" t="s">
        <v>146</v>
      </c>
      <c r="D113" t="s">
        <v>127</v>
      </c>
      <c r="E113" t="s">
        <v>12</v>
      </c>
      <c r="I113" t="s">
        <v>89</v>
      </c>
      <c r="K113" t="s">
        <v>59</v>
      </c>
      <c r="L113" t="s">
        <v>82</v>
      </c>
      <c r="M113">
        <v>50</v>
      </c>
    </row>
    <row r="114" spans="1:13" x14ac:dyDescent="0.35">
      <c r="A114" t="s">
        <v>90</v>
      </c>
      <c r="B114">
        <v>4</v>
      </c>
      <c r="C114" t="s">
        <v>146</v>
      </c>
      <c r="D114" t="s">
        <v>128</v>
      </c>
      <c r="E114" t="s">
        <v>10</v>
      </c>
      <c r="I114" t="s">
        <v>89</v>
      </c>
      <c r="K114" t="s">
        <v>59</v>
      </c>
      <c r="L114" t="s">
        <v>82</v>
      </c>
      <c r="M114">
        <v>50</v>
      </c>
    </row>
    <row r="115" spans="1:13" x14ac:dyDescent="0.35">
      <c r="A115" t="s">
        <v>90</v>
      </c>
      <c r="B115">
        <v>4</v>
      </c>
      <c r="C115" t="s">
        <v>146</v>
      </c>
      <c r="D115" t="s">
        <v>128</v>
      </c>
      <c r="E115" t="s">
        <v>12</v>
      </c>
      <c r="I115" t="s">
        <v>89</v>
      </c>
      <c r="K115" t="s">
        <v>59</v>
      </c>
      <c r="L115" t="s">
        <v>82</v>
      </c>
      <c r="M115">
        <v>50</v>
      </c>
    </row>
    <row r="116" spans="1:13" x14ac:dyDescent="0.35">
      <c r="A116" t="s">
        <v>90</v>
      </c>
      <c r="B116">
        <v>4</v>
      </c>
      <c r="C116" t="s">
        <v>146</v>
      </c>
      <c r="D116" t="s">
        <v>291</v>
      </c>
      <c r="E116" t="s">
        <v>10</v>
      </c>
      <c r="I116" t="s">
        <v>68</v>
      </c>
      <c r="K116" t="s">
        <v>59</v>
      </c>
      <c r="L116" t="s">
        <v>82</v>
      </c>
      <c r="M116">
        <v>50</v>
      </c>
    </row>
    <row r="117" spans="1:13" x14ac:dyDescent="0.35">
      <c r="A117" t="s">
        <v>90</v>
      </c>
      <c r="B117">
        <v>4</v>
      </c>
      <c r="C117" t="s">
        <v>146</v>
      </c>
      <c r="D117" t="s">
        <v>291</v>
      </c>
      <c r="E117" t="s">
        <v>12</v>
      </c>
      <c r="I117" t="s">
        <v>68</v>
      </c>
      <c r="K117" t="s">
        <v>59</v>
      </c>
      <c r="L117" t="s">
        <v>82</v>
      </c>
      <c r="M117">
        <v>50</v>
      </c>
    </row>
    <row r="118" spans="1:13" x14ac:dyDescent="0.35">
      <c r="A118" t="s">
        <v>90</v>
      </c>
      <c r="B118">
        <v>4</v>
      </c>
      <c r="C118" t="s">
        <v>146</v>
      </c>
      <c r="D118" t="s">
        <v>127</v>
      </c>
      <c r="E118" t="s">
        <v>10</v>
      </c>
      <c r="I118" t="s">
        <v>68</v>
      </c>
      <c r="K118" t="s">
        <v>59</v>
      </c>
      <c r="L118" t="s">
        <v>82</v>
      </c>
      <c r="M118">
        <v>50</v>
      </c>
    </row>
    <row r="119" spans="1:13" x14ac:dyDescent="0.35">
      <c r="A119" t="s">
        <v>90</v>
      </c>
      <c r="B119">
        <v>4</v>
      </c>
      <c r="C119" t="s">
        <v>146</v>
      </c>
      <c r="D119" t="s">
        <v>127</v>
      </c>
      <c r="E119" t="s">
        <v>12</v>
      </c>
      <c r="I119" t="s">
        <v>68</v>
      </c>
      <c r="K119" t="s">
        <v>59</v>
      </c>
      <c r="L119" t="s">
        <v>82</v>
      </c>
      <c r="M119">
        <v>50</v>
      </c>
    </row>
    <row r="120" spans="1:13" x14ac:dyDescent="0.35">
      <c r="A120" t="s">
        <v>90</v>
      </c>
      <c r="B120">
        <v>4</v>
      </c>
      <c r="C120" t="s">
        <v>146</v>
      </c>
      <c r="D120" t="s">
        <v>128</v>
      </c>
      <c r="E120" t="s">
        <v>10</v>
      </c>
      <c r="I120" t="s">
        <v>68</v>
      </c>
      <c r="K120" t="s">
        <v>59</v>
      </c>
      <c r="L120" t="s">
        <v>82</v>
      </c>
      <c r="M120">
        <v>50</v>
      </c>
    </row>
    <row r="121" spans="1:13" x14ac:dyDescent="0.35">
      <c r="A121" t="s">
        <v>90</v>
      </c>
      <c r="B121">
        <v>4</v>
      </c>
      <c r="C121" t="s">
        <v>146</v>
      </c>
      <c r="D121" t="s">
        <v>128</v>
      </c>
      <c r="E121" t="s">
        <v>12</v>
      </c>
      <c r="I121" t="s">
        <v>68</v>
      </c>
      <c r="K121" t="s">
        <v>59</v>
      </c>
      <c r="L121" t="s">
        <v>82</v>
      </c>
      <c r="M121">
        <v>50</v>
      </c>
    </row>
    <row r="122" spans="1:13" x14ac:dyDescent="0.35">
      <c r="A122" t="s">
        <v>93</v>
      </c>
      <c r="B122">
        <v>6</v>
      </c>
      <c r="C122" t="s">
        <v>142</v>
      </c>
      <c r="D122" t="s">
        <v>291</v>
      </c>
      <c r="I122" t="s">
        <v>69</v>
      </c>
      <c r="K122" t="s">
        <v>94</v>
      </c>
      <c r="L122" t="s">
        <v>88</v>
      </c>
      <c r="M122">
        <v>75</v>
      </c>
    </row>
    <row r="123" spans="1:13" x14ac:dyDescent="0.35">
      <c r="A123" t="s">
        <v>93</v>
      </c>
      <c r="B123">
        <v>6</v>
      </c>
      <c r="C123" t="s">
        <v>142</v>
      </c>
      <c r="D123" t="s">
        <v>291</v>
      </c>
      <c r="I123" t="s">
        <v>69</v>
      </c>
      <c r="K123" t="s">
        <v>95</v>
      </c>
      <c r="L123" t="s">
        <v>88</v>
      </c>
      <c r="M123">
        <v>9</v>
      </c>
    </row>
    <row r="124" spans="1:13" x14ac:dyDescent="0.35">
      <c r="A124" t="s">
        <v>93</v>
      </c>
      <c r="B124">
        <v>6</v>
      </c>
      <c r="C124" t="s">
        <v>142</v>
      </c>
      <c r="D124" t="s">
        <v>291</v>
      </c>
      <c r="I124" t="s">
        <v>65</v>
      </c>
      <c r="K124" t="s">
        <v>96</v>
      </c>
      <c r="L124" t="s">
        <v>88</v>
      </c>
      <c r="M124">
        <v>18</v>
      </c>
    </row>
    <row r="125" spans="1:13" x14ac:dyDescent="0.35">
      <c r="A125" t="s">
        <v>93</v>
      </c>
      <c r="B125">
        <v>6</v>
      </c>
      <c r="C125" t="s">
        <v>142</v>
      </c>
      <c r="D125" t="s">
        <v>291</v>
      </c>
      <c r="I125" t="s">
        <v>69</v>
      </c>
      <c r="K125" t="s">
        <v>96</v>
      </c>
      <c r="L125" t="s">
        <v>88</v>
      </c>
      <c r="M125">
        <v>56</v>
      </c>
    </row>
    <row r="126" spans="1:13" x14ac:dyDescent="0.35">
      <c r="A126" t="s">
        <v>93</v>
      </c>
      <c r="B126">
        <v>6</v>
      </c>
      <c r="C126" t="s">
        <v>142</v>
      </c>
      <c r="D126" t="s">
        <v>127</v>
      </c>
      <c r="I126" t="s">
        <v>69</v>
      </c>
      <c r="K126" t="s">
        <v>94</v>
      </c>
      <c r="L126" t="s">
        <v>88</v>
      </c>
      <c r="M126">
        <v>46</v>
      </c>
    </row>
    <row r="127" spans="1:13" x14ac:dyDescent="0.35">
      <c r="A127" t="s">
        <v>93</v>
      </c>
      <c r="B127">
        <v>6</v>
      </c>
      <c r="C127" t="s">
        <v>142</v>
      </c>
      <c r="D127" t="s">
        <v>127</v>
      </c>
      <c r="I127" t="s">
        <v>69</v>
      </c>
      <c r="K127" t="s">
        <v>95</v>
      </c>
      <c r="L127" t="s">
        <v>88</v>
      </c>
      <c r="M127">
        <v>33</v>
      </c>
    </row>
    <row r="128" spans="1:13" x14ac:dyDescent="0.35">
      <c r="A128" t="s">
        <v>93</v>
      </c>
      <c r="B128">
        <v>6</v>
      </c>
      <c r="C128" t="s">
        <v>142</v>
      </c>
      <c r="D128" t="s">
        <v>127</v>
      </c>
      <c r="I128" t="s">
        <v>65</v>
      </c>
      <c r="K128" t="s">
        <v>96</v>
      </c>
      <c r="L128" t="s">
        <v>88</v>
      </c>
      <c r="M128">
        <v>2</v>
      </c>
    </row>
    <row r="129" spans="1:13" x14ac:dyDescent="0.35">
      <c r="A129" t="s">
        <v>93</v>
      </c>
      <c r="B129">
        <v>6</v>
      </c>
      <c r="C129" t="s">
        <v>142</v>
      </c>
      <c r="D129" t="s">
        <v>127</v>
      </c>
      <c r="I129" t="s">
        <v>69</v>
      </c>
      <c r="K129" t="s">
        <v>96</v>
      </c>
      <c r="L129" t="s">
        <v>88</v>
      </c>
      <c r="M129">
        <v>21</v>
      </c>
    </row>
    <row r="130" spans="1:13" x14ac:dyDescent="0.35">
      <c r="A130" t="s">
        <v>93</v>
      </c>
      <c r="B130">
        <v>6</v>
      </c>
      <c r="C130" t="s">
        <v>142</v>
      </c>
      <c r="D130" t="s">
        <v>128</v>
      </c>
      <c r="I130" t="s">
        <v>69</v>
      </c>
      <c r="K130" t="s">
        <v>94</v>
      </c>
      <c r="L130" t="s">
        <v>88</v>
      </c>
      <c r="M130">
        <v>11</v>
      </c>
    </row>
    <row r="131" spans="1:13" x14ac:dyDescent="0.35">
      <c r="A131" t="s">
        <v>93</v>
      </c>
      <c r="B131">
        <v>6</v>
      </c>
      <c r="C131" t="s">
        <v>142</v>
      </c>
      <c r="D131" t="s">
        <v>128</v>
      </c>
      <c r="I131" t="s">
        <v>69</v>
      </c>
      <c r="K131" t="s">
        <v>95</v>
      </c>
      <c r="L131" t="s">
        <v>88</v>
      </c>
      <c r="M131">
        <v>55</v>
      </c>
    </row>
    <row r="132" spans="1:13" x14ac:dyDescent="0.35">
      <c r="A132" t="s">
        <v>93</v>
      </c>
      <c r="B132">
        <v>6</v>
      </c>
      <c r="C132" t="s">
        <v>142</v>
      </c>
      <c r="D132" t="s">
        <v>128</v>
      </c>
      <c r="I132" t="s">
        <v>65</v>
      </c>
      <c r="K132" t="s">
        <v>96</v>
      </c>
      <c r="L132" t="s">
        <v>88</v>
      </c>
      <c r="M132">
        <v>14</v>
      </c>
    </row>
    <row r="133" spans="1:13" x14ac:dyDescent="0.35">
      <c r="A133" t="s">
        <v>93</v>
      </c>
      <c r="B133">
        <v>6</v>
      </c>
      <c r="C133" t="s">
        <v>142</v>
      </c>
      <c r="D133" t="s">
        <v>128</v>
      </c>
      <c r="I133" t="s">
        <v>69</v>
      </c>
      <c r="K133" t="s">
        <v>96</v>
      </c>
      <c r="L133" t="s">
        <v>88</v>
      </c>
      <c r="M133">
        <v>15</v>
      </c>
    </row>
    <row r="134" spans="1:13" x14ac:dyDescent="0.35">
      <c r="A134" s="4" t="s">
        <v>143</v>
      </c>
      <c r="B134" s="4">
        <v>7</v>
      </c>
      <c r="C134" s="4" t="s">
        <v>143</v>
      </c>
      <c r="D134" s="4" t="s">
        <v>291</v>
      </c>
      <c r="E134" s="4"/>
      <c r="F134" s="4"/>
      <c r="G134" s="4"/>
      <c r="H134" s="4"/>
      <c r="I134" s="4"/>
      <c r="J134" s="4"/>
      <c r="K134" s="4"/>
      <c r="L134" s="4" t="s">
        <v>156</v>
      </c>
      <c r="M134" s="4">
        <v>0</v>
      </c>
    </row>
    <row r="135" spans="1:13" x14ac:dyDescent="0.35">
      <c r="A135" s="4" t="s">
        <v>143</v>
      </c>
      <c r="B135" s="4">
        <v>7</v>
      </c>
      <c r="C135" s="4" t="s">
        <v>143</v>
      </c>
      <c r="D135" s="4" t="s">
        <v>127</v>
      </c>
      <c r="E135" s="4"/>
      <c r="F135" s="4"/>
      <c r="G135" s="4"/>
      <c r="H135" s="4"/>
      <c r="I135" s="4"/>
      <c r="J135" s="4"/>
      <c r="K135" s="4"/>
      <c r="L135" s="4" t="s">
        <v>156</v>
      </c>
      <c r="M135" s="4">
        <v>0</v>
      </c>
    </row>
    <row r="136" spans="1:13" x14ac:dyDescent="0.35">
      <c r="A136" s="4" t="s">
        <v>143</v>
      </c>
      <c r="B136" s="4">
        <v>7</v>
      </c>
      <c r="C136" s="4" t="s">
        <v>143</v>
      </c>
      <c r="D136" s="4" t="s">
        <v>128</v>
      </c>
      <c r="E136" s="4"/>
      <c r="F136" s="4"/>
      <c r="G136" s="4"/>
      <c r="H136" s="4"/>
      <c r="I136" s="4"/>
      <c r="J136" s="4"/>
      <c r="K136" s="4"/>
      <c r="L136" s="4" t="s">
        <v>156</v>
      </c>
      <c r="M136" s="4">
        <v>0</v>
      </c>
    </row>
    <row r="137" spans="1:13" x14ac:dyDescent="0.35">
      <c r="A137" s="4" t="s">
        <v>39</v>
      </c>
      <c r="B137" s="4">
        <v>8</v>
      </c>
      <c r="C137" s="4" t="s">
        <v>39</v>
      </c>
      <c r="D137" s="4" t="s">
        <v>291</v>
      </c>
      <c r="E137" s="4"/>
      <c r="F137" s="4"/>
      <c r="G137" s="4"/>
      <c r="H137" s="4"/>
      <c r="I137" s="4"/>
      <c r="J137" s="4"/>
      <c r="K137" s="4"/>
      <c r="L137" s="4" t="s">
        <v>144</v>
      </c>
      <c r="M137" s="4">
        <v>0</v>
      </c>
    </row>
    <row r="138" spans="1:13" x14ac:dyDescent="0.35">
      <c r="A138" s="4" t="s">
        <v>39</v>
      </c>
      <c r="B138" s="4">
        <v>8</v>
      </c>
      <c r="C138" s="4" t="s">
        <v>39</v>
      </c>
      <c r="D138" s="4" t="s">
        <v>127</v>
      </c>
      <c r="E138" s="4"/>
      <c r="F138" s="4"/>
      <c r="G138" s="4"/>
      <c r="H138" s="4"/>
      <c r="I138" s="4"/>
      <c r="J138" s="4"/>
      <c r="K138" s="4"/>
      <c r="L138" s="4" t="s">
        <v>144</v>
      </c>
      <c r="M138" s="4">
        <v>0</v>
      </c>
    </row>
    <row r="139" spans="1:13" x14ac:dyDescent="0.35">
      <c r="A139" s="4" t="s">
        <v>39</v>
      </c>
      <c r="B139" s="4">
        <v>8</v>
      </c>
      <c r="C139" s="4" t="s">
        <v>39</v>
      </c>
      <c r="D139" s="4" t="s">
        <v>128</v>
      </c>
      <c r="E139" s="4"/>
      <c r="F139" s="4"/>
      <c r="G139" s="4"/>
      <c r="H139" s="4"/>
      <c r="I139" s="4"/>
      <c r="J139" s="4"/>
      <c r="K139" s="4"/>
      <c r="L139" s="4" t="s">
        <v>144</v>
      </c>
      <c r="M139" s="4">
        <v>0</v>
      </c>
    </row>
    <row r="140" spans="1:13" x14ac:dyDescent="0.35">
      <c r="A140" t="s">
        <v>84</v>
      </c>
      <c r="B140">
        <v>9</v>
      </c>
      <c r="C140" t="s">
        <v>140</v>
      </c>
      <c r="D140" t="s">
        <v>291</v>
      </c>
      <c r="E140" t="s">
        <v>10</v>
      </c>
      <c r="J140" t="s">
        <v>37</v>
      </c>
      <c r="L140" t="s">
        <v>147</v>
      </c>
      <c r="M140">
        <v>0</v>
      </c>
    </row>
    <row r="141" spans="1:13" x14ac:dyDescent="0.35">
      <c r="A141" t="s">
        <v>84</v>
      </c>
      <c r="B141">
        <v>9</v>
      </c>
      <c r="C141" t="s">
        <v>140</v>
      </c>
      <c r="D141" t="s">
        <v>291</v>
      </c>
      <c r="E141" t="s">
        <v>12</v>
      </c>
      <c r="J141" t="s">
        <v>37</v>
      </c>
      <c r="L141" t="s">
        <v>147</v>
      </c>
      <c r="M141">
        <v>0</v>
      </c>
    </row>
    <row r="142" spans="1:13" x14ac:dyDescent="0.35">
      <c r="A142" t="s">
        <v>84</v>
      </c>
      <c r="B142">
        <v>9</v>
      </c>
      <c r="C142" t="s">
        <v>140</v>
      </c>
      <c r="D142" t="s">
        <v>127</v>
      </c>
      <c r="E142" t="s">
        <v>10</v>
      </c>
      <c r="J142" t="s">
        <v>37</v>
      </c>
      <c r="L142" t="s">
        <v>147</v>
      </c>
      <c r="M142">
        <v>0</v>
      </c>
    </row>
    <row r="143" spans="1:13" x14ac:dyDescent="0.35">
      <c r="A143" t="s">
        <v>84</v>
      </c>
      <c r="B143">
        <v>9</v>
      </c>
      <c r="C143" t="s">
        <v>140</v>
      </c>
      <c r="D143" t="s">
        <v>127</v>
      </c>
      <c r="E143" t="s">
        <v>12</v>
      </c>
      <c r="J143" t="s">
        <v>37</v>
      </c>
      <c r="L143" t="s">
        <v>147</v>
      </c>
      <c r="M143">
        <v>0</v>
      </c>
    </row>
    <row r="144" spans="1:13" x14ac:dyDescent="0.35">
      <c r="A144" t="s">
        <v>84</v>
      </c>
      <c r="B144">
        <v>9</v>
      </c>
      <c r="C144" t="s">
        <v>140</v>
      </c>
      <c r="D144" t="s">
        <v>128</v>
      </c>
      <c r="E144" t="s">
        <v>10</v>
      </c>
      <c r="J144" t="s">
        <v>37</v>
      </c>
      <c r="L144" t="s">
        <v>147</v>
      </c>
      <c r="M144">
        <v>0</v>
      </c>
    </row>
    <row r="145" spans="1:13" x14ac:dyDescent="0.35">
      <c r="A145" t="s">
        <v>84</v>
      </c>
      <c r="B145">
        <v>9</v>
      </c>
      <c r="C145" t="s">
        <v>140</v>
      </c>
      <c r="D145" t="s">
        <v>128</v>
      </c>
      <c r="E145" t="s">
        <v>12</v>
      </c>
      <c r="J145" t="s">
        <v>37</v>
      </c>
      <c r="L145" t="s">
        <v>147</v>
      </c>
      <c r="M145">
        <v>0</v>
      </c>
    </row>
    <row r="146" spans="1:13" x14ac:dyDescent="0.35">
      <c r="A146" t="s">
        <v>84</v>
      </c>
      <c r="B146">
        <v>9</v>
      </c>
      <c r="C146" t="s">
        <v>140</v>
      </c>
      <c r="D146" t="s">
        <v>291</v>
      </c>
      <c r="E146" t="s">
        <v>10</v>
      </c>
      <c r="J146" t="s">
        <v>37</v>
      </c>
      <c r="L146" t="s">
        <v>148</v>
      </c>
      <c r="M146">
        <v>0</v>
      </c>
    </row>
    <row r="147" spans="1:13" x14ac:dyDescent="0.35">
      <c r="A147" t="s">
        <v>84</v>
      </c>
      <c r="B147">
        <v>9</v>
      </c>
      <c r="C147" t="s">
        <v>140</v>
      </c>
      <c r="D147" t="s">
        <v>291</v>
      </c>
      <c r="E147" t="s">
        <v>12</v>
      </c>
      <c r="J147" t="s">
        <v>37</v>
      </c>
      <c r="L147" t="s">
        <v>148</v>
      </c>
      <c r="M147">
        <v>0</v>
      </c>
    </row>
    <row r="148" spans="1:13" x14ac:dyDescent="0.35">
      <c r="A148" t="s">
        <v>84</v>
      </c>
      <c r="B148">
        <v>9</v>
      </c>
      <c r="C148" t="s">
        <v>140</v>
      </c>
      <c r="D148" t="s">
        <v>127</v>
      </c>
      <c r="E148" t="s">
        <v>10</v>
      </c>
      <c r="J148" t="s">
        <v>37</v>
      </c>
      <c r="L148" t="s">
        <v>148</v>
      </c>
      <c r="M148">
        <v>0</v>
      </c>
    </row>
    <row r="149" spans="1:13" x14ac:dyDescent="0.35">
      <c r="A149" t="s">
        <v>84</v>
      </c>
      <c r="B149">
        <v>9</v>
      </c>
      <c r="C149" t="s">
        <v>140</v>
      </c>
      <c r="D149" t="s">
        <v>127</v>
      </c>
      <c r="E149" t="s">
        <v>12</v>
      </c>
      <c r="J149" t="s">
        <v>37</v>
      </c>
      <c r="L149" t="s">
        <v>148</v>
      </c>
      <c r="M149">
        <v>0</v>
      </c>
    </row>
    <row r="150" spans="1:13" x14ac:dyDescent="0.35">
      <c r="A150" t="s">
        <v>84</v>
      </c>
      <c r="B150">
        <v>9</v>
      </c>
      <c r="C150" t="s">
        <v>140</v>
      </c>
      <c r="D150" t="s">
        <v>128</v>
      </c>
      <c r="E150" t="s">
        <v>10</v>
      </c>
      <c r="J150" t="s">
        <v>37</v>
      </c>
      <c r="L150" t="s">
        <v>148</v>
      </c>
      <c r="M150">
        <v>0</v>
      </c>
    </row>
    <row r="151" spans="1:13" x14ac:dyDescent="0.35">
      <c r="A151" t="s">
        <v>84</v>
      </c>
      <c r="B151">
        <v>9</v>
      </c>
      <c r="C151" t="s">
        <v>140</v>
      </c>
      <c r="D151" t="s">
        <v>128</v>
      </c>
      <c r="E151" t="s">
        <v>12</v>
      </c>
      <c r="J151" t="s">
        <v>37</v>
      </c>
      <c r="L151" t="s">
        <v>148</v>
      </c>
      <c r="M151">
        <v>0</v>
      </c>
    </row>
    <row r="152" spans="1:13" x14ac:dyDescent="0.35">
      <c r="A152" t="s">
        <v>22</v>
      </c>
      <c r="B152">
        <v>10</v>
      </c>
      <c r="C152" t="s">
        <v>22</v>
      </c>
      <c r="D152" t="s">
        <v>291</v>
      </c>
      <c r="H152" t="s">
        <v>23</v>
      </c>
      <c r="I152" t="s">
        <v>70</v>
      </c>
      <c r="L152" t="s">
        <v>82</v>
      </c>
      <c r="M152">
        <v>105</v>
      </c>
    </row>
    <row r="153" spans="1:13" x14ac:dyDescent="0.35">
      <c r="A153" t="s">
        <v>22</v>
      </c>
      <c r="B153">
        <v>10</v>
      </c>
      <c r="C153" t="s">
        <v>22</v>
      </c>
      <c r="D153" t="s">
        <v>291</v>
      </c>
      <c r="H153" t="s">
        <v>25</v>
      </c>
      <c r="I153" t="s">
        <v>70</v>
      </c>
      <c r="L153" t="s">
        <v>82</v>
      </c>
      <c r="M153">
        <v>156</v>
      </c>
    </row>
    <row r="154" spans="1:13" x14ac:dyDescent="0.35">
      <c r="A154" t="s">
        <v>22</v>
      </c>
      <c r="B154">
        <v>10</v>
      </c>
      <c r="C154" t="s">
        <v>22</v>
      </c>
      <c r="D154" t="s">
        <v>291</v>
      </c>
      <c r="H154" t="s">
        <v>25</v>
      </c>
      <c r="I154" t="s">
        <v>65</v>
      </c>
      <c r="L154" t="s">
        <v>82</v>
      </c>
      <c r="M154">
        <v>50</v>
      </c>
    </row>
    <row r="155" spans="1:13" x14ac:dyDescent="0.35">
      <c r="A155" t="s">
        <v>22</v>
      </c>
      <c r="B155">
        <v>10</v>
      </c>
      <c r="C155" t="s">
        <v>22</v>
      </c>
      <c r="D155" t="s">
        <v>291</v>
      </c>
      <c r="H155" t="s">
        <v>26</v>
      </c>
      <c r="I155" t="s">
        <v>65</v>
      </c>
      <c r="L155" t="s">
        <v>82</v>
      </c>
      <c r="M155">
        <v>11</v>
      </c>
    </row>
    <row r="156" spans="1:13" x14ac:dyDescent="0.35">
      <c r="A156" t="s">
        <v>22</v>
      </c>
      <c r="B156">
        <v>10</v>
      </c>
      <c r="C156" t="s">
        <v>22</v>
      </c>
      <c r="D156" t="s">
        <v>291</v>
      </c>
      <c r="H156" t="s">
        <v>27</v>
      </c>
      <c r="I156" t="s">
        <v>65</v>
      </c>
      <c r="L156" t="s">
        <v>82</v>
      </c>
      <c r="M156">
        <v>222</v>
      </c>
    </row>
    <row r="157" spans="1:13" x14ac:dyDescent="0.35">
      <c r="A157" t="s">
        <v>22</v>
      </c>
      <c r="B157">
        <v>10</v>
      </c>
      <c r="C157" t="s">
        <v>22</v>
      </c>
      <c r="D157" t="s">
        <v>127</v>
      </c>
      <c r="H157" t="s">
        <v>23</v>
      </c>
      <c r="I157" t="s">
        <v>70</v>
      </c>
      <c r="L157" t="s">
        <v>82</v>
      </c>
      <c r="M157">
        <v>105</v>
      </c>
    </row>
    <row r="158" spans="1:13" x14ac:dyDescent="0.35">
      <c r="A158" t="s">
        <v>22</v>
      </c>
      <c r="B158">
        <v>10</v>
      </c>
      <c r="C158" t="s">
        <v>22</v>
      </c>
      <c r="D158" t="s">
        <v>127</v>
      </c>
      <c r="H158" t="s">
        <v>25</v>
      </c>
      <c r="I158" t="s">
        <v>70</v>
      </c>
      <c r="L158" t="s">
        <v>82</v>
      </c>
      <c r="M158">
        <v>156</v>
      </c>
    </row>
    <row r="159" spans="1:13" x14ac:dyDescent="0.35">
      <c r="A159" t="s">
        <v>22</v>
      </c>
      <c r="B159">
        <v>10</v>
      </c>
      <c r="C159" t="s">
        <v>22</v>
      </c>
      <c r="D159" t="s">
        <v>127</v>
      </c>
      <c r="H159" t="s">
        <v>25</v>
      </c>
      <c r="I159" t="s">
        <v>65</v>
      </c>
      <c r="L159" t="s">
        <v>82</v>
      </c>
      <c r="M159">
        <v>50</v>
      </c>
    </row>
    <row r="160" spans="1:13" x14ac:dyDescent="0.35">
      <c r="A160" t="s">
        <v>22</v>
      </c>
      <c r="B160">
        <v>10</v>
      </c>
      <c r="C160" t="s">
        <v>22</v>
      </c>
      <c r="D160" t="s">
        <v>127</v>
      </c>
      <c r="H160" t="s">
        <v>26</v>
      </c>
      <c r="I160" t="s">
        <v>65</v>
      </c>
      <c r="L160" t="s">
        <v>82</v>
      </c>
      <c r="M160">
        <v>11</v>
      </c>
    </row>
    <row r="161" spans="1:13" x14ac:dyDescent="0.35">
      <c r="A161" t="s">
        <v>22</v>
      </c>
      <c r="B161">
        <v>10</v>
      </c>
      <c r="C161" t="s">
        <v>22</v>
      </c>
      <c r="D161" t="s">
        <v>127</v>
      </c>
      <c r="H161" t="s">
        <v>27</v>
      </c>
      <c r="I161" t="s">
        <v>65</v>
      </c>
      <c r="L161" t="s">
        <v>82</v>
      </c>
      <c r="M161">
        <v>222</v>
      </c>
    </row>
    <row r="162" spans="1:13" x14ac:dyDescent="0.35">
      <c r="A162" t="s">
        <v>22</v>
      </c>
      <c r="B162">
        <v>10</v>
      </c>
      <c r="C162" t="s">
        <v>22</v>
      </c>
      <c r="D162" t="s">
        <v>128</v>
      </c>
      <c r="H162" t="s">
        <v>23</v>
      </c>
      <c r="I162" t="s">
        <v>70</v>
      </c>
      <c r="L162" t="s">
        <v>82</v>
      </c>
      <c r="M162">
        <v>105</v>
      </c>
    </row>
    <row r="163" spans="1:13" x14ac:dyDescent="0.35">
      <c r="A163" t="s">
        <v>22</v>
      </c>
      <c r="B163">
        <v>10</v>
      </c>
      <c r="C163" t="s">
        <v>22</v>
      </c>
      <c r="D163" t="s">
        <v>128</v>
      </c>
      <c r="H163" t="s">
        <v>25</v>
      </c>
      <c r="I163" t="s">
        <v>70</v>
      </c>
      <c r="L163" t="s">
        <v>82</v>
      </c>
      <c r="M163">
        <v>156</v>
      </c>
    </row>
    <row r="164" spans="1:13" x14ac:dyDescent="0.35">
      <c r="A164" t="s">
        <v>22</v>
      </c>
      <c r="B164">
        <v>10</v>
      </c>
      <c r="C164" t="s">
        <v>22</v>
      </c>
      <c r="D164" t="s">
        <v>128</v>
      </c>
      <c r="H164" t="s">
        <v>25</v>
      </c>
      <c r="I164" t="s">
        <v>65</v>
      </c>
      <c r="L164" t="s">
        <v>82</v>
      </c>
      <c r="M164">
        <v>50</v>
      </c>
    </row>
    <row r="165" spans="1:13" x14ac:dyDescent="0.35">
      <c r="A165" t="s">
        <v>22</v>
      </c>
      <c r="B165">
        <v>10</v>
      </c>
      <c r="C165" t="s">
        <v>22</v>
      </c>
      <c r="D165" t="s">
        <v>128</v>
      </c>
      <c r="H165" t="s">
        <v>26</v>
      </c>
      <c r="I165" t="s">
        <v>65</v>
      </c>
      <c r="L165" t="s">
        <v>82</v>
      </c>
      <c r="M165">
        <v>11</v>
      </c>
    </row>
    <row r="166" spans="1:13" x14ac:dyDescent="0.35">
      <c r="A166" t="s">
        <v>22</v>
      </c>
      <c r="B166">
        <v>10</v>
      </c>
      <c r="C166" t="s">
        <v>22</v>
      </c>
      <c r="D166" t="s">
        <v>128</v>
      </c>
      <c r="H166" t="s">
        <v>27</v>
      </c>
      <c r="I166" t="s">
        <v>65</v>
      </c>
      <c r="L166" t="s">
        <v>82</v>
      </c>
      <c r="M166">
        <v>222</v>
      </c>
    </row>
    <row r="167" spans="1:13" x14ac:dyDescent="0.35">
      <c r="A167" s="4" t="s">
        <v>20</v>
      </c>
      <c r="B167" s="4">
        <v>11</v>
      </c>
      <c r="C167" s="4" t="s">
        <v>20</v>
      </c>
      <c r="D167" s="4" t="s">
        <v>291</v>
      </c>
      <c r="E167" s="4"/>
      <c r="F167" s="4"/>
      <c r="G167" s="4"/>
      <c r="H167" s="4"/>
      <c r="I167" s="4"/>
      <c r="J167" s="4"/>
      <c r="K167" s="4"/>
      <c r="L167" s="4" t="s">
        <v>211</v>
      </c>
      <c r="M167" s="4">
        <v>0</v>
      </c>
    </row>
    <row r="168" spans="1:13" x14ac:dyDescent="0.35">
      <c r="A168" s="4" t="s">
        <v>20</v>
      </c>
      <c r="B168" s="4">
        <v>11</v>
      </c>
      <c r="C168" s="4" t="s">
        <v>20</v>
      </c>
      <c r="D168" s="4" t="s">
        <v>127</v>
      </c>
      <c r="E168" s="4"/>
      <c r="F168" s="4"/>
      <c r="G168" s="4"/>
      <c r="H168" s="4"/>
      <c r="I168" s="4"/>
      <c r="J168" s="4"/>
      <c r="K168" s="4"/>
      <c r="L168" s="4" t="s">
        <v>211</v>
      </c>
      <c r="M168" s="4">
        <v>0</v>
      </c>
    </row>
    <row r="169" spans="1:13" x14ac:dyDescent="0.35">
      <c r="A169" s="4" t="s">
        <v>20</v>
      </c>
      <c r="B169" s="4">
        <v>11</v>
      </c>
      <c r="C169" s="4" t="s">
        <v>20</v>
      </c>
      <c r="D169" s="4" t="s">
        <v>128</v>
      </c>
      <c r="E169" s="4"/>
      <c r="F169" s="4"/>
      <c r="G169" s="4"/>
      <c r="H169" s="4"/>
      <c r="I169" s="4"/>
      <c r="J169" s="4"/>
      <c r="K169" s="4"/>
      <c r="L169" s="4" t="s">
        <v>211</v>
      </c>
      <c r="M169" s="4">
        <v>0</v>
      </c>
    </row>
    <row r="170" spans="1:13" x14ac:dyDescent="0.35">
      <c r="A170" t="s">
        <v>80</v>
      </c>
      <c r="B170">
        <v>12</v>
      </c>
      <c r="C170" t="s">
        <v>80</v>
      </c>
      <c r="D170" t="s">
        <v>291</v>
      </c>
      <c r="G170" t="s">
        <v>14</v>
      </c>
      <c r="L170" t="s">
        <v>81</v>
      </c>
      <c r="M170">
        <v>44</v>
      </c>
    </row>
    <row r="171" spans="1:13" x14ac:dyDescent="0.35">
      <c r="A171" t="s">
        <v>80</v>
      </c>
      <c r="B171">
        <v>12</v>
      </c>
      <c r="C171" t="s">
        <v>80</v>
      </c>
      <c r="D171" t="s">
        <v>291</v>
      </c>
      <c r="G171" t="s">
        <v>16</v>
      </c>
      <c r="L171" t="s">
        <v>81</v>
      </c>
      <c r="M171">
        <v>78</v>
      </c>
    </row>
    <row r="172" spans="1:13" x14ac:dyDescent="0.35">
      <c r="A172" t="s">
        <v>80</v>
      </c>
      <c r="B172">
        <v>12</v>
      </c>
      <c r="C172" t="s">
        <v>80</v>
      </c>
      <c r="D172" t="s">
        <v>291</v>
      </c>
      <c r="G172" t="s">
        <v>17</v>
      </c>
      <c r="L172" t="s">
        <v>81</v>
      </c>
      <c r="M172">
        <v>14</v>
      </c>
    </row>
    <row r="173" spans="1:13" x14ac:dyDescent="0.35">
      <c r="A173" t="s">
        <v>80</v>
      </c>
      <c r="B173">
        <v>12</v>
      </c>
      <c r="C173" t="s">
        <v>80</v>
      </c>
      <c r="D173" t="s">
        <v>291</v>
      </c>
      <c r="G173" t="s">
        <v>18</v>
      </c>
      <c r="L173" t="s">
        <v>81</v>
      </c>
      <c r="M173">
        <v>70</v>
      </c>
    </row>
    <row r="174" spans="1:13" x14ac:dyDescent="0.35">
      <c r="A174" t="s">
        <v>80</v>
      </c>
      <c r="B174">
        <v>12</v>
      </c>
      <c r="C174" t="s">
        <v>80</v>
      </c>
      <c r="D174" t="s">
        <v>291</v>
      </c>
      <c r="G174" t="s">
        <v>19</v>
      </c>
      <c r="L174" t="s">
        <v>81</v>
      </c>
      <c r="M174">
        <v>45</v>
      </c>
    </row>
    <row r="175" spans="1:13" x14ac:dyDescent="0.35">
      <c r="A175" t="s">
        <v>80</v>
      </c>
      <c r="B175">
        <v>12</v>
      </c>
      <c r="C175" t="s">
        <v>80</v>
      </c>
      <c r="D175" t="s">
        <v>127</v>
      </c>
      <c r="G175" t="s">
        <v>14</v>
      </c>
      <c r="L175" t="s">
        <v>81</v>
      </c>
      <c r="M175">
        <v>44</v>
      </c>
    </row>
    <row r="176" spans="1:13" x14ac:dyDescent="0.35">
      <c r="A176" t="s">
        <v>80</v>
      </c>
      <c r="B176">
        <v>12</v>
      </c>
      <c r="C176" t="s">
        <v>80</v>
      </c>
      <c r="D176" t="s">
        <v>127</v>
      </c>
      <c r="G176" t="s">
        <v>16</v>
      </c>
      <c r="L176" t="s">
        <v>81</v>
      </c>
      <c r="M176">
        <v>78</v>
      </c>
    </row>
    <row r="177" spans="1:13" x14ac:dyDescent="0.35">
      <c r="A177" t="s">
        <v>80</v>
      </c>
      <c r="B177">
        <v>12</v>
      </c>
      <c r="C177" t="s">
        <v>80</v>
      </c>
      <c r="D177" t="s">
        <v>127</v>
      </c>
      <c r="G177" t="s">
        <v>17</v>
      </c>
      <c r="L177" t="s">
        <v>81</v>
      </c>
      <c r="M177">
        <v>14</v>
      </c>
    </row>
    <row r="178" spans="1:13" x14ac:dyDescent="0.35">
      <c r="A178" t="s">
        <v>80</v>
      </c>
      <c r="B178">
        <v>12</v>
      </c>
      <c r="C178" t="s">
        <v>80</v>
      </c>
      <c r="D178" t="s">
        <v>127</v>
      </c>
      <c r="G178" t="s">
        <v>18</v>
      </c>
      <c r="L178" t="s">
        <v>81</v>
      </c>
      <c r="M178">
        <v>70</v>
      </c>
    </row>
    <row r="179" spans="1:13" x14ac:dyDescent="0.35">
      <c r="A179" t="s">
        <v>80</v>
      </c>
      <c r="B179">
        <v>12</v>
      </c>
      <c r="C179" t="s">
        <v>80</v>
      </c>
      <c r="D179" t="s">
        <v>127</v>
      </c>
      <c r="G179" t="s">
        <v>19</v>
      </c>
      <c r="L179" t="s">
        <v>81</v>
      </c>
      <c r="M179">
        <v>45</v>
      </c>
    </row>
    <row r="180" spans="1:13" x14ac:dyDescent="0.35">
      <c r="A180" t="s">
        <v>80</v>
      </c>
      <c r="B180">
        <v>12</v>
      </c>
      <c r="C180" t="s">
        <v>80</v>
      </c>
      <c r="D180" t="s">
        <v>128</v>
      </c>
      <c r="G180" t="s">
        <v>14</v>
      </c>
      <c r="L180" t="s">
        <v>81</v>
      </c>
      <c r="M180">
        <v>44</v>
      </c>
    </row>
    <row r="181" spans="1:13" x14ac:dyDescent="0.35">
      <c r="A181" t="s">
        <v>80</v>
      </c>
      <c r="B181">
        <v>12</v>
      </c>
      <c r="C181" t="s">
        <v>80</v>
      </c>
      <c r="D181" t="s">
        <v>128</v>
      </c>
      <c r="G181" t="s">
        <v>16</v>
      </c>
      <c r="L181" t="s">
        <v>81</v>
      </c>
      <c r="M181">
        <v>78</v>
      </c>
    </row>
    <row r="182" spans="1:13" x14ac:dyDescent="0.35">
      <c r="A182" t="s">
        <v>80</v>
      </c>
      <c r="B182">
        <v>12</v>
      </c>
      <c r="C182" t="s">
        <v>80</v>
      </c>
      <c r="D182" t="s">
        <v>128</v>
      </c>
      <c r="G182" t="s">
        <v>17</v>
      </c>
      <c r="L182" t="s">
        <v>81</v>
      </c>
      <c r="M182">
        <v>14</v>
      </c>
    </row>
    <row r="183" spans="1:13" x14ac:dyDescent="0.35">
      <c r="A183" t="s">
        <v>80</v>
      </c>
      <c r="B183">
        <v>12</v>
      </c>
      <c r="C183" t="s">
        <v>80</v>
      </c>
      <c r="D183" t="s">
        <v>128</v>
      </c>
      <c r="G183" t="s">
        <v>18</v>
      </c>
      <c r="L183" t="s">
        <v>81</v>
      </c>
      <c r="M183">
        <v>70</v>
      </c>
    </row>
    <row r="184" spans="1:13" x14ac:dyDescent="0.35">
      <c r="A184" t="s">
        <v>80</v>
      </c>
      <c r="B184">
        <v>12</v>
      </c>
      <c r="C184" t="s">
        <v>80</v>
      </c>
      <c r="D184" t="s">
        <v>128</v>
      </c>
      <c r="G184" t="s">
        <v>19</v>
      </c>
      <c r="L184" t="s">
        <v>81</v>
      </c>
      <c r="M184">
        <v>45</v>
      </c>
    </row>
    <row r="185" spans="1:13" x14ac:dyDescent="0.35">
      <c r="A185" t="s">
        <v>134</v>
      </c>
      <c r="B185">
        <v>13</v>
      </c>
      <c r="C185" t="s">
        <v>134</v>
      </c>
      <c r="D185" t="s">
        <v>291</v>
      </c>
      <c r="L185" t="s">
        <v>150</v>
      </c>
      <c r="M185">
        <v>42</v>
      </c>
    </row>
    <row r="186" spans="1:13" x14ac:dyDescent="0.35">
      <c r="A186" t="s">
        <v>134</v>
      </c>
      <c r="B186">
        <v>13</v>
      </c>
      <c r="C186" t="s">
        <v>134</v>
      </c>
      <c r="D186" t="s">
        <v>127</v>
      </c>
      <c r="L186" t="s">
        <v>150</v>
      </c>
      <c r="M186">
        <v>43</v>
      </c>
    </row>
    <row r="187" spans="1:13" x14ac:dyDescent="0.35">
      <c r="A187" t="s">
        <v>134</v>
      </c>
      <c r="B187">
        <v>13</v>
      </c>
      <c r="C187" t="s">
        <v>134</v>
      </c>
      <c r="D187" t="s">
        <v>128</v>
      </c>
      <c r="L187" t="s">
        <v>150</v>
      </c>
      <c r="M187">
        <v>44</v>
      </c>
    </row>
    <row r="188" spans="1:13" x14ac:dyDescent="0.35">
      <c r="A188" t="s">
        <v>145</v>
      </c>
      <c r="B188">
        <v>14</v>
      </c>
      <c r="C188" t="s">
        <v>101</v>
      </c>
      <c r="D188" t="s">
        <v>291</v>
      </c>
      <c r="E188" t="s">
        <v>10</v>
      </c>
      <c r="J188" t="s">
        <v>34</v>
      </c>
      <c r="L188" t="s">
        <v>85</v>
      </c>
      <c r="M188">
        <v>100</v>
      </c>
    </row>
    <row r="189" spans="1:13" x14ac:dyDescent="0.35">
      <c r="A189" t="s">
        <v>145</v>
      </c>
      <c r="B189">
        <v>14</v>
      </c>
      <c r="C189" t="s">
        <v>101</v>
      </c>
      <c r="D189" t="s">
        <v>291</v>
      </c>
      <c r="E189" t="s">
        <v>12</v>
      </c>
      <c r="J189" t="s">
        <v>34</v>
      </c>
      <c r="L189" t="s">
        <v>85</v>
      </c>
      <c r="M189">
        <v>100</v>
      </c>
    </row>
    <row r="190" spans="1:13" x14ac:dyDescent="0.35">
      <c r="A190" t="s">
        <v>145</v>
      </c>
      <c r="B190">
        <v>14</v>
      </c>
      <c r="C190" t="s">
        <v>101</v>
      </c>
      <c r="D190" t="s">
        <v>291</v>
      </c>
      <c r="E190" t="s">
        <v>10</v>
      </c>
      <c r="J190" t="s">
        <v>37</v>
      </c>
      <c r="L190" t="s">
        <v>85</v>
      </c>
      <c r="M190">
        <v>100</v>
      </c>
    </row>
    <row r="191" spans="1:13" x14ac:dyDescent="0.35">
      <c r="A191" t="s">
        <v>145</v>
      </c>
      <c r="B191">
        <v>14</v>
      </c>
      <c r="C191" t="s">
        <v>101</v>
      </c>
      <c r="D191" t="s">
        <v>291</v>
      </c>
      <c r="E191" t="s">
        <v>12</v>
      </c>
      <c r="J191" t="s">
        <v>37</v>
      </c>
      <c r="L191" t="s">
        <v>85</v>
      </c>
      <c r="M191">
        <v>100</v>
      </c>
    </row>
    <row r="192" spans="1:13" x14ac:dyDescent="0.35">
      <c r="A192" t="s">
        <v>145</v>
      </c>
      <c r="B192">
        <v>14</v>
      </c>
      <c r="C192" t="s">
        <v>101</v>
      </c>
      <c r="D192" t="s">
        <v>127</v>
      </c>
      <c r="E192" t="s">
        <v>10</v>
      </c>
      <c r="J192" t="s">
        <v>34</v>
      </c>
      <c r="L192" t="s">
        <v>85</v>
      </c>
      <c r="M192">
        <v>100</v>
      </c>
    </row>
    <row r="193" spans="1:13" x14ac:dyDescent="0.35">
      <c r="A193" t="s">
        <v>145</v>
      </c>
      <c r="B193">
        <v>14</v>
      </c>
      <c r="C193" t="s">
        <v>101</v>
      </c>
      <c r="D193" t="s">
        <v>127</v>
      </c>
      <c r="E193" t="s">
        <v>12</v>
      </c>
      <c r="J193" t="s">
        <v>34</v>
      </c>
      <c r="L193" t="s">
        <v>85</v>
      </c>
      <c r="M193">
        <v>100</v>
      </c>
    </row>
    <row r="194" spans="1:13" x14ac:dyDescent="0.35">
      <c r="A194" t="s">
        <v>145</v>
      </c>
      <c r="B194">
        <v>14</v>
      </c>
      <c r="C194" t="s">
        <v>101</v>
      </c>
      <c r="D194" t="s">
        <v>127</v>
      </c>
      <c r="E194" t="s">
        <v>10</v>
      </c>
      <c r="J194" t="s">
        <v>37</v>
      </c>
      <c r="L194" t="s">
        <v>85</v>
      </c>
      <c r="M194">
        <v>100</v>
      </c>
    </row>
    <row r="195" spans="1:13" x14ac:dyDescent="0.35">
      <c r="A195" t="s">
        <v>145</v>
      </c>
      <c r="B195">
        <v>14</v>
      </c>
      <c r="C195" t="s">
        <v>101</v>
      </c>
      <c r="D195" t="s">
        <v>127</v>
      </c>
      <c r="E195" t="s">
        <v>12</v>
      </c>
      <c r="J195" t="s">
        <v>37</v>
      </c>
      <c r="L195" t="s">
        <v>85</v>
      </c>
      <c r="M195">
        <v>100</v>
      </c>
    </row>
    <row r="196" spans="1:13" x14ac:dyDescent="0.35">
      <c r="A196" t="s">
        <v>145</v>
      </c>
      <c r="B196">
        <v>14</v>
      </c>
      <c r="C196" t="s">
        <v>101</v>
      </c>
      <c r="D196" t="s">
        <v>128</v>
      </c>
      <c r="E196" t="s">
        <v>10</v>
      </c>
      <c r="J196" t="s">
        <v>34</v>
      </c>
      <c r="L196" t="s">
        <v>85</v>
      </c>
      <c r="M196">
        <v>100</v>
      </c>
    </row>
    <row r="197" spans="1:13" x14ac:dyDescent="0.35">
      <c r="A197" t="s">
        <v>145</v>
      </c>
      <c r="B197">
        <v>14</v>
      </c>
      <c r="C197" t="s">
        <v>101</v>
      </c>
      <c r="D197" t="s">
        <v>128</v>
      </c>
      <c r="E197" t="s">
        <v>12</v>
      </c>
      <c r="J197" t="s">
        <v>34</v>
      </c>
      <c r="L197" t="s">
        <v>85</v>
      </c>
      <c r="M197">
        <v>100</v>
      </c>
    </row>
    <row r="198" spans="1:13" x14ac:dyDescent="0.35">
      <c r="A198" t="s">
        <v>145</v>
      </c>
      <c r="B198">
        <v>14</v>
      </c>
      <c r="C198" t="s">
        <v>101</v>
      </c>
      <c r="D198" t="s">
        <v>128</v>
      </c>
      <c r="E198" t="s">
        <v>10</v>
      </c>
      <c r="J198" t="s">
        <v>37</v>
      </c>
      <c r="L198" t="s">
        <v>85</v>
      </c>
      <c r="M198">
        <v>100</v>
      </c>
    </row>
    <row r="199" spans="1:13" x14ac:dyDescent="0.35">
      <c r="A199" t="s">
        <v>145</v>
      </c>
      <c r="B199">
        <v>14</v>
      </c>
      <c r="C199" t="s">
        <v>101</v>
      </c>
      <c r="D199" t="s">
        <v>128</v>
      </c>
      <c r="E199" t="s">
        <v>12</v>
      </c>
      <c r="J199" t="s">
        <v>37</v>
      </c>
      <c r="L199" t="s">
        <v>85</v>
      </c>
      <c r="M199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4FF1-1A2D-4A1A-AB64-01A5C47139C5}">
  <sheetPr>
    <tabColor theme="4"/>
  </sheetPr>
  <dimension ref="A1:M91"/>
  <sheetViews>
    <sheetView showGridLines="0" tabSelected="1" topLeftCell="C10" zoomScale="55" zoomScaleNormal="55" workbookViewId="0">
      <selection activeCell="L19" sqref="H19:L20"/>
    </sheetView>
  </sheetViews>
  <sheetFormatPr defaultRowHeight="14.5" x14ac:dyDescent="0.35"/>
  <cols>
    <col min="1" max="1" width="39.54296875" bestFit="1" customWidth="1"/>
    <col min="2" max="4" width="39.54296875" customWidth="1"/>
    <col min="5" max="5" width="11.54296875" customWidth="1"/>
    <col min="6" max="6" width="30.54296875" customWidth="1"/>
    <col min="7" max="7" width="12.54296875" customWidth="1"/>
    <col min="8" max="8" width="17.36328125" customWidth="1"/>
    <col min="9" max="9" width="14.54296875" customWidth="1"/>
    <col min="10" max="10" width="16.36328125" customWidth="1"/>
    <col min="11" max="11" width="11" customWidth="1"/>
    <col min="12" max="12" width="32.81640625" customWidth="1"/>
    <col min="13" max="13" width="30.08984375" bestFit="1" customWidth="1"/>
  </cols>
  <sheetData>
    <row r="1" spans="1:13" x14ac:dyDescent="0.35">
      <c r="A1" s="1" t="s">
        <v>0</v>
      </c>
      <c r="B1" s="1" t="s">
        <v>149</v>
      </c>
      <c r="C1" s="1" t="s">
        <v>137</v>
      </c>
      <c r="D1" s="1" t="s">
        <v>189</v>
      </c>
      <c r="E1" s="1" t="s">
        <v>1</v>
      </c>
      <c r="F1" s="1" t="s">
        <v>2</v>
      </c>
      <c r="G1" s="1" t="s">
        <v>281</v>
      </c>
      <c r="H1" s="1" t="s">
        <v>4</v>
      </c>
      <c r="I1" s="1" t="s">
        <v>5</v>
      </c>
      <c r="J1" s="1" t="s">
        <v>6</v>
      </c>
      <c r="K1" s="1" t="s">
        <v>7</v>
      </c>
      <c r="L1" s="5" t="s">
        <v>177</v>
      </c>
      <c r="M1" t="s">
        <v>98</v>
      </c>
    </row>
    <row r="2" spans="1:13" x14ac:dyDescent="0.35">
      <c r="A2" t="s">
        <v>8</v>
      </c>
      <c r="B2">
        <v>1</v>
      </c>
      <c r="C2" t="s">
        <v>8</v>
      </c>
      <c r="G2" t="s">
        <v>48</v>
      </c>
      <c r="L2" t="s">
        <v>48</v>
      </c>
      <c r="M2">
        <v>365</v>
      </c>
    </row>
    <row r="3" spans="1:13" x14ac:dyDescent="0.35">
      <c r="A3" t="s">
        <v>8</v>
      </c>
      <c r="B3">
        <v>1</v>
      </c>
      <c r="C3" t="s">
        <v>8</v>
      </c>
      <c r="G3" t="s">
        <v>71</v>
      </c>
      <c r="L3" t="s">
        <v>43</v>
      </c>
      <c r="M3">
        <v>0.7</v>
      </c>
    </row>
    <row r="4" spans="1:13" x14ac:dyDescent="0.35">
      <c r="A4" t="s">
        <v>8</v>
      </c>
      <c r="B4">
        <v>1</v>
      </c>
      <c r="C4" t="s">
        <v>8</v>
      </c>
      <c r="G4" t="s">
        <v>72</v>
      </c>
      <c r="L4" t="s">
        <v>43</v>
      </c>
      <c r="M4">
        <v>2.2999999999999998</v>
      </c>
    </row>
    <row r="5" spans="1:13" x14ac:dyDescent="0.35">
      <c r="A5" t="s">
        <v>8</v>
      </c>
      <c r="B5">
        <v>1</v>
      </c>
      <c r="C5" t="s">
        <v>8</v>
      </c>
      <c r="G5" t="s">
        <v>293</v>
      </c>
      <c r="L5" t="s">
        <v>9</v>
      </c>
      <c r="M5">
        <v>0.47249999999999998</v>
      </c>
    </row>
    <row r="6" spans="1:13" x14ac:dyDescent="0.35">
      <c r="A6" t="s">
        <v>8</v>
      </c>
      <c r="B6">
        <v>1</v>
      </c>
      <c r="C6" t="s">
        <v>8</v>
      </c>
      <c r="G6" t="s">
        <v>283</v>
      </c>
      <c r="L6" t="s">
        <v>9</v>
      </c>
      <c r="M6">
        <v>0.59249999999999992</v>
      </c>
    </row>
    <row r="7" spans="1:13" x14ac:dyDescent="0.35">
      <c r="A7" t="s">
        <v>8</v>
      </c>
      <c r="B7">
        <v>1</v>
      </c>
      <c r="C7" t="s">
        <v>8</v>
      </c>
      <c r="G7" t="s">
        <v>284</v>
      </c>
      <c r="L7" t="s">
        <v>9</v>
      </c>
      <c r="M7">
        <v>0.6</v>
      </c>
    </row>
    <row r="8" spans="1:13" x14ac:dyDescent="0.35">
      <c r="A8" t="s">
        <v>8</v>
      </c>
      <c r="B8">
        <v>1</v>
      </c>
      <c r="C8" t="s">
        <v>8</v>
      </c>
      <c r="G8" t="s">
        <v>294</v>
      </c>
      <c r="L8" t="s">
        <v>9</v>
      </c>
      <c r="M8">
        <v>0.75</v>
      </c>
    </row>
    <row r="9" spans="1:13" x14ac:dyDescent="0.35">
      <c r="A9" t="s">
        <v>45</v>
      </c>
      <c r="B9">
        <v>3</v>
      </c>
      <c r="C9" t="s">
        <v>160</v>
      </c>
      <c r="G9" t="s">
        <v>289</v>
      </c>
      <c r="L9" t="s">
        <v>48</v>
      </c>
      <c r="M9">
        <v>250</v>
      </c>
    </row>
    <row r="10" spans="1:13" x14ac:dyDescent="0.35">
      <c r="A10" t="s">
        <v>45</v>
      </c>
      <c r="B10">
        <v>3</v>
      </c>
      <c r="C10" t="s">
        <v>160</v>
      </c>
      <c r="G10" t="s">
        <v>289</v>
      </c>
      <c r="L10" t="s">
        <v>46</v>
      </c>
      <c r="M10">
        <v>0.05</v>
      </c>
    </row>
    <row r="11" spans="1:13" x14ac:dyDescent="0.35">
      <c r="A11" t="s">
        <v>45</v>
      </c>
      <c r="B11">
        <v>3</v>
      </c>
      <c r="C11" t="s">
        <v>160</v>
      </c>
      <c r="G11" t="s">
        <v>289</v>
      </c>
      <c r="L11" t="s">
        <v>47</v>
      </c>
      <c r="M11">
        <v>12.7</v>
      </c>
    </row>
    <row r="12" spans="1:13" x14ac:dyDescent="0.35">
      <c r="A12" t="s">
        <v>39</v>
      </c>
      <c r="B12">
        <v>4</v>
      </c>
      <c r="C12" t="s">
        <v>39</v>
      </c>
      <c r="G12" t="s">
        <v>144</v>
      </c>
      <c r="L12" t="s">
        <v>43</v>
      </c>
      <c r="M12">
        <v>9.3000000000000007</v>
      </c>
    </row>
    <row r="13" spans="1:13" x14ac:dyDescent="0.35">
      <c r="A13" t="s">
        <v>39</v>
      </c>
      <c r="B13">
        <v>4</v>
      </c>
      <c r="C13" t="s">
        <v>39</v>
      </c>
      <c r="G13" t="s">
        <v>144</v>
      </c>
      <c r="L13" t="s">
        <v>42</v>
      </c>
      <c r="M13">
        <v>5.74</v>
      </c>
    </row>
    <row r="14" spans="1:13" x14ac:dyDescent="0.35">
      <c r="A14" t="s">
        <v>39</v>
      </c>
      <c r="B14">
        <v>4</v>
      </c>
      <c r="C14" t="s">
        <v>39</v>
      </c>
      <c r="G14" t="s">
        <v>144</v>
      </c>
      <c r="L14" t="s">
        <v>40</v>
      </c>
      <c r="M14">
        <v>1500</v>
      </c>
    </row>
    <row r="15" spans="1:13" x14ac:dyDescent="0.35">
      <c r="A15" t="s">
        <v>39</v>
      </c>
      <c r="B15">
        <v>4</v>
      </c>
      <c r="C15" t="s">
        <v>39</v>
      </c>
      <c r="G15" t="s">
        <v>144</v>
      </c>
      <c r="L15" t="s">
        <v>44</v>
      </c>
      <c r="M15">
        <v>0.27700000000000002</v>
      </c>
    </row>
    <row r="16" spans="1:13" x14ac:dyDescent="0.35">
      <c r="A16" t="s">
        <v>39</v>
      </c>
      <c r="B16">
        <v>4</v>
      </c>
      <c r="C16" t="s">
        <v>39</v>
      </c>
      <c r="G16" t="s">
        <v>144</v>
      </c>
      <c r="L16" t="s">
        <v>41</v>
      </c>
      <c r="M16">
        <v>0.5</v>
      </c>
    </row>
    <row r="17" spans="1:13" x14ac:dyDescent="0.35">
      <c r="A17" t="s">
        <v>28</v>
      </c>
      <c r="B17">
        <v>5</v>
      </c>
      <c r="C17" t="s">
        <v>169</v>
      </c>
      <c r="E17" t="s">
        <v>10</v>
      </c>
      <c r="I17" t="s">
        <v>29</v>
      </c>
      <c r="L17" t="s">
        <v>30</v>
      </c>
      <c r="M17">
        <v>28835.152377985909</v>
      </c>
    </row>
    <row r="18" spans="1:13" x14ac:dyDescent="0.35">
      <c r="A18" t="s">
        <v>28</v>
      </c>
      <c r="B18">
        <v>5</v>
      </c>
      <c r="C18" t="s">
        <v>169</v>
      </c>
      <c r="E18" t="s">
        <v>12</v>
      </c>
      <c r="I18" t="s">
        <v>29</v>
      </c>
      <c r="L18" t="s">
        <v>30</v>
      </c>
      <c r="M18">
        <v>17447.589560403594</v>
      </c>
    </row>
    <row r="19" spans="1:13" x14ac:dyDescent="0.35">
      <c r="A19" t="s">
        <v>28</v>
      </c>
      <c r="B19">
        <v>5</v>
      </c>
      <c r="C19" t="s">
        <v>169</v>
      </c>
      <c r="E19" t="s">
        <v>10</v>
      </c>
      <c r="I19" t="s">
        <v>29</v>
      </c>
      <c r="L19" t="s">
        <v>32</v>
      </c>
      <c r="M19">
        <v>43</v>
      </c>
    </row>
    <row r="20" spans="1:13" x14ac:dyDescent="0.35">
      <c r="A20" t="s">
        <v>28</v>
      </c>
      <c r="B20">
        <v>5</v>
      </c>
      <c r="C20" t="s">
        <v>169</v>
      </c>
      <c r="E20" t="s">
        <v>12</v>
      </c>
      <c r="I20" t="s">
        <v>29</v>
      </c>
      <c r="L20" t="s">
        <v>32</v>
      </c>
      <c r="M20">
        <v>60</v>
      </c>
    </row>
    <row r="21" spans="1:13" x14ac:dyDescent="0.35">
      <c r="A21" t="s">
        <v>28</v>
      </c>
      <c r="B21">
        <v>5</v>
      </c>
      <c r="C21" t="s">
        <v>169</v>
      </c>
      <c r="E21" t="s">
        <v>10</v>
      </c>
      <c r="I21" t="s">
        <v>34</v>
      </c>
      <c r="L21" t="s">
        <v>32</v>
      </c>
      <c r="M21">
        <v>71</v>
      </c>
    </row>
    <row r="22" spans="1:13" x14ac:dyDescent="0.35">
      <c r="A22" t="s">
        <v>28</v>
      </c>
      <c r="B22">
        <v>5</v>
      </c>
      <c r="C22" t="s">
        <v>169</v>
      </c>
      <c r="E22" t="s">
        <v>12</v>
      </c>
      <c r="I22" t="s">
        <v>34</v>
      </c>
      <c r="L22" t="s">
        <v>32</v>
      </c>
      <c r="M22">
        <v>72</v>
      </c>
    </row>
    <row r="23" spans="1:13" x14ac:dyDescent="0.35">
      <c r="A23" t="s">
        <v>28</v>
      </c>
      <c r="B23">
        <v>5</v>
      </c>
      <c r="C23" t="s">
        <v>169</v>
      </c>
      <c r="E23" t="s">
        <v>33</v>
      </c>
      <c r="I23" t="s">
        <v>34</v>
      </c>
      <c r="L23" t="s">
        <v>35</v>
      </c>
      <c r="M23">
        <v>0.18</v>
      </c>
    </row>
    <row r="24" spans="1:13" x14ac:dyDescent="0.35">
      <c r="A24" t="s">
        <v>28</v>
      </c>
      <c r="B24">
        <v>5</v>
      </c>
      <c r="C24" t="s">
        <v>169</v>
      </c>
      <c r="E24" t="s">
        <v>33</v>
      </c>
      <c r="I24" t="s">
        <v>37</v>
      </c>
      <c r="L24" t="s">
        <v>35</v>
      </c>
      <c r="M24">
        <v>0.1</v>
      </c>
    </row>
    <row r="25" spans="1:13" x14ac:dyDescent="0.35">
      <c r="A25" t="s">
        <v>28</v>
      </c>
      <c r="B25">
        <v>5</v>
      </c>
      <c r="C25" t="s">
        <v>169</v>
      </c>
      <c r="E25" t="s">
        <v>33</v>
      </c>
      <c r="I25" t="s">
        <v>34</v>
      </c>
      <c r="L25" t="s">
        <v>36</v>
      </c>
      <c r="M25">
        <v>1</v>
      </c>
    </row>
    <row r="26" spans="1:13" x14ac:dyDescent="0.35">
      <c r="A26" t="s">
        <v>28</v>
      </c>
      <c r="B26">
        <v>5</v>
      </c>
      <c r="C26" t="s">
        <v>169</v>
      </c>
      <c r="E26" t="s">
        <v>33</v>
      </c>
      <c r="I26" t="s">
        <v>37</v>
      </c>
      <c r="L26" t="s">
        <v>36</v>
      </c>
      <c r="M26">
        <v>0.75</v>
      </c>
    </row>
    <row r="27" spans="1:13" x14ac:dyDescent="0.35">
      <c r="A27" t="s">
        <v>28</v>
      </c>
      <c r="B27">
        <v>5</v>
      </c>
      <c r="C27" t="s">
        <v>169</v>
      </c>
      <c r="E27" t="s">
        <v>10</v>
      </c>
      <c r="I27" t="s">
        <v>33</v>
      </c>
      <c r="L27" t="s">
        <v>38</v>
      </c>
      <c r="M27">
        <v>-0.3</v>
      </c>
    </row>
    <row r="28" spans="1:13" x14ac:dyDescent="0.35">
      <c r="A28" t="s">
        <v>28</v>
      </c>
      <c r="B28">
        <v>5</v>
      </c>
      <c r="C28" t="s">
        <v>169</v>
      </c>
      <c r="E28" t="s">
        <v>12</v>
      </c>
      <c r="I28" t="s">
        <v>33</v>
      </c>
      <c r="L28" t="s">
        <v>38</v>
      </c>
      <c r="M28">
        <v>-0.3</v>
      </c>
    </row>
    <row r="29" spans="1:13" x14ac:dyDescent="0.35">
      <c r="A29" t="s">
        <v>28</v>
      </c>
      <c r="B29">
        <v>5</v>
      </c>
      <c r="C29" t="s">
        <v>169</v>
      </c>
      <c r="E29" t="s">
        <v>10</v>
      </c>
      <c r="I29" t="s">
        <v>29</v>
      </c>
      <c r="L29" t="s">
        <v>31</v>
      </c>
      <c r="M29">
        <v>5454.1490292354583</v>
      </c>
    </row>
    <row r="30" spans="1:13" x14ac:dyDescent="0.35">
      <c r="A30" t="s">
        <v>28</v>
      </c>
      <c r="B30">
        <v>5</v>
      </c>
      <c r="C30" t="s">
        <v>169</v>
      </c>
      <c r="E30" t="s">
        <v>12</v>
      </c>
      <c r="I30" t="s">
        <v>29</v>
      </c>
      <c r="L30" t="s">
        <v>31</v>
      </c>
      <c r="M30">
        <v>2265.3440244453095</v>
      </c>
    </row>
    <row r="31" spans="1:13" x14ac:dyDescent="0.35">
      <c r="A31" t="s">
        <v>28</v>
      </c>
      <c r="B31">
        <v>5</v>
      </c>
      <c r="C31" t="s">
        <v>169</v>
      </c>
      <c r="E31" t="s">
        <v>10</v>
      </c>
      <c r="I31" t="s">
        <v>34</v>
      </c>
      <c r="L31" t="s">
        <v>31</v>
      </c>
      <c r="M31">
        <v>20213.868050974328</v>
      </c>
    </row>
    <row r="32" spans="1:13" x14ac:dyDescent="0.35">
      <c r="A32" t="s">
        <v>28</v>
      </c>
      <c r="B32">
        <v>5</v>
      </c>
      <c r="C32" t="s">
        <v>169</v>
      </c>
      <c r="E32" t="s">
        <v>12</v>
      </c>
      <c r="I32" t="s">
        <v>34</v>
      </c>
      <c r="L32" t="s">
        <v>31</v>
      </c>
      <c r="M32">
        <v>8617.6405996773447</v>
      </c>
    </row>
    <row r="33" spans="1:13" x14ac:dyDescent="0.35">
      <c r="A33" t="s">
        <v>22</v>
      </c>
      <c r="B33">
        <v>6</v>
      </c>
      <c r="C33" t="s">
        <v>22</v>
      </c>
      <c r="H33" t="s">
        <v>23</v>
      </c>
      <c r="L33" t="s">
        <v>24</v>
      </c>
      <c r="M33">
        <v>10332.716678401948</v>
      </c>
    </row>
    <row r="34" spans="1:13" x14ac:dyDescent="0.35">
      <c r="A34" t="s">
        <v>22</v>
      </c>
      <c r="B34">
        <v>6</v>
      </c>
      <c r="C34" t="s">
        <v>22</v>
      </c>
      <c r="H34" t="s">
        <v>25</v>
      </c>
      <c r="L34" t="s">
        <v>24</v>
      </c>
      <c r="M34">
        <v>15008.384525421716</v>
      </c>
    </row>
    <row r="35" spans="1:13" x14ac:dyDescent="0.35">
      <c r="A35" t="s">
        <v>22</v>
      </c>
      <c r="B35">
        <v>6</v>
      </c>
      <c r="C35" t="s">
        <v>22</v>
      </c>
      <c r="H35" t="s">
        <v>26</v>
      </c>
      <c r="L35" t="s">
        <v>24</v>
      </c>
      <c r="M35">
        <v>33694.611571910202</v>
      </c>
    </row>
    <row r="36" spans="1:13" x14ac:dyDescent="0.35">
      <c r="A36" t="s">
        <v>22</v>
      </c>
      <c r="B36">
        <v>6</v>
      </c>
      <c r="C36" t="s">
        <v>22</v>
      </c>
      <c r="H36" t="s">
        <v>27</v>
      </c>
      <c r="L36" t="s">
        <v>24</v>
      </c>
      <c r="M36">
        <v>12000</v>
      </c>
    </row>
    <row r="37" spans="1:13" x14ac:dyDescent="0.35">
      <c r="A37" t="s">
        <v>20</v>
      </c>
      <c r="B37">
        <v>7</v>
      </c>
      <c r="C37" t="s">
        <v>179</v>
      </c>
      <c r="L37" t="s">
        <v>21</v>
      </c>
      <c r="M37">
        <v>0.25</v>
      </c>
    </row>
    <row r="38" spans="1:13" x14ac:dyDescent="0.35">
      <c r="A38" t="s">
        <v>13</v>
      </c>
      <c r="B38">
        <v>8</v>
      </c>
      <c r="C38" t="s">
        <v>80</v>
      </c>
      <c r="F38" t="s">
        <v>14</v>
      </c>
      <c r="L38" t="s">
        <v>15</v>
      </c>
      <c r="M38">
        <v>1</v>
      </c>
    </row>
    <row r="39" spans="1:13" x14ac:dyDescent="0.35">
      <c r="A39" t="s">
        <v>13</v>
      </c>
      <c r="B39">
        <v>8</v>
      </c>
      <c r="C39" t="s">
        <v>80</v>
      </c>
      <c r="F39" t="s">
        <v>16</v>
      </c>
      <c r="L39" t="s">
        <v>15</v>
      </c>
      <c r="M39">
        <v>5</v>
      </c>
    </row>
    <row r="40" spans="1:13" x14ac:dyDescent="0.35">
      <c r="A40" t="s">
        <v>13</v>
      </c>
      <c r="B40">
        <v>8</v>
      </c>
      <c r="C40" t="s">
        <v>80</v>
      </c>
      <c r="F40" t="s">
        <v>17</v>
      </c>
      <c r="L40" t="s">
        <v>15</v>
      </c>
      <c r="M40">
        <v>5</v>
      </c>
    </row>
    <row r="41" spans="1:13" x14ac:dyDescent="0.35">
      <c r="A41" t="s">
        <v>13</v>
      </c>
      <c r="B41">
        <v>8</v>
      </c>
      <c r="C41" t="s">
        <v>80</v>
      </c>
      <c r="F41" t="s">
        <v>18</v>
      </c>
      <c r="L41" t="s">
        <v>15</v>
      </c>
      <c r="M41">
        <v>2</v>
      </c>
    </row>
    <row r="42" spans="1:13" x14ac:dyDescent="0.35">
      <c r="A42" t="s">
        <v>13</v>
      </c>
      <c r="B42">
        <v>8</v>
      </c>
      <c r="C42" t="s">
        <v>80</v>
      </c>
      <c r="F42" t="s">
        <v>19</v>
      </c>
      <c r="L42" t="s">
        <v>15</v>
      </c>
      <c r="M42">
        <v>2</v>
      </c>
    </row>
    <row r="43" spans="1:13" x14ac:dyDescent="0.35">
      <c r="A43" t="s">
        <v>49</v>
      </c>
      <c r="B43">
        <v>2</v>
      </c>
      <c r="C43" t="s">
        <v>49</v>
      </c>
      <c r="D43" t="s">
        <v>193</v>
      </c>
      <c r="E43" t="s">
        <v>10</v>
      </c>
      <c r="J43" t="s">
        <v>56</v>
      </c>
      <c r="L43" t="s">
        <v>57</v>
      </c>
      <c r="M43">
        <v>8.7064741214944306</v>
      </c>
    </row>
    <row r="44" spans="1:13" x14ac:dyDescent="0.35">
      <c r="A44" t="s">
        <v>49</v>
      </c>
      <c r="B44">
        <v>2</v>
      </c>
      <c r="C44" t="s">
        <v>49</v>
      </c>
      <c r="D44" t="s">
        <v>193</v>
      </c>
      <c r="E44" t="s">
        <v>12</v>
      </c>
      <c r="J44" t="s">
        <v>56</v>
      </c>
      <c r="L44" t="s">
        <v>57</v>
      </c>
      <c r="M44">
        <v>5.9971295125527684</v>
      </c>
    </row>
    <row r="45" spans="1:13" x14ac:dyDescent="0.35">
      <c r="A45" t="s">
        <v>49</v>
      </c>
      <c r="B45">
        <v>2</v>
      </c>
      <c r="C45" t="s">
        <v>49</v>
      </c>
      <c r="D45" t="s">
        <v>193</v>
      </c>
      <c r="E45" t="s">
        <v>10</v>
      </c>
      <c r="J45" t="s">
        <v>59</v>
      </c>
      <c r="L45" t="s">
        <v>57</v>
      </c>
      <c r="M45">
        <v>1.1264220020975759</v>
      </c>
    </row>
    <row r="46" spans="1:13" x14ac:dyDescent="0.35">
      <c r="A46" t="s">
        <v>49</v>
      </c>
      <c r="B46">
        <v>2</v>
      </c>
      <c r="C46" t="s">
        <v>49</v>
      </c>
      <c r="D46" t="s">
        <v>193</v>
      </c>
      <c r="E46" t="s">
        <v>12</v>
      </c>
      <c r="J46" t="s">
        <v>59</v>
      </c>
      <c r="L46" t="s">
        <v>57</v>
      </c>
      <c r="M46">
        <v>1.6007310428935415</v>
      </c>
    </row>
    <row r="47" spans="1:13" x14ac:dyDescent="0.35">
      <c r="A47" t="s">
        <v>49</v>
      </c>
      <c r="B47">
        <v>2</v>
      </c>
      <c r="C47" t="s">
        <v>49</v>
      </c>
      <c r="D47" t="s">
        <v>193</v>
      </c>
      <c r="E47" t="s">
        <v>33</v>
      </c>
      <c r="J47" t="s">
        <v>60</v>
      </c>
      <c r="L47" t="s">
        <v>57</v>
      </c>
      <c r="M47">
        <v>15.699592556616064</v>
      </c>
    </row>
    <row r="48" spans="1:13" x14ac:dyDescent="0.35">
      <c r="A48" t="s">
        <v>49</v>
      </c>
      <c r="B48">
        <v>2</v>
      </c>
      <c r="C48" t="s">
        <v>49</v>
      </c>
      <c r="D48" t="s">
        <v>193</v>
      </c>
      <c r="E48" t="s">
        <v>33</v>
      </c>
      <c r="J48" t="s">
        <v>61</v>
      </c>
      <c r="L48" t="s">
        <v>57</v>
      </c>
      <c r="M48">
        <v>13.186207999692673</v>
      </c>
    </row>
    <row r="49" spans="1:13" x14ac:dyDescent="0.35">
      <c r="A49" t="s">
        <v>49</v>
      </c>
      <c r="B49">
        <v>2</v>
      </c>
      <c r="C49" t="s">
        <v>49</v>
      </c>
      <c r="D49" t="s">
        <v>193</v>
      </c>
      <c r="E49" t="s">
        <v>33</v>
      </c>
      <c r="J49" t="s">
        <v>62</v>
      </c>
      <c r="L49" t="s">
        <v>57</v>
      </c>
      <c r="M49">
        <v>7.4129098007451137</v>
      </c>
    </row>
    <row r="50" spans="1:13" x14ac:dyDescent="0.35">
      <c r="A50" t="s">
        <v>49</v>
      </c>
      <c r="B50">
        <v>2</v>
      </c>
      <c r="C50" t="s">
        <v>49</v>
      </c>
      <c r="D50" t="s">
        <v>193</v>
      </c>
      <c r="E50" t="s">
        <v>33</v>
      </c>
      <c r="J50" t="s">
        <v>63</v>
      </c>
      <c r="L50" t="s">
        <v>57</v>
      </c>
      <c r="M50">
        <v>40.797256605599621</v>
      </c>
    </row>
    <row r="51" spans="1:13" x14ac:dyDescent="0.35">
      <c r="A51" t="s">
        <v>49</v>
      </c>
      <c r="B51">
        <v>2</v>
      </c>
      <c r="C51" t="s">
        <v>49</v>
      </c>
      <c r="D51" t="s">
        <v>192</v>
      </c>
      <c r="E51" t="s">
        <v>10</v>
      </c>
      <c r="J51" t="s">
        <v>56</v>
      </c>
      <c r="L51" t="s">
        <v>43</v>
      </c>
      <c r="M51">
        <v>4.1328553316289787</v>
      </c>
    </row>
    <row r="52" spans="1:13" x14ac:dyDescent="0.35">
      <c r="A52" t="s">
        <v>49</v>
      </c>
      <c r="B52">
        <v>2</v>
      </c>
      <c r="C52" t="s">
        <v>49</v>
      </c>
      <c r="D52" t="s">
        <v>192</v>
      </c>
      <c r="E52" t="s">
        <v>12</v>
      </c>
      <c r="J52" t="s">
        <v>56</v>
      </c>
      <c r="L52" t="s">
        <v>43</v>
      </c>
      <c r="M52">
        <v>4.1328553316289787</v>
      </c>
    </row>
    <row r="53" spans="1:13" x14ac:dyDescent="0.35">
      <c r="A53" t="s">
        <v>49</v>
      </c>
      <c r="B53">
        <v>2</v>
      </c>
      <c r="C53" t="s">
        <v>49</v>
      </c>
      <c r="D53" t="s">
        <v>192</v>
      </c>
      <c r="E53" t="s">
        <v>10</v>
      </c>
      <c r="J53" t="s">
        <v>59</v>
      </c>
      <c r="L53" t="s">
        <v>43</v>
      </c>
      <c r="M53">
        <v>9.937972153462713</v>
      </c>
    </row>
    <row r="54" spans="1:13" x14ac:dyDescent="0.35">
      <c r="A54" t="s">
        <v>49</v>
      </c>
      <c r="B54">
        <v>2</v>
      </c>
      <c r="C54" t="s">
        <v>49</v>
      </c>
      <c r="D54" t="s">
        <v>192</v>
      </c>
      <c r="E54" t="s">
        <v>12</v>
      </c>
      <c r="J54" t="s">
        <v>59</v>
      </c>
      <c r="L54" t="s">
        <v>43</v>
      </c>
      <c r="M54">
        <v>9.937972153462713</v>
      </c>
    </row>
    <row r="55" spans="1:13" x14ac:dyDescent="0.35">
      <c r="A55" t="s">
        <v>49</v>
      </c>
      <c r="B55">
        <v>2</v>
      </c>
      <c r="C55" t="s">
        <v>49</v>
      </c>
      <c r="D55" t="s">
        <v>192</v>
      </c>
      <c r="E55" t="s">
        <v>33</v>
      </c>
      <c r="J55" t="s">
        <v>60</v>
      </c>
      <c r="L55" t="s">
        <v>43</v>
      </c>
      <c r="M55">
        <v>28.751266631655319</v>
      </c>
    </row>
    <row r="56" spans="1:13" x14ac:dyDescent="0.35">
      <c r="A56" t="s">
        <v>49</v>
      </c>
      <c r="B56">
        <v>2</v>
      </c>
      <c r="C56" t="s">
        <v>49</v>
      </c>
      <c r="D56" t="s">
        <v>192</v>
      </c>
      <c r="E56" t="s">
        <v>33</v>
      </c>
      <c r="J56" t="s">
        <v>292</v>
      </c>
      <c r="L56" t="s">
        <v>43</v>
      </c>
      <c r="M56">
        <v>198.354755374798</v>
      </c>
    </row>
    <row r="57" spans="1:13" x14ac:dyDescent="0.35">
      <c r="A57" t="s">
        <v>49</v>
      </c>
      <c r="B57">
        <v>2</v>
      </c>
      <c r="C57" t="s">
        <v>49</v>
      </c>
      <c r="D57" t="s">
        <v>192</v>
      </c>
      <c r="E57" t="s">
        <v>33</v>
      </c>
      <c r="J57" t="s">
        <v>61</v>
      </c>
      <c r="L57" t="s">
        <v>43</v>
      </c>
      <c r="M57">
        <v>5.7158402899079999</v>
      </c>
    </row>
    <row r="58" spans="1:13" x14ac:dyDescent="0.35">
      <c r="A58" t="s">
        <v>49</v>
      </c>
      <c r="B58">
        <v>2</v>
      </c>
      <c r="C58" t="s">
        <v>49</v>
      </c>
      <c r="D58" t="s">
        <v>192</v>
      </c>
      <c r="E58" t="s">
        <v>33</v>
      </c>
      <c r="J58" t="s">
        <v>62</v>
      </c>
      <c r="L58" t="s">
        <v>43</v>
      </c>
      <c r="M58">
        <v>4.5815735448855488</v>
      </c>
    </row>
    <row r="59" spans="1:13" x14ac:dyDescent="0.35">
      <c r="A59" t="s">
        <v>49</v>
      </c>
      <c r="B59">
        <v>2</v>
      </c>
      <c r="C59" t="s">
        <v>49</v>
      </c>
      <c r="D59" t="s">
        <v>192</v>
      </c>
      <c r="E59" t="s">
        <v>33</v>
      </c>
      <c r="J59" t="s">
        <v>63</v>
      </c>
      <c r="L59" t="s">
        <v>43</v>
      </c>
      <c r="M59">
        <v>29.528319416465337</v>
      </c>
    </row>
    <row r="60" spans="1:13" x14ac:dyDescent="0.35">
      <c r="A60" t="s">
        <v>49</v>
      </c>
      <c r="B60">
        <v>2</v>
      </c>
      <c r="C60" t="s">
        <v>49</v>
      </c>
      <c r="D60" t="s">
        <v>190</v>
      </c>
      <c r="L60" t="s">
        <v>51</v>
      </c>
      <c r="M60">
        <v>-0.4</v>
      </c>
    </row>
    <row r="61" spans="1:13" x14ac:dyDescent="0.35">
      <c r="A61" t="s">
        <v>49</v>
      </c>
      <c r="B61">
        <v>2</v>
      </c>
      <c r="C61" t="s">
        <v>49</v>
      </c>
      <c r="D61" t="s">
        <v>190</v>
      </c>
      <c r="L61" t="s">
        <v>50</v>
      </c>
      <c r="M61">
        <v>-0.1</v>
      </c>
    </row>
    <row r="62" spans="1:13" x14ac:dyDescent="0.35">
      <c r="A62" t="s">
        <v>49</v>
      </c>
      <c r="B62">
        <v>2</v>
      </c>
      <c r="C62" t="s">
        <v>49</v>
      </c>
      <c r="D62" t="s">
        <v>190</v>
      </c>
      <c r="L62" t="s">
        <v>53</v>
      </c>
      <c r="M62">
        <v>44</v>
      </c>
    </row>
    <row r="63" spans="1:13" x14ac:dyDescent="0.35">
      <c r="A63" t="s">
        <v>49</v>
      </c>
      <c r="B63">
        <v>2</v>
      </c>
      <c r="C63" t="s">
        <v>49</v>
      </c>
      <c r="D63" t="s">
        <v>194</v>
      </c>
      <c r="E63" t="s">
        <v>10</v>
      </c>
      <c r="J63" t="s">
        <v>56</v>
      </c>
      <c r="L63" t="s">
        <v>44</v>
      </c>
      <c r="M63">
        <v>0.47</v>
      </c>
    </row>
    <row r="64" spans="1:13" x14ac:dyDescent="0.35">
      <c r="A64" t="s">
        <v>49</v>
      </c>
      <c r="B64">
        <v>2</v>
      </c>
      <c r="C64" t="s">
        <v>49</v>
      </c>
      <c r="D64" t="s">
        <v>194</v>
      </c>
      <c r="E64" t="s">
        <v>12</v>
      </c>
      <c r="J64" t="s">
        <v>56</v>
      </c>
      <c r="L64" t="s">
        <v>44</v>
      </c>
      <c r="M64">
        <v>0.6</v>
      </c>
    </row>
    <row r="65" spans="1:13" x14ac:dyDescent="0.35">
      <c r="A65" t="s">
        <v>49</v>
      </c>
      <c r="B65">
        <v>2</v>
      </c>
      <c r="C65" t="s">
        <v>49</v>
      </c>
      <c r="D65" t="s">
        <v>194</v>
      </c>
      <c r="E65" t="s">
        <v>10</v>
      </c>
      <c r="J65" t="s">
        <v>59</v>
      </c>
      <c r="L65" t="s">
        <v>44</v>
      </c>
      <c r="M65">
        <v>0.47</v>
      </c>
    </row>
    <row r="66" spans="1:13" x14ac:dyDescent="0.35">
      <c r="A66" t="s">
        <v>49</v>
      </c>
      <c r="B66">
        <v>2</v>
      </c>
      <c r="C66" t="s">
        <v>49</v>
      </c>
      <c r="D66" t="s">
        <v>194</v>
      </c>
      <c r="E66" t="s">
        <v>12</v>
      </c>
      <c r="J66" t="s">
        <v>59</v>
      </c>
      <c r="L66" t="s">
        <v>44</v>
      </c>
      <c r="M66">
        <v>0.6</v>
      </c>
    </row>
    <row r="67" spans="1:13" x14ac:dyDescent="0.35">
      <c r="A67" t="s">
        <v>49</v>
      </c>
      <c r="B67">
        <v>2</v>
      </c>
      <c r="C67" t="s">
        <v>49</v>
      </c>
      <c r="D67" t="s">
        <v>194</v>
      </c>
      <c r="E67" t="s">
        <v>33</v>
      </c>
      <c r="J67" t="s">
        <v>60</v>
      </c>
      <c r="L67" t="s">
        <v>44</v>
      </c>
      <c r="M67">
        <v>0.8</v>
      </c>
    </row>
    <row r="68" spans="1:13" x14ac:dyDescent="0.35">
      <c r="A68" t="s">
        <v>49</v>
      </c>
      <c r="B68">
        <v>2</v>
      </c>
      <c r="C68" t="s">
        <v>49</v>
      </c>
      <c r="D68" t="s">
        <v>194</v>
      </c>
      <c r="E68" t="s">
        <v>33</v>
      </c>
      <c r="J68" t="s">
        <v>61</v>
      </c>
      <c r="L68" t="s">
        <v>44</v>
      </c>
      <c r="M68">
        <v>0.47</v>
      </c>
    </row>
    <row r="69" spans="1:13" x14ac:dyDescent="0.35">
      <c r="A69" t="s">
        <v>49</v>
      </c>
      <c r="B69">
        <v>2</v>
      </c>
      <c r="C69" t="s">
        <v>49</v>
      </c>
      <c r="D69" t="s">
        <v>194</v>
      </c>
      <c r="E69" t="s">
        <v>33</v>
      </c>
      <c r="J69" t="s">
        <v>62</v>
      </c>
      <c r="L69" t="s">
        <v>44</v>
      </c>
      <c r="M69">
        <v>0.47</v>
      </c>
    </row>
    <row r="70" spans="1:13" x14ac:dyDescent="0.35">
      <c r="A70" t="s">
        <v>49</v>
      </c>
      <c r="B70">
        <v>2</v>
      </c>
      <c r="C70" t="s">
        <v>49</v>
      </c>
      <c r="D70" t="s">
        <v>194</v>
      </c>
      <c r="E70" t="s">
        <v>33</v>
      </c>
      <c r="J70" t="s">
        <v>63</v>
      </c>
      <c r="L70" t="s">
        <v>44</v>
      </c>
      <c r="M70">
        <v>0.75</v>
      </c>
    </row>
    <row r="71" spans="1:13" x14ac:dyDescent="0.35">
      <c r="A71" t="s">
        <v>49</v>
      </c>
      <c r="B71">
        <v>2</v>
      </c>
      <c r="C71" t="s">
        <v>49</v>
      </c>
      <c r="D71" t="s">
        <v>194</v>
      </c>
      <c r="E71" t="s">
        <v>33</v>
      </c>
      <c r="J71" t="s">
        <v>64</v>
      </c>
      <c r="L71" t="s">
        <v>44</v>
      </c>
      <c r="M71">
        <v>0.75</v>
      </c>
    </row>
    <row r="72" spans="1:13" x14ac:dyDescent="0.35">
      <c r="A72" t="s">
        <v>49</v>
      </c>
      <c r="B72">
        <v>2</v>
      </c>
      <c r="C72" t="s">
        <v>49</v>
      </c>
      <c r="D72" t="s">
        <v>195</v>
      </c>
      <c r="E72" t="s">
        <v>10</v>
      </c>
      <c r="J72" t="s">
        <v>56</v>
      </c>
      <c r="L72" t="s">
        <v>58</v>
      </c>
      <c r="M72">
        <v>39214.140781108086</v>
      </c>
    </row>
    <row r="73" spans="1:13" x14ac:dyDescent="0.35">
      <c r="A73" t="s">
        <v>49</v>
      </c>
      <c r="B73">
        <v>2</v>
      </c>
      <c r="C73" t="s">
        <v>49</v>
      </c>
      <c r="D73" t="s">
        <v>195</v>
      </c>
      <c r="E73" t="s">
        <v>12</v>
      </c>
      <c r="J73" t="s">
        <v>56</v>
      </c>
      <c r="L73" t="s">
        <v>58</v>
      </c>
      <c r="M73">
        <v>20740.464285714286</v>
      </c>
    </row>
    <row r="74" spans="1:13" x14ac:dyDescent="0.35">
      <c r="A74" t="s">
        <v>49</v>
      </c>
      <c r="B74">
        <v>2</v>
      </c>
      <c r="C74" t="s">
        <v>49</v>
      </c>
      <c r="D74" t="s">
        <v>195</v>
      </c>
      <c r="E74" t="s">
        <v>10</v>
      </c>
      <c r="J74" t="s">
        <v>59</v>
      </c>
      <c r="L74" t="s">
        <v>58</v>
      </c>
      <c r="M74">
        <v>37760.397350993378</v>
      </c>
    </row>
    <row r="75" spans="1:13" x14ac:dyDescent="0.35">
      <c r="A75" t="s">
        <v>49</v>
      </c>
      <c r="B75">
        <v>2</v>
      </c>
      <c r="C75" t="s">
        <v>49</v>
      </c>
      <c r="D75" t="s">
        <v>195</v>
      </c>
      <c r="E75" t="s">
        <v>12</v>
      </c>
      <c r="J75" t="s">
        <v>59</v>
      </c>
      <c r="L75" t="s">
        <v>58</v>
      </c>
      <c r="M75">
        <v>14393.643564356436</v>
      </c>
    </row>
    <row r="76" spans="1:13" x14ac:dyDescent="0.35">
      <c r="A76" t="s">
        <v>49</v>
      </c>
      <c r="B76">
        <v>2</v>
      </c>
      <c r="C76" t="s">
        <v>49</v>
      </c>
      <c r="D76" t="s">
        <v>195</v>
      </c>
      <c r="E76" t="s">
        <v>33</v>
      </c>
      <c r="J76" t="s">
        <v>60</v>
      </c>
      <c r="L76" t="s">
        <v>58</v>
      </c>
      <c r="M76">
        <v>23700.05</v>
      </c>
    </row>
    <row r="77" spans="1:13" x14ac:dyDescent="0.35">
      <c r="A77" t="s">
        <v>49</v>
      </c>
      <c r="B77">
        <v>2</v>
      </c>
      <c r="C77" t="s">
        <v>49</v>
      </c>
      <c r="D77" t="s">
        <v>195</v>
      </c>
      <c r="E77" t="s">
        <v>33</v>
      </c>
      <c r="J77" t="s">
        <v>61</v>
      </c>
      <c r="L77" t="s">
        <v>58</v>
      </c>
      <c r="M77">
        <v>79462.921052631573</v>
      </c>
    </row>
    <row r="78" spans="1:13" x14ac:dyDescent="0.35">
      <c r="A78" t="s">
        <v>49</v>
      </c>
      <c r="B78">
        <v>2</v>
      </c>
      <c r="C78" t="s">
        <v>49</v>
      </c>
      <c r="D78" t="s">
        <v>195</v>
      </c>
      <c r="E78" t="s">
        <v>33</v>
      </c>
      <c r="J78" t="s">
        <v>62</v>
      </c>
      <c r="L78" t="s">
        <v>58</v>
      </c>
      <c r="M78">
        <v>81116.092592592599</v>
      </c>
    </row>
    <row r="79" spans="1:13" x14ac:dyDescent="0.35">
      <c r="A79" t="s">
        <v>49</v>
      </c>
      <c r="B79">
        <v>2</v>
      </c>
      <c r="C79" t="s">
        <v>49</v>
      </c>
      <c r="D79" t="s">
        <v>195</v>
      </c>
      <c r="E79" t="s">
        <v>33</v>
      </c>
      <c r="J79" t="s">
        <v>63</v>
      </c>
      <c r="L79" t="s">
        <v>58</v>
      </c>
      <c r="M79">
        <v>44645.617449664431</v>
      </c>
    </row>
    <row r="80" spans="1:13" x14ac:dyDescent="0.35">
      <c r="A80" t="s">
        <v>49</v>
      </c>
      <c r="B80">
        <v>2</v>
      </c>
      <c r="C80" t="s">
        <v>49</v>
      </c>
      <c r="D80" t="s">
        <v>190</v>
      </c>
      <c r="L80" t="s">
        <v>54</v>
      </c>
      <c r="M80">
        <v>0.54545454545454541</v>
      </c>
    </row>
    <row r="81" spans="1:13" x14ac:dyDescent="0.35">
      <c r="A81" t="s">
        <v>49</v>
      </c>
      <c r="B81">
        <v>2</v>
      </c>
      <c r="C81" t="s">
        <v>49</v>
      </c>
      <c r="D81" t="s">
        <v>190</v>
      </c>
      <c r="L81" t="s">
        <v>52</v>
      </c>
      <c r="M81">
        <v>2</v>
      </c>
    </row>
    <row r="82" spans="1:13" x14ac:dyDescent="0.35">
      <c r="A82" t="s">
        <v>49</v>
      </c>
      <c r="B82">
        <v>2</v>
      </c>
      <c r="C82" t="s">
        <v>49</v>
      </c>
      <c r="D82" t="s">
        <v>191</v>
      </c>
      <c r="J82" t="s">
        <v>56</v>
      </c>
      <c r="K82" t="s">
        <v>65</v>
      </c>
      <c r="L82" t="s">
        <v>66</v>
      </c>
      <c r="M82">
        <v>4.9280000000000008</v>
      </c>
    </row>
    <row r="83" spans="1:13" x14ac:dyDescent="0.35">
      <c r="A83" t="s">
        <v>49</v>
      </c>
      <c r="B83">
        <v>2</v>
      </c>
      <c r="C83" t="s">
        <v>49</v>
      </c>
      <c r="D83" t="s">
        <v>191</v>
      </c>
      <c r="J83" t="s">
        <v>56</v>
      </c>
      <c r="K83" t="s">
        <v>68</v>
      </c>
      <c r="L83" t="s">
        <v>66</v>
      </c>
      <c r="M83">
        <v>4.4352000000000009</v>
      </c>
    </row>
    <row r="84" spans="1:13" x14ac:dyDescent="0.35">
      <c r="A84" t="s">
        <v>49</v>
      </c>
      <c r="B84">
        <v>2</v>
      </c>
      <c r="C84" t="s">
        <v>49</v>
      </c>
      <c r="D84" t="s">
        <v>191</v>
      </c>
      <c r="J84" t="s">
        <v>56</v>
      </c>
      <c r="K84" t="s">
        <v>69</v>
      </c>
      <c r="L84" t="s">
        <v>66</v>
      </c>
      <c r="M84">
        <v>17</v>
      </c>
    </row>
    <row r="85" spans="1:13" x14ac:dyDescent="0.35">
      <c r="A85" t="s">
        <v>49</v>
      </c>
      <c r="B85">
        <v>2</v>
      </c>
      <c r="C85" t="s">
        <v>49</v>
      </c>
      <c r="D85" t="s">
        <v>191</v>
      </c>
      <c r="J85" t="s">
        <v>59</v>
      </c>
      <c r="K85" t="s">
        <v>70</v>
      </c>
      <c r="L85" t="s">
        <v>66</v>
      </c>
      <c r="M85">
        <v>7.8398072040762292</v>
      </c>
    </row>
    <row r="86" spans="1:13" x14ac:dyDescent="0.35">
      <c r="A86" t="s">
        <v>49</v>
      </c>
      <c r="B86">
        <v>2</v>
      </c>
      <c r="C86" t="s">
        <v>49</v>
      </c>
      <c r="D86" t="s">
        <v>191</v>
      </c>
      <c r="J86" t="s">
        <v>59</v>
      </c>
      <c r="K86" t="s">
        <v>68</v>
      </c>
      <c r="L86" t="s">
        <v>66</v>
      </c>
      <c r="M86">
        <v>7.0558264836686062</v>
      </c>
    </row>
    <row r="87" spans="1:13" x14ac:dyDescent="0.35">
      <c r="A87" t="s">
        <v>49</v>
      </c>
      <c r="B87">
        <v>2</v>
      </c>
      <c r="C87" t="s">
        <v>49</v>
      </c>
      <c r="D87" t="s">
        <v>191</v>
      </c>
      <c r="J87" t="s">
        <v>59</v>
      </c>
      <c r="K87" t="s">
        <v>69</v>
      </c>
      <c r="L87" t="s">
        <v>66</v>
      </c>
      <c r="M87">
        <v>30</v>
      </c>
    </row>
    <row r="88" spans="1:13" x14ac:dyDescent="0.35">
      <c r="A88" t="s">
        <v>49</v>
      </c>
      <c r="B88">
        <v>2</v>
      </c>
      <c r="C88" t="s">
        <v>49</v>
      </c>
      <c r="D88" t="s">
        <v>191</v>
      </c>
      <c r="J88" t="s">
        <v>60</v>
      </c>
      <c r="K88" t="s">
        <v>65</v>
      </c>
      <c r="L88" t="s">
        <v>66</v>
      </c>
      <c r="M88">
        <v>7.5</v>
      </c>
    </row>
    <row r="89" spans="1:13" x14ac:dyDescent="0.35">
      <c r="A89" t="s">
        <v>49</v>
      </c>
      <c r="B89">
        <v>2</v>
      </c>
      <c r="C89" t="s">
        <v>49</v>
      </c>
      <c r="D89" t="s">
        <v>191</v>
      </c>
      <c r="J89" t="s">
        <v>60</v>
      </c>
      <c r="K89" t="s">
        <v>68</v>
      </c>
      <c r="L89" t="s">
        <v>66</v>
      </c>
      <c r="M89">
        <v>6.75</v>
      </c>
    </row>
    <row r="90" spans="1:13" x14ac:dyDescent="0.35">
      <c r="A90" t="s">
        <v>49</v>
      </c>
      <c r="B90">
        <v>2</v>
      </c>
      <c r="C90" t="s">
        <v>49</v>
      </c>
      <c r="D90" t="s">
        <v>191</v>
      </c>
      <c r="J90" t="s">
        <v>60</v>
      </c>
      <c r="K90" t="s">
        <v>69</v>
      </c>
      <c r="L90" t="s">
        <v>66</v>
      </c>
      <c r="M90">
        <v>17</v>
      </c>
    </row>
    <row r="91" spans="1:13" x14ac:dyDescent="0.35">
      <c r="A91" t="s">
        <v>49</v>
      </c>
      <c r="B91">
        <v>2</v>
      </c>
      <c r="C91" t="s">
        <v>49</v>
      </c>
      <c r="D91" t="s">
        <v>190</v>
      </c>
      <c r="L91" t="s">
        <v>55</v>
      </c>
      <c r="M91">
        <v>250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B58-ACE8-4F29-91FA-210D6BDB1CB6}">
  <sheetPr>
    <tabColor theme="7"/>
  </sheetPr>
  <dimension ref="A1:L160"/>
  <sheetViews>
    <sheetView showGridLines="0" topLeftCell="B1" zoomScale="80" zoomScaleNormal="80" workbookViewId="0">
      <selection activeCell="F22" sqref="F22"/>
    </sheetView>
  </sheetViews>
  <sheetFormatPr defaultRowHeight="14.5" x14ac:dyDescent="0.35"/>
  <cols>
    <col min="1" max="1" width="39.81640625" bestFit="1" customWidth="1"/>
    <col min="2" max="3" width="39.81640625" customWidth="1"/>
    <col min="4" max="4" width="11.81640625" bestFit="1" customWidth="1"/>
    <col min="5" max="5" width="11.54296875" bestFit="1" customWidth="1"/>
    <col min="6" max="6" width="30.54296875" bestFit="1" customWidth="1"/>
    <col min="7" max="7" width="11" bestFit="1" customWidth="1"/>
    <col min="8" max="8" width="17.36328125" bestFit="1" customWidth="1"/>
    <col min="9" max="9" width="28.36328125" bestFit="1" customWidth="1"/>
    <col min="10" max="10" width="17.54296875" bestFit="1" customWidth="1"/>
    <col min="11" max="11" width="22.81640625" bestFit="1" customWidth="1"/>
    <col min="12" max="12" width="31.36328125" customWidth="1"/>
  </cols>
  <sheetData>
    <row r="1" spans="1:12" x14ac:dyDescent="0.35">
      <c r="A1" s="1" t="s">
        <v>0</v>
      </c>
      <c r="B1" s="1" t="s">
        <v>149</v>
      </c>
      <c r="C1" s="1" t="s">
        <v>137</v>
      </c>
      <c r="D1" s="1" t="s">
        <v>5</v>
      </c>
      <c r="E1" s="1" t="s">
        <v>1</v>
      </c>
      <c r="F1" s="1" t="s">
        <v>2</v>
      </c>
      <c r="G1" s="1" t="s">
        <v>7</v>
      </c>
      <c r="H1" s="1" t="s">
        <v>4</v>
      </c>
      <c r="I1" s="1" t="s">
        <v>100</v>
      </c>
      <c r="J1" s="1" t="s">
        <v>6</v>
      </c>
      <c r="K1" s="1" t="s">
        <v>177</v>
      </c>
      <c r="L1" t="s">
        <v>98</v>
      </c>
    </row>
    <row r="2" spans="1:12" x14ac:dyDescent="0.35">
      <c r="A2" t="s">
        <v>8</v>
      </c>
      <c r="B2">
        <v>1</v>
      </c>
      <c r="C2" t="s">
        <v>198</v>
      </c>
      <c r="E2" t="s">
        <v>73</v>
      </c>
      <c r="I2" t="s">
        <v>74</v>
      </c>
      <c r="K2" t="s">
        <v>116</v>
      </c>
      <c r="L2">
        <v>430000</v>
      </c>
    </row>
    <row r="3" spans="1:12" x14ac:dyDescent="0.35">
      <c r="A3" t="s">
        <v>8</v>
      </c>
      <c r="B3">
        <v>1</v>
      </c>
      <c r="C3" t="s">
        <v>198</v>
      </c>
      <c r="E3" t="s">
        <v>73</v>
      </c>
      <c r="I3" t="s">
        <v>74</v>
      </c>
      <c r="K3" t="s">
        <v>117</v>
      </c>
      <c r="L3">
        <v>43000</v>
      </c>
    </row>
    <row r="4" spans="1:12" x14ac:dyDescent="0.35">
      <c r="A4" t="s">
        <v>8</v>
      </c>
      <c r="B4">
        <v>1</v>
      </c>
      <c r="C4" t="s">
        <v>198</v>
      </c>
      <c r="E4" t="s">
        <v>10</v>
      </c>
      <c r="I4" t="s">
        <v>74</v>
      </c>
      <c r="K4" t="s">
        <v>116</v>
      </c>
      <c r="L4">
        <v>430000</v>
      </c>
    </row>
    <row r="5" spans="1:12" x14ac:dyDescent="0.35">
      <c r="A5" t="s">
        <v>8</v>
      </c>
      <c r="B5">
        <v>1</v>
      </c>
      <c r="C5" t="s">
        <v>198</v>
      </c>
      <c r="E5" t="s">
        <v>10</v>
      </c>
      <c r="I5" t="s">
        <v>74</v>
      </c>
      <c r="K5" t="s">
        <v>117</v>
      </c>
      <c r="L5">
        <v>43000</v>
      </c>
    </row>
    <row r="6" spans="1:12" x14ac:dyDescent="0.35">
      <c r="A6" t="s">
        <v>8</v>
      </c>
      <c r="B6">
        <v>1</v>
      </c>
      <c r="C6" t="s">
        <v>198</v>
      </c>
      <c r="E6" t="s">
        <v>11</v>
      </c>
      <c r="I6" t="s">
        <v>74</v>
      </c>
      <c r="K6" t="s">
        <v>116</v>
      </c>
      <c r="L6">
        <v>430000</v>
      </c>
    </row>
    <row r="7" spans="1:12" x14ac:dyDescent="0.35">
      <c r="A7" t="s">
        <v>8</v>
      </c>
      <c r="B7">
        <v>1</v>
      </c>
      <c r="C7" t="s">
        <v>198</v>
      </c>
      <c r="E7" t="s">
        <v>11</v>
      </c>
      <c r="I7" t="s">
        <v>74</v>
      </c>
      <c r="K7" t="s">
        <v>117</v>
      </c>
      <c r="L7">
        <v>43000</v>
      </c>
    </row>
    <row r="8" spans="1:12" x14ac:dyDescent="0.35">
      <c r="A8" t="s">
        <v>8</v>
      </c>
      <c r="B8">
        <v>1</v>
      </c>
      <c r="C8" t="s">
        <v>198</v>
      </c>
      <c r="E8" t="s">
        <v>12</v>
      </c>
      <c r="I8" t="s">
        <v>74</v>
      </c>
      <c r="K8" t="s">
        <v>116</v>
      </c>
      <c r="L8">
        <v>430000</v>
      </c>
    </row>
    <row r="9" spans="1:12" x14ac:dyDescent="0.35">
      <c r="A9" t="s">
        <v>8</v>
      </c>
      <c r="B9">
        <v>1</v>
      </c>
      <c r="C9" t="s">
        <v>198</v>
      </c>
      <c r="E9" t="s">
        <v>12</v>
      </c>
      <c r="I9" t="s">
        <v>74</v>
      </c>
      <c r="K9" t="s">
        <v>117</v>
      </c>
      <c r="L9">
        <v>43000</v>
      </c>
    </row>
    <row r="10" spans="1:12" x14ac:dyDescent="0.35">
      <c r="A10" t="s">
        <v>8</v>
      </c>
      <c r="B10">
        <v>1</v>
      </c>
      <c r="C10" t="s">
        <v>198</v>
      </c>
      <c r="E10" t="s">
        <v>73</v>
      </c>
      <c r="I10" t="s">
        <v>75</v>
      </c>
      <c r="K10" t="s">
        <v>116</v>
      </c>
      <c r="L10">
        <v>27500</v>
      </c>
    </row>
    <row r="11" spans="1:12" x14ac:dyDescent="0.35">
      <c r="A11" t="s">
        <v>8</v>
      </c>
      <c r="B11">
        <v>1</v>
      </c>
      <c r="C11" t="s">
        <v>198</v>
      </c>
      <c r="E11" t="s">
        <v>73</v>
      </c>
      <c r="I11" t="s">
        <v>75</v>
      </c>
      <c r="K11" t="s">
        <v>117</v>
      </c>
      <c r="L11">
        <v>2750</v>
      </c>
    </row>
    <row r="12" spans="1:12" x14ac:dyDescent="0.35">
      <c r="A12" t="s">
        <v>8</v>
      </c>
      <c r="B12">
        <v>1</v>
      </c>
      <c r="C12" t="s">
        <v>198</v>
      </c>
      <c r="E12" t="s">
        <v>10</v>
      </c>
      <c r="I12" t="s">
        <v>75</v>
      </c>
      <c r="K12" t="s">
        <v>116</v>
      </c>
      <c r="L12">
        <v>27500</v>
      </c>
    </row>
    <row r="13" spans="1:12" x14ac:dyDescent="0.35">
      <c r="A13" t="s">
        <v>8</v>
      </c>
      <c r="B13">
        <v>1</v>
      </c>
      <c r="C13" t="s">
        <v>198</v>
      </c>
      <c r="E13" t="s">
        <v>10</v>
      </c>
      <c r="I13" t="s">
        <v>75</v>
      </c>
      <c r="K13" t="s">
        <v>117</v>
      </c>
      <c r="L13">
        <v>2750</v>
      </c>
    </row>
    <row r="14" spans="1:12" x14ac:dyDescent="0.35">
      <c r="A14" t="s">
        <v>8</v>
      </c>
      <c r="B14">
        <v>1</v>
      </c>
      <c r="C14" t="s">
        <v>198</v>
      </c>
      <c r="E14" t="s">
        <v>11</v>
      </c>
      <c r="I14" t="s">
        <v>75</v>
      </c>
      <c r="K14" t="s">
        <v>116</v>
      </c>
      <c r="L14">
        <v>27500</v>
      </c>
    </row>
    <row r="15" spans="1:12" x14ac:dyDescent="0.35">
      <c r="A15" t="s">
        <v>8</v>
      </c>
      <c r="B15">
        <v>1</v>
      </c>
      <c r="C15" t="s">
        <v>198</v>
      </c>
      <c r="E15" t="s">
        <v>11</v>
      </c>
      <c r="I15" t="s">
        <v>75</v>
      </c>
      <c r="K15" t="s">
        <v>117</v>
      </c>
      <c r="L15">
        <v>2750</v>
      </c>
    </row>
    <row r="16" spans="1:12" x14ac:dyDescent="0.35">
      <c r="A16" t="s">
        <v>8</v>
      </c>
      <c r="B16">
        <v>1</v>
      </c>
      <c r="C16" t="s">
        <v>198</v>
      </c>
      <c r="E16" t="s">
        <v>12</v>
      </c>
      <c r="I16" t="s">
        <v>75</v>
      </c>
      <c r="K16" t="s">
        <v>116</v>
      </c>
      <c r="L16">
        <v>27500</v>
      </c>
    </row>
    <row r="17" spans="1:12" x14ac:dyDescent="0.35">
      <c r="A17" t="s">
        <v>8</v>
      </c>
      <c r="B17">
        <v>1</v>
      </c>
      <c r="C17" t="s">
        <v>198</v>
      </c>
      <c r="E17" t="s">
        <v>12</v>
      </c>
      <c r="I17" t="s">
        <v>75</v>
      </c>
      <c r="K17" t="s">
        <v>117</v>
      </c>
      <c r="L17">
        <v>2750</v>
      </c>
    </row>
    <row r="18" spans="1:12" x14ac:dyDescent="0.35">
      <c r="A18" t="s">
        <v>8</v>
      </c>
      <c r="B18">
        <v>1</v>
      </c>
      <c r="C18" t="s">
        <v>198</v>
      </c>
      <c r="E18" t="s">
        <v>73</v>
      </c>
      <c r="I18" t="s">
        <v>76</v>
      </c>
      <c r="K18" t="s">
        <v>116</v>
      </c>
      <c r="L18">
        <v>125000</v>
      </c>
    </row>
    <row r="19" spans="1:12" x14ac:dyDescent="0.35">
      <c r="A19" t="s">
        <v>8</v>
      </c>
      <c r="B19">
        <v>1</v>
      </c>
      <c r="C19" t="s">
        <v>198</v>
      </c>
      <c r="E19" t="s">
        <v>73</v>
      </c>
      <c r="I19" t="s">
        <v>76</v>
      </c>
      <c r="K19" t="s">
        <v>117</v>
      </c>
      <c r="L19">
        <v>12500</v>
      </c>
    </row>
    <row r="20" spans="1:12" x14ac:dyDescent="0.35">
      <c r="A20" t="s">
        <v>8</v>
      </c>
      <c r="B20">
        <v>1</v>
      </c>
      <c r="C20" t="s">
        <v>198</v>
      </c>
      <c r="E20" t="s">
        <v>10</v>
      </c>
      <c r="I20" t="s">
        <v>76</v>
      </c>
      <c r="K20" t="s">
        <v>116</v>
      </c>
      <c r="L20">
        <v>125000</v>
      </c>
    </row>
    <row r="21" spans="1:12" x14ac:dyDescent="0.35">
      <c r="A21" t="s">
        <v>8</v>
      </c>
      <c r="B21">
        <v>1</v>
      </c>
      <c r="C21" t="s">
        <v>198</v>
      </c>
      <c r="E21" t="s">
        <v>10</v>
      </c>
      <c r="I21" t="s">
        <v>76</v>
      </c>
      <c r="K21" t="s">
        <v>117</v>
      </c>
      <c r="L21">
        <v>12500</v>
      </c>
    </row>
    <row r="22" spans="1:12" x14ac:dyDescent="0.35">
      <c r="A22" t="s">
        <v>8</v>
      </c>
      <c r="B22">
        <v>1</v>
      </c>
      <c r="C22" t="s">
        <v>198</v>
      </c>
      <c r="E22" t="s">
        <v>11</v>
      </c>
      <c r="I22" t="s">
        <v>76</v>
      </c>
      <c r="K22" t="s">
        <v>116</v>
      </c>
      <c r="L22">
        <v>125000</v>
      </c>
    </row>
    <row r="23" spans="1:12" x14ac:dyDescent="0.35">
      <c r="A23" t="s">
        <v>8</v>
      </c>
      <c r="B23">
        <v>1</v>
      </c>
      <c r="C23" t="s">
        <v>198</v>
      </c>
      <c r="E23" t="s">
        <v>11</v>
      </c>
      <c r="I23" t="s">
        <v>76</v>
      </c>
      <c r="K23" t="s">
        <v>117</v>
      </c>
      <c r="L23">
        <v>12500</v>
      </c>
    </row>
    <row r="24" spans="1:12" x14ac:dyDescent="0.35">
      <c r="A24" t="s">
        <v>8</v>
      </c>
      <c r="B24">
        <v>1</v>
      </c>
      <c r="C24" t="s">
        <v>198</v>
      </c>
      <c r="E24" t="s">
        <v>12</v>
      </c>
      <c r="I24" t="s">
        <v>76</v>
      </c>
      <c r="K24" t="s">
        <v>116</v>
      </c>
      <c r="L24">
        <v>125000</v>
      </c>
    </row>
    <row r="25" spans="1:12" x14ac:dyDescent="0.35">
      <c r="A25" t="s">
        <v>8</v>
      </c>
      <c r="B25">
        <v>1</v>
      </c>
      <c r="C25" t="s">
        <v>198</v>
      </c>
      <c r="E25" t="s">
        <v>12</v>
      </c>
      <c r="I25" t="s">
        <v>76</v>
      </c>
      <c r="K25" t="s">
        <v>117</v>
      </c>
      <c r="L25">
        <v>12500</v>
      </c>
    </row>
    <row r="26" spans="1:12" x14ac:dyDescent="0.35">
      <c r="A26" t="s">
        <v>8</v>
      </c>
      <c r="B26">
        <v>1</v>
      </c>
      <c r="C26" t="s">
        <v>198</v>
      </c>
      <c r="E26" t="s">
        <v>73</v>
      </c>
      <c r="I26" t="s">
        <v>77</v>
      </c>
      <c r="K26" t="s">
        <v>116</v>
      </c>
      <c r="L26">
        <v>337920</v>
      </c>
    </row>
    <row r="27" spans="1:12" x14ac:dyDescent="0.35">
      <c r="A27" t="s">
        <v>8</v>
      </c>
      <c r="B27">
        <v>1</v>
      </c>
      <c r="C27" t="s">
        <v>198</v>
      </c>
      <c r="E27" t="s">
        <v>73</v>
      </c>
      <c r="I27" t="s">
        <v>77</v>
      </c>
      <c r="K27" t="s">
        <v>117</v>
      </c>
      <c r="L27">
        <v>33792</v>
      </c>
    </row>
    <row r="28" spans="1:12" x14ac:dyDescent="0.35">
      <c r="A28" t="s">
        <v>8</v>
      </c>
      <c r="B28">
        <v>1</v>
      </c>
      <c r="C28" t="s">
        <v>198</v>
      </c>
      <c r="E28" t="s">
        <v>10</v>
      </c>
      <c r="I28" t="s">
        <v>77</v>
      </c>
      <c r="K28" t="s">
        <v>116</v>
      </c>
      <c r="L28">
        <v>337920</v>
      </c>
    </row>
    <row r="29" spans="1:12" x14ac:dyDescent="0.35">
      <c r="A29" t="s">
        <v>8</v>
      </c>
      <c r="B29">
        <v>1</v>
      </c>
      <c r="C29" t="s">
        <v>198</v>
      </c>
      <c r="E29" t="s">
        <v>10</v>
      </c>
      <c r="I29" t="s">
        <v>77</v>
      </c>
      <c r="K29" t="s">
        <v>117</v>
      </c>
      <c r="L29">
        <v>33792</v>
      </c>
    </row>
    <row r="30" spans="1:12" x14ac:dyDescent="0.35">
      <c r="A30" t="s">
        <v>8</v>
      </c>
      <c r="B30">
        <v>1</v>
      </c>
      <c r="C30" t="s">
        <v>198</v>
      </c>
      <c r="E30" t="s">
        <v>11</v>
      </c>
      <c r="I30" t="s">
        <v>77</v>
      </c>
      <c r="K30" t="s">
        <v>116</v>
      </c>
      <c r="L30">
        <v>337920</v>
      </c>
    </row>
    <row r="31" spans="1:12" x14ac:dyDescent="0.35">
      <c r="A31" t="s">
        <v>8</v>
      </c>
      <c r="B31">
        <v>1</v>
      </c>
      <c r="C31" t="s">
        <v>198</v>
      </c>
      <c r="E31" t="s">
        <v>11</v>
      </c>
      <c r="I31" t="s">
        <v>77</v>
      </c>
      <c r="K31" t="s">
        <v>117</v>
      </c>
      <c r="L31">
        <v>33792</v>
      </c>
    </row>
    <row r="32" spans="1:12" x14ac:dyDescent="0.35">
      <c r="A32" t="s">
        <v>8</v>
      </c>
      <c r="B32">
        <v>1</v>
      </c>
      <c r="C32" t="s">
        <v>198</v>
      </c>
      <c r="E32" t="s">
        <v>12</v>
      </c>
      <c r="I32" t="s">
        <v>77</v>
      </c>
      <c r="K32" t="s">
        <v>116</v>
      </c>
      <c r="L32">
        <v>337920</v>
      </c>
    </row>
    <row r="33" spans="1:12" x14ac:dyDescent="0.35">
      <c r="A33" t="s">
        <v>8</v>
      </c>
      <c r="B33">
        <v>1</v>
      </c>
      <c r="C33" t="s">
        <v>198</v>
      </c>
      <c r="E33" t="s">
        <v>12</v>
      </c>
      <c r="I33" t="s">
        <v>77</v>
      </c>
      <c r="K33" t="s">
        <v>117</v>
      </c>
      <c r="L33">
        <v>33792</v>
      </c>
    </row>
    <row r="34" spans="1:12" x14ac:dyDescent="0.35">
      <c r="A34" t="s">
        <v>8</v>
      </c>
      <c r="B34">
        <v>1</v>
      </c>
      <c r="C34" t="s">
        <v>198</v>
      </c>
      <c r="E34" t="s">
        <v>73</v>
      </c>
      <c r="I34" t="s">
        <v>78</v>
      </c>
      <c r="K34" t="s">
        <v>116</v>
      </c>
      <c r="L34">
        <v>900000</v>
      </c>
    </row>
    <row r="35" spans="1:12" x14ac:dyDescent="0.35">
      <c r="A35" t="s">
        <v>8</v>
      </c>
      <c r="B35">
        <v>1</v>
      </c>
      <c r="C35" t="s">
        <v>198</v>
      </c>
      <c r="E35" t="s">
        <v>73</v>
      </c>
      <c r="I35" t="s">
        <v>78</v>
      </c>
      <c r="K35" t="s">
        <v>117</v>
      </c>
      <c r="L35">
        <v>90000</v>
      </c>
    </row>
    <row r="36" spans="1:12" x14ac:dyDescent="0.35">
      <c r="A36" t="s">
        <v>8</v>
      </c>
      <c r="B36">
        <v>1</v>
      </c>
      <c r="C36" t="s">
        <v>198</v>
      </c>
      <c r="E36" t="s">
        <v>10</v>
      </c>
      <c r="I36" t="s">
        <v>78</v>
      </c>
      <c r="K36" t="s">
        <v>116</v>
      </c>
      <c r="L36">
        <v>850000</v>
      </c>
    </row>
    <row r="37" spans="1:12" x14ac:dyDescent="0.35">
      <c r="A37" t="s">
        <v>8</v>
      </c>
      <c r="B37">
        <v>1</v>
      </c>
      <c r="C37" t="s">
        <v>198</v>
      </c>
      <c r="E37" t="s">
        <v>10</v>
      </c>
      <c r="I37" t="s">
        <v>78</v>
      </c>
      <c r="K37" t="s">
        <v>117</v>
      </c>
      <c r="L37">
        <v>85000</v>
      </c>
    </row>
    <row r="38" spans="1:12" x14ac:dyDescent="0.35">
      <c r="A38" t="s">
        <v>8</v>
      </c>
      <c r="B38">
        <v>1</v>
      </c>
      <c r="C38" t="s">
        <v>198</v>
      </c>
      <c r="E38" t="s">
        <v>11</v>
      </c>
      <c r="I38" t="s">
        <v>78</v>
      </c>
      <c r="K38" t="s">
        <v>116</v>
      </c>
      <c r="L38">
        <v>750000</v>
      </c>
    </row>
    <row r="39" spans="1:12" x14ac:dyDescent="0.35">
      <c r="A39" t="s">
        <v>8</v>
      </c>
      <c r="B39">
        <v>1</v>
      </c>
      <c r="C39" t="s">
        <v>198</v>
      </c>
      <c r="E39" t="s">
        <v>11</v>
      </c>
      <c r="I39" t="s">
        <v>78</v>
      </c>
      <c r="K39" t="s">
        <v>117</v>
      </c>
      <c r="L39">
        <v>75000</v>
      </c>
    </row>
    <row r="40" spans="1:12" x14ac:dyDescent="0.35">
      <c r="A40" t="s">
        <v>8</v>
      </c>
      <c r="B40">
        <v>1</v>
      </c>
      <c r="C40" t="s">
        <v>198</v>
      </c>
      <c r="E40" t="s">
        <v>11</v>
      </c>
      <c r="I40" t="s">
        <v>79</v>
      </c>
      <c r="K40" t="s">
        <v>116</v>
      </c>
      <c r="L40">
        <v>117427.2</v>
      </c>
    </row>
    <row r="41" spans="1:12" x14ac:dyDescent="0.35">
      <c r="A41" t="s">
        <v>8</v>
      </c>
      <c r="B41">
        <v>1</v>
      </c>
      <c r="C41" t="s">
        <v>198</v>
      </c>
      <c r="E41" t="s">
        <v>11</v>
      </c>
      <c r="I41" t="s">
        <v>79</v>
      </c>
      <c r="K41" t="s">
        <v>117</v>
      </c>
      <c r="L41">
        <v>11742.720000000001</v>
      </c>
    </row>
    <row r="42" spans="1:12" x14ac:dyDescent="0.35">
      <c r="A42" t="s">
        <v>8</v>
      </c>
      <c r="B42">
        <v>1</v>
      </c>
      <c r="C42" t="s">
        <v>198</v>
      </c>
      <c r="E42" t="s">
        <v>12</v>
      </c>
      <c r="I42" t="s">
        <v>79</v>
      </c>
      <c r="K42" t="s">
        <v>116</v>
      </c>
      <c r="L42">
        <v>117427.2</v>
      </c>
    </row>
    <row r="43" spans="1:12" x14ac:dyDescent="0.35">
      <c r="A43" t="s">
        <v>8</v>
      </c>
      <c r="B43">
        <v>1</v>
      </c>
      <c r="C43" t="s">
        <v>198</v>
      </c>
      <c r="E43" t="s">
        <v>12</v>
      </c>
      <c r="I43" t="s">
        <v>79</v>
      </c>
      <c r="K43" t="s">
        <v>117</v>
      </c>
      <c r="L43">
        <v>11742.720000000001</v>
      </c>
    </row>
    <row r="44" spans="1:12" hidden="1" x14ac:dyDescent="0.35">
      <c r="A44" t="s">
        <v>49</v>
      </c>
      <c r="B44">
        <v>2</v>
      </c>
      <c r="C44" t="s">
        <v>216</v>
      </c>
      <c r="E44" t="s">
        <v>10</v>
      </c>
      <c r="G44" t="s">
        <v>65</v>
      </c>
      <c r="J44" t="s">
        <v>56</v>
      </c>
      <c r="K44" t="s">
        <v>110</v>
      </c>
      <c r="L44">
        <v>507824.03333333333</v>
      </c>
    </row>
    <row r="45" spans="1:12" hidden="1" x14ac:dyDescent="0.35">
      <c r="A45" t="s">
        <v>49</v>
      </c>
      <c r="B45">
        <v>2</v>
      </c>
      <c r="C45" t="s">
        <v>216</v>
      </c>
      <c r="E45" t="s">
        <v>10</v>
      </c>
      <c r="G45" t="s">
        <v>65</v>
      </c>
      <c r="J45" t="s">
        <v>56</v>
      </c>
      <c r="K45" t="s">
        <v>114</v>
      </c>
      <c r="L45">
        <v>0.70316123608534298</v>
      </c>
    </row>
    <row r="46" spans="1:12" hidden="1" x14ac:dyDescent="0.35">
      <c r="A46" t="s">
        <v>49</v>
      </c>
      <c r="B46">
        <v>2</v>
      </c>
      <c r="C46" t="s">
        <v>216</v>
      </c>
      <c r="E46" t="s">
        <v>10</v>
      </c>
      <c r="G46" t="s">
        <v>65</v>
      </c>
      <c r="J46" t="s">
        <v>56</v>
      </c>
      <c r="K46" t="s">
        <v>115</v>
      </c>
      <c r="L46">
        <v>7.814468991711423</v>
      </c>
    </row>
    <row r="47" spans="1:12" hidden="1" x14ac:dyDescent="0.35">
      <c r="A47" t="s">
        <v>49</v>
      </c>
      <c r="B47">
        <v>2</v>
      </c>
      <c r="C47" t="s">
        <v>216</v>
      </c>
      <c r="E47" t="s">
        <v>12</v>
      </c>
      <c r="G47" t="s">
        <v>65</v>
      </c>
      <c r="J47" t="s">
        <v>56</v>
      </c>
      <c r="K47" t="s">
        <v>110</v>
      </c>
      <c r="L47">
        <v>507824.03333333333</v>
      </c>
    </row>
    <row r="48" spans="1:12" hidden="1" x14ac:dyDescent="0.35">
      <c r="A48" t="s">
        <v>49</v>
      </c>
      <c r="B48">
        <v>2</v>
      </c>
      <c r="C48" t="s">
        <v>216</v>
      </c>
      <c r="E48" t="s">
        <v>12</v>
      </c>
      <c r="G48" t="s">
        <v>65</v>
      </c>
      <c r="J48" t="s">
        <v>56</v>
      </c>
      <c r="K48" t="s">
        <v>114</v>
      </c>
      <c r="L48">
        <v>0.70316123608534298</v>
      </c>
    </row>
    <row r="49" spans="1:12" hidden="1" x14ac:dyDescent="0.35">
      <c r="A49" t="s">
        <v>49</v>
      </c>
      <c r="B49">
        <v>2</v>
      </c>
      <c r="C49" t="s">
        <v>216</v>
      </c>
      <c r="E49" t="s">
        <v>12</v>
      </c>
      <c r="G49" t="s">
        <v>65</v>
      </c>
      <c r="J49" t="s">
        <v>56</v>
      </c>
      <c r="K49" t="s">
        <v>115</v>
      </c>
      <c r="L49">
        <v>7.814468991711423</v>
      </c>
    </row>
    <row r="50" spans="1:12" hidden="1" x14ac:dyDescent="0.35">
      <c r="A50" t="s">
        <v>49</v>
      </c>
      <c r="B50">
        <v>2</v>
      </c>
      <c r="C50" t="s">
        <v>216</v>
      </c>
      <c r="E50" t="s">
        <v>10</v>
      </c>
      <c r="G50" t="s">
        <v>68</v>
      </c>
      <c r="J50" t="s">
        <v>56</v>
      </c>
      <c r="K50" t="s">
        <v>110</v>
      </c>
      <c r="L50">
        <v>557247.875</v>
      </c>
    </row>
    <row r="51" spans="1:12" hidden="1" x14ac:dyDescent="0.35">
      <c r="A51" t="s">
        <v>49</v>
      </c>
      <c r="B51">
        <v>2</v>
      </c>
      <c r="C51" t="s">
        <v>216</v>
      </c>
      <c r="E51" t="s">
        <v>10</v>
      </c>
      <c r="G51" t="s">
        <v>68</v>
      </c>
      <c r="J51" t="s">
        <v>56</v>
      </c>
      <c r="K51" t="s">
        <v>114</v>
      </c>
      <c r="L51">
        <v>0.57269119769119758</v>
      </c>
    </row>
    <row r="52" spans="1:12" hidden="1" x14ac:dyDescent="0.35">
      <c r="A52" t="s">
        <v>49</v>
      </c>
      <c r="B52">
        <v>2</v>
      </c>
      <c r="C52" t="s">
        <v>216</v>
      </c>
      <c r="E52" t="s">
        <v>10</v>
      </c>
      <c r="G52" t="s">
        <v>68</v>
      </c>
      <c r="J52" t="s">
        <v>56</v>
      </c>
      <c r="K52" t="s">
        <v>115</v>
      </c>
      <c r="L52">
        <v>7.814468991711423</v>
      </c>
    </row>
    <row r="53" spans="1:12" hidden="1" x14ac:dyDescent="0.35">
      <c r="A53" t="s">
        <v>49</v>
      </c>
      <c r="B53">
        <v>2</v>
      </c>
      <c r="C53" t="s">
        <v>216</v>
      </c>
      <c r="E53" t="s">
        <v>12</v>
      </c>
      <c r="G53" t="s">
        <v>68</v>
      </c>
      <c r="J53" t="s">
        <v>56</v>
      </c>
      <c r="K53" t="s">
        <v>110</v>
      </c>
      <c r="L53">
        <v>557247.875</v>
      </c>
    </row>
    <row r="54" spans="1:12" hidden="1" x14ac:dyDescent="0.35">
      <c r="A54" t="s">
        <v>49</v>
      </c>
      <c r="B54">
        <v>2</v>
      </c>
      <c r="C54" t="s">
        <v>216</v>
      </c>
      <c r="E54" t="s">
        <v>12</v>
      </c>
      <c r="G54" t="s">
        <v>68</v>
      </c>
      <c r="J54" t="s">
        <v>56</v>
      </c>
      <c r="K54" t="s">
        <v>114</v>
      </c>
      <c r="L54">
        <v>0.57269119769119758</v>
      </c>
    </row>
    <row r="55" spans="1:12" hidden="1" x14ac:dyDescent="0.35">
      <c r="A55" t="s">
        <v>49</v>
      </c>
      <c r="B55">
        <v>2</v>
      </c>
      <c r="C55" t="s">
        <v>216</v>
      </c>
      <c r="E55" t="s">
        <v>12</v>
      </c>
      <c r="G55" t="s">
        <v>68</v>
      </c>
      <c r="J55" t="s">
        <v>56</v>
      </c>
      <c r="K55" t="s">
        <v>115</v>
      </c>
      <c r="L55">
        <v>7.814468991711423</v>
      </c>
    </row>
    <row r="56" spans="1:12" hidden="1" x14ac:dyDescent="0.35">
      <c r="A56" t="s">
        <v>49</v>
      </c>
      <c r="B56">
        <v>2</v>
      </c>
      <c r="C56" t="s">
        <v>216</v>
      </c>
      <c r="E56" t="s">
        <v>10</v>
      </c>
      <c r="G56" t="s">
        <v>69</v>
      </c>
      <c r="J56" t="s">
        <v>56</v>
      </c>
      <c r="K56" t="s">
        <v>110</v>
      </c>
      <c r="L56">
        <v>887500.21428571432</v>
      </c>
    </row>
    <row r="57" spans="1:12" hidden="1" x14ac:dyDescent="0.35">
      <c r="A57" t="s">
        <v>49</v>
      </c>
      <c r="B57">
        <v>2</v>
      </c>
      <c r="C57" t="s">
        <v>216</v>
      </c>
      <c r="E57" t="s">
        <v>10</v>
      </c>
      <c r="G57" t="s">
        <v>69</v>
      </c>
      <c r="J57" t="s">
        <v>56</v>
      </c>
      <c r="K57" t="s">
        <v>114</v>
      </c>
      <c r="L57">
        <v>0.22944967090526897</v>
      </c>
    </row>
    <row r="58" spans="1:12" hidden="1" x14ac:dyDescent="0.35">
      <c r="A58" t="s">
        <v>49</v>
      </c>
      <c r="B58">
        <v>2</v>
      </c>
      <c r="C58" t="s">
        <v>216</v>
      </c>
      <c r="E58" t="s">
        <v>10</v>
      </c>
      <c r="G58" t="s">
        <v>69</v>
      </c>
      <c r="J58" t="s">
        <v>56</v>
      </c>
      <c r="K58" t="s">
        <v>115</v>
      </c>
      <c r="L58">
        <v>5.9389964337006811</v>
      </c>
    </row>
    <row r="59" spans="1:12" hidden="1" x14ac:dyDescent="0.35">
      <c r="A59" t="s">
        <v>49</v>
      </c>
      <c r="B59">
        <v>2</v>
      </c>
      <c r="C59" t="s">
        <v>216</v>
      </c>
      <c r="E59" t="s">
        <v>12</v>
      </c>
      <c r="G59" t="s">
        <v>69</v>
      </c>
      <c r="J59" t="s">
        <v>56</v>
      </c>
      <c r="K59" t="s">
        <v>110</v>
      </c>
      <c r="L59">
        <v>887500.21428571432</v>
      </c>
    </row>
    <row r="60" spans="1:12" hidden="1" x14ac:dyDescent="0.35">
      <c r="A60" t="s">
        <v>49</v>
      </c>
      <c r="B60">
        <v>2</v>
      </c>
      <c r="C60" t="s">
        <v>216</v>
      </c>
      <c r="E60" t="s">
        <v>12</v>
      </c>
      <c r="G60" t="s">
        <v>69</v>
      </c>
      <c r="J60" t="s">
        <v>56</v>
      </c>
      <c r="K60" t="s">
        <v>114</v>
      </c>
      <c r="L60">
        <v>0.22944967090526897</v>
      </c>
    </row>
    <row r="61" spans="1:12" hidden="1" x14ac:dyDescent="0.35">
      <c r="A61" t="s">
        <v>49</v>
      </c>
      <c r="B61">
        <v>2</v>
      </c>
      <c r="C61" t="s">
        <v>216</v>
      </c>
      <c r="E61" t="s">
        <v>12</v>
      </c>
      <c r="G61" t="s">
        <v>69</v>
      </c>
      <c r="J61" t="s">
        <v>56</v>
      </c>
      <c r="K61" t="s">
        <v>115</v>
      </c>
      <c r="L61">
        <v>5.9389964337006811</v>
      </c>
    </row>
    <row r="62" spans="1:12" hidden="1" x14ac:dyDescent="0.35">
      <c r="A62" t="s">
        <v>49</v>
      </c>
      <c r="B62">
        <v>3</v>
      </c>
      <c r="C62" t="s">
        <v>215</v>
      </c>
      <c r="G62" t="s">
        <v>65</v>
      </c>
      <c r="J62" t="s">
        <v>60</v>
      </c>
      <c r="K62" t="s">
        <v>110</v>
      </c>
      <c r="L62">
        <v>507824.03333333333</v>
      </c>
    </row>
    <row r="63" spans="1:12" hidden="1" x14ac:dyDescent="0.35">
      <c r="A63" t="s">
        <v>49</v>
      </c>
      <c r="B63">
        <v>3</v>
      </c>
      <c r="C63" t="s">
        <v>215</v>
      </c>
      <c r="G63" t="s">
        <v>65</v>
      </c>
      <c r="J63" t="s">
        <v>60</v>
      </c>
      <c r="K63" t="s">
        <v>114</v>
      </c>
      <c r="L63">
        <v>0.70316123608534298</v>
      </c>
    </row>
    <row r="64" spans="1:12" hidden="1" x14ac:dyDescent="0.35">
      <c r="A64" t="s">
        <v>49</v>
      </c>
      <c r="B64">
        <v>3</v>
      </c>
      <c r="C64" t="s">
        <v>215</v>
      </c>
      <c r="G64" t="s">
        <v>65</v>
      </c>
      <c r="J64" t="s">
        <v>60</v>
      </c>
      <c r="K64" t="s">
        <v>115</v>
      </c>
      <c r="L64">
        <v>7.814468991711423</v>
      </c>
    </row>
    <row r="65" spans="1:12" hidden="1" x14ac:dyDescent="0.35">
      <c r="A65" t="s">
        <v>49</v>
      </c>
      <c r="B65">
        <v>3</v>
      </c>
      <c r="C65" t="s">
        <v>215</v>
      </c>
      <c r="E65" t="s">
        <v>10</v>
      </c>
      <c r="G65" t="s">
        <v>70</v>
      </c>
      <c r="J65" t="s">
        <v>59</v>
      </c>
      <c r="K65" t="s">
        <v>110</v>
      </c>
      <c r="L65">
        <v>72634.162790697679</v>
      </c>
    </row>
    <row r="66" spans="1:12" hidden="1" x14ac:dyDescent="0.35">
      <c r="A66" t="s">
        <v>49</v>
      </c>
      <c r="B66">
        <v>3</v>
      </c>
      <c r="C66" t="s">
        <v>215</v>
      </c>
      <c r="E66" t="s">
        <v>10</v>
      </c>
      <c r="G66" t="s">
        <v>70</v>
      </c>
      <c r="J66" t="s">
        <v>59</v>
      </c>
      <c r="K66" t="s">
        <v>114</v>
      </c>
      <c r="L66">
        <v>0.44197515446533014</v>
      </c>
    </row>
    <row r="67" spans="1:12" hidden="1" x14ac:dyDescent="0.35">
      <c r="A67" t="s">
        <v>49</v>
      </c>
      <c r="B67">
        <v>3</v>
      </c>
      <c r="C67" t="s">
        <v>215</v>
      </c>
      <c r="E67" t="s">
        <v>10</v>
      </c>
      <c r="G67" t="s">
        <v>70</v>
      </c>
      <c r="J67" t="s">
        <v>59</v>
      </c>
      <c r="K67" t="s">
        <v>115</v>
      </c>
      <c r="L67">
        <v>3.613784727969656</v>
      </c>
    </row>
    <row r="68" spans="1:12" hidden="1" x14ac:dyDescent="0.35">
      <c r="A68" t="s">
        <v>49</v>
      </c>
      <c r="B68">
        <v>3</v>
      </c>
      <c r="C68" t="s">
        <v>215</v>
      </c>
      <c r="E68" t="s">
        <v>12</v>
      </c>
      <c r="G68" t="s">
        <v>70</v>
      </c>
      <c r="J68" t="s">
        <v>59</v>
      </c>
      <c r="K68" t="s">
        <v>110</v>
      </c>
      <c r="L68">
        <v>72634.162790697679</v>
      </c>
    </row>
    <row r="69" spans="1:12" hidden="1" x14ac:dyDescent="0.35">
      <c r="A69" t="s">
        <v>49</v>
      </c>
      <c r="B69">
        <v>3</v>
      </c>
      <c r="C69" t="s">
        <v>215</v>
      </c>
      <c r="E69" t="s">
        <v>12</v>
      </c>
      <c r="G69" t="s">
        <v>70</v>
      </c>
      <c r="J69" t="s">
        <v>59</v>
      </c>
      <c r="K69" t="s">
        <v>114</v>
      </c>
      <c r="L69">
        <v>0.44197515446533014</v>
      </c>
    </row>
    <row r="70" spans="1:12" hidden="1" x14ac:dyDescent="0.35">
      <c r="A70" t="s">
        <v>49</v>
      </c>
      <c r="B70">
        <v>3</v>
      </c>
      <c r="C70" t="s">
        <v>215</v>
      </c>
      <c r="E70" t="s">
        <v>12</v>
      </c>
      <c r="G70" t="s">
        <v>70</v>
      </c>
      <c r="J70" t="s">
        <v>59</v>
      </c>
      <c r="K70" t="s">
        <v>115</v>
      </c>
      <c r="L70">
        <v>3.613784727969656</v>
      </c>
    </row>
    <row r="71" spans="1:12" hidden="1" x14ac:dyDescent="0.35">
      <c r="A71" t="s">
        <v>49</v>
      </c>
      <c r="B71">
        <v>3</v>
      </c>
      <c r="C71" t="s">
        <v>215</v>
      </c>
      <c r="E71" t="s">
        <v>10</v>
      </c>
      <c r="G71" t="s">
        <v>68</v>
      </c>
      <c r="J71" t="s">
        <v>59</v>
      </c>
      <c r="K71" t="s">
        <v>110</v>
      </c>
      <c r="L71">
        <v>127961.88571428572</v>
      </c>
    </row>
    <row r="72" spans="1:12" hidden="1" x14ac:dyDescent="0.35">
      <c r="A72" t="s">
        <v>49</v>
      </c>
      <c r="B72">
        <v>3</v>
      </c>
      <c r="C72" t="s">
        <v>215</v>
      </c>
      <c r="E72" t="s">
        <v>10</v>
      </c>
      <c r="G72" t="s">
        <v>68</v>
      </c>
      <c r="J72" t="s">
        <v>59</v>
      </c>
      <c r="K72" t="s">
        <v>114</v>
      </c>
      <c r="L72">
        <v>0.3599861767971585</v>
      </c>
    </row>
    <row r="73" spans="1:12" hidden="1" x14ac:dyDescent="0.35">
      <c r="A73" t="s">
        <v>49</v>
      </c>
      <c r="B73">
        <v>3</v>
      </c>
      <c r="C73" t="s">
        <v>215</v>
      </c>
      <c r="E73" t="s">
        <v>10</v>
      </c>
      <c r="G73" t="s">
        <v>68</v>
      </c>
      <c r="J73" t="s">
        <v>59</v>
      </c>
      <c r="K73" t="s">
        <v>115</v>
      </c>
      <c r="L73">
        <v>3.613784727969656</v>
      </c>
    </row>
    <row r="74" spans="1:12" hidden="1" x14ac:dyDescent="0.35">
      <c r="A74" t="s">
        <v>49</v>
      </c>
      <c r="B74">
        <v>3</v>
      </c>
      <c r="C74" t="s">
        <v>215</v>
      </c>
      <c r="E74" t="s">
        <v>12</v>
      </c>
      <c r="G74" t="s">
        <v>68</v>
      </c>
      <c r="J74" t="s">
        <v>59</v>
      </c>
      <c r="K74" t="s">
        <v>110</v>
      </c>
      <c r="L74">
        <v>127961.88571428572</v>
      </c>
    </row>
    <row r="75" spans="1:12" hidden="1" x14ac:dyDescent="0.35">
      <c r="A75" t="s">
        <v>49</v>
      </c>
      <c r="B75">
        <v>3</v>
      </c>
      <c r="C75" t="s">
        <v>215</v>
      </c>
      <c r="E75" t="s">
        <v>12</v>
      </c>
      <c r="G75" t="s">
        <v>68</v>
      </c>
      <c r="J75" t="s">
        <v>59</v>
      </c>
      <c r="K75" t="s">
        <v>114</v>
      </c>
      <c r="L75">
        <v>0.3599861767971585</v>
      </c>
    </row>
    <row r="76" spans="1:12" hidden="1" x14ac:dyDescent="0.35">
      <c r="A76" t="s">
        <v>49</v>
      </c>
      <c r="B76">
        <v>3</v>
      </c>
      <c r="C76" t="s">
        <v>215</v>
      </c>
      <c r="E76" t="s">
        <v>12</v>
      </c>
      <c r="G76" t="s">
        <v>68</v>
      </c>
      <c r="J76" t="s">
        <v>59</v>
      </c>
      <c r="K76" t="s">
        <v>115</v>
      </c>
      <c r="L76">
        <v>3.613784727969656</v>
      </c>
    </row>
    <row r="77" spans="1:12" hidden="1" x14ac:dyDescent="0.35">
      <c r="A77" t="s">
        <v>49</v>
      </c>
      <c r="B77">
        <v>3</v>
      </c>
      <c r="C77" t="s">
        <v>215</v>
      </c>
      <c r="E77" t="s">
        <v>10</v>
      </c>
      <c r="G77" t="s">
        <v>69</v>
      </c>
      <c r="J77" t="s">
        <v>59</v>
      </c>
      <c r="K77" t="s">
        <v>110</v>
      </c>
      <c r="L77">
        <v>126939.31521530519</v>
      </c>
    </row>
    <row r="78" spans="1:12" hidden="1" x14ac:dyDescent="0.35">
      <c r="A78" t="s">
        <v>49</v>
      </c>
      <c r="B78">
        <v>3</v>
      </c>
      <c r="C78" t="s">
        <v>215</v>
      </c>
      <c r="E78" t="s">
        <v>10</v>
      </c>
      <c r="G78" t="s">
        <v>69</v>
      </c>
      <c r="J78" t="s">
        <v>59</v>
      </c>
      <c r="K78" t="s">
        <v>114</v>
      </c>
      <c r="L78">
        <v>0.1300214801796524</v>
      </c>
    </row>
    <row r="79" spans="1:12" hidden="1" x14ac:dyDescent="0.35">
      <c r="A79" t="s">
        <v>49</v>
      </c>
      <c r="B79">
        <v>3</v>
      </c>
      <c r="C79" t="s">
        <v>215</v>
      </c>
      <c r="E79" t="s">
        <v>10</v>
      </c>
      <c r="G79" t="s">
        <v>69</v>
      </c>
      <c r="J79" t="s">
        <v>59</v>
      </c>
      <c r="K79" t="s">
        <v>115</v>
      </c>
      <c r="L79">
        <v>2.7464763932569385</v>
      </c>
    </row>
    <row r="80" spans="1:12" hidden="1" x14ac:dyDescent="0.35">
      <c r="A80" t="s">
        <v>49</v>
      </c>
      <c r="B80">
        <v>3</v>
      </c>
      <c r="C80" t="s">
        <v>215</v>
      </c>
      <c r="E80" t="s">
        <v>12</v>
      </c>
      <c r="G80" t="s">
        <v>69</v>
      </c>
      <c r="J80" t="s">
        <v>59</v>
      </c>
      <c r="K80" t="s">
        <v>110</v>
      </c>
      <c r="L80">
        <v>126939.31521530519</v>
      </c>
    </row>
    <row r="81" spans="1:12" hidden="1" x14ac:dyDescent="0.35">
      <c r="A81" t="s">
        <v>49</v>
      </c>
      <c r="B81">
        <v>3</v>
      </c>
      <c r="C81" t="s">
        <v>215</v>
      </c>
      <c r="E81" t="s">
        <v>12</v>
      </c>
      <c r="G81" t="s">
        <v>69</v>
      </c>
      <c r="J81" t="s">
        <v>59</v>
      </c>
      <c r="K81" t="s">
        <v>114</v>
      </c>
      <c r="L81">
        <v>0.1300214801796524</v>
      </c>
    </row>
    <row r="82" spans="1:12" hidden="1" x14ac:dyDescent="0.35">
      <c r="A82" t="s">
        <v>49</v>
      </c>
      <c r="B82">
        <v>3</v>
      </c>
      <c r="C82" t="s">
        <v>215</v>
      </c>
      <c r="E82" t="s">
        <v>12</v>
      </c>
      <c r="G82" t="s">
        <v>69</v>
      </c>
      <c r="J82" t="s">
        <v>59</v>
      </c>
      <c r="K82" t="s">
        <v>115</v>
      </c>
      <c r="L82">
        <v>2.7464763932569385</v>
      </c>
    </row>
    <row r="83" spans="1:12" hidden="1" x14ac:dyDescent="0.35">
      <c r="A83" t="s">
        <v>136</v>
      </c>
      <c r="B83">
        <v>4</v>
      </c>
      <c r="C83" t="s">
        <v>139</v>
      </c>
      <c r="K83" t="s">
        <v>83</v>
      </c>
      <c r="L83">
        <v>30800</v>
      </c>
    </row>
    <row r="84" spans="1:12" hidden="1" x14ac:dyDescent="0.35">
      <c r="A84" t="s">
        <v>49</v>
      </c>
      <c r="B84">
        <v>5</v>
      </c>
      <c r="C84" t="s">
        <v>93</v>
      </c>
      <c r="G84" t="s">
        <v>69</v>
      </c>
      <c r="J84" t="s">
        <v>94</v>
      </c>
      <c r="K84" t="s">
        <v>110</v>
      </c>
      <c r="L84">
        <v>2200000</v>
      </c>
    </row>
    <row r="85" spans="1:12" hidden="1" x14ac:dyDescent="0.35">
      <c r="A85" t="s">
        <v>49</v>
      </c>
      <c r="B85">
        <v>5</v>
      </c>
      <c r="C85" t="s">
        <v>93</v>
      </c>
      <c r="G85" t="s">
        <v>69</v>
      </c>
      <c r="J85" t="s">
        <v>94</v>
      </c>
      <c r="K85" t="s">
        <v>114</v>
      </c>
      <c r="L85">
        <v>1.7782540748068197E-2</v>
      </c>
    </row>
    <row r="86" spans="1:12" hidden="1" x14ac:dyDescent="0.35">
      <c r="A86" t="s">
        <v>49</v>
      </c>
      <c r="B86">
        <v>5</v>
      </c>
      <c r="C86" t="s">
        <v>93</v>
      </c>
      <c r="G86" t="s">
        <v>69</v>
      </c>
      <c r="J86" t="s">
        <v>94</v>
      </c>
      <c r="K86" t="s">
        <v>115</v>
      </c>
      <c r="L86">
        <v>9.0474209917833246</v>
      </c>
    </row>
    <row r="87" spans="1:12" hidden="1" x14ac:dyDescent="0.35">
      <c r="A87" t="s">
        <v>49</v>
      </c>
      <c r="B87">
        <v>5</v>
      </c>
      <c r="C87" t="s">
        <v>93</v>
      </c>
      <c r="G87" t="s">
        <v>69</v>
      </c>
      <c r="J87" t="s">
        <v>95</v>
      </c>
      <c r="K87" t="s">
        <v>110</v>
      </c>
      <c r="L87">
        <v>2200000</v>
      </c>
    </row>
    <row r="88" spans="1:12" hidden="1" x14ac:dyDescent="0.35">
      <c r="A88" t="s">
        <v>49</v>
      </c>
      <c r="B88">
        <v>5</v>
      </c>
      <c r="C88" t="s">
        <v>93</v>
      </c>
      <c r="G88" t="s">
        <v>69</v>
      </c>
      <c r="J88" t="s">
        <v>95</v>
      </c>
      <c r="K88" t="s">
        <v>114</v>
      </c>
      <c r="L88">
        <v>3.2571058992039076E-2</v>
      </c>
    </row>
    <row r="89" spans="1:12" hidden="1" x14ac:dyDescent="0.35">
      <c r="A89" t="s">
        <v>49</v>
      </c>
      <c r="B89">
        <v>5</v>
      </c>
      <c r="C89" t="s">
        <v>93</v>
      </c>
      <c r="G89" t="s">
        <v>69</v>
      </c>
      <c r="J89" t="s">
        <v>95</v>
      </c>
      <c r="K89" t="s">
        <v>115</v>
      </c>
      <c r="L89">
        <v>8.3307280899871667</v>
      </c>
    </row>
    <row r="90" spans="1:12" hidden="1" x14ac:dyDescent="0.35">
      <c r="A90" t="s">
        <v>49</v>
      </c>
      <c r="B90">
        <v>5</v>
      </c>
      <c r="C90" t="s">
        <v>93</v>
      </c>
      <c r="G90" t="s">
        <v>65</v>
      </c>
      <c r="J90" t="s">
        <v>96</v>
      </c>
      <c r="K90" t="s">
        <v>110</v>
      </c>
      <c r="L90">
        <v>2200000</v>
      </c>
    </row>
    <row r="91" spans="1:12" hidden="1" x14ac:dyDescent="0.35">
      <c r="A91" t="s">
        <v>49</v>
      </c>
      <c r="B91">
        <v>5</v>
      </c>
      <c r="C91" t="s">
        <v>93</v>
      </c>
      <c r="G91" t="s">
        <v>65</v>
      </c>
      <c r="J91" t="s">
        <v>96</v>
      </c>
      <c r="K91" t="s">
        <v>114</v>
      </c>
      <c r="L91">
        <v>1.1884709668099125</v>
      </c>
    </row>
    <row r="92" spans="1:12" hidden="1" x14ac:dyDescent="0.35">
      <c r="A92" t="s">
        <v>49</v>
      </c>
      <c r="B92">
        <v>5</v>
      </c>
      <c r="C92" t="s">
        <v>93</v>
      </c>
      <c r="G92" t="s">
        <v>65</v>
      </c>
      <c r="J92" t="s">
        <v>96</v>
      </c>
      <c r="K92" t="s">
        <v>115</v>
      </c>
      <c r="L92">
        <v>15.951632821457332</v>
      </c>
    </row>
    <row r="93" spans="1:12" hidden="1" x14ac:dyDescent="0.35">
      <c r="A93" t="s">
        <v>49</v>
      </c>
      <c r="B93">
        <v>5</v>
      </c>
      <c r="C93" t="s">
        <v>93</v>
      </c>
      <c r="G93" t="s">
        <v>69</v>
      </c>
      <c r="J93" t="s">
        <v>96</v>
      </c>
      <c r="K93" t="s">
        <v>110</v>
      </c>
      <c r="L93">
        <v>2200000</v>
      </c>
    </row>
    <row r="94" spans="1:12" hidden="1" x14ac:dyDescent="0.35">
      <c r="A94" t="s">
        <v>49</v>
      </c>
      <c r="B94">
        <v>5</v>
      </c>
      <c r="C94" t="s">
        <v>93</v>
      </c>
      <c r="G94" t="s">
        <v>69</v>
      </c>
      <c r="J94" t="s">
        <v>96</v>
      </c>
      <c r="K94" t="s">
        <v>114</v>
      </c>
      <c r="L94">
        <v>1.1884709668099125</v>
      </c>
    </row>
    <row r="95" spans="1:12" hidden="1" x14ac:dyDescent="0.35">
      <c r="A95" t="s">
        <v>49</v>
      </c>
      <c r="B95">
        <v>5</v>
      </c>
      <c r="C95" t="s">
        <v>93</v>
      </c>
      <c r="G95" t="s">
        <v>69</v>
      </c>
      <c r="J95" t="s">
        <v>96</v>
      </c>
      <c r="K95" t="s">
        <v>115</v>
      </c>
      <c r="L95">
        <v>15.951632821457332</v>
      </c>
    </row>
    <row r="96" spans="1:12" hidden="1" x14ac:dyDescent="0.35">
      <c r="A96" t="s">
        <v>143</v>
      </c>
      <c r="B96">
        <v>6</v>
      </c>
      <c r="C96" t="s">
        <v>143</v>
      </c>
      <c r="K96" t="s">
        <v>217</v>
      </c>
      <c r="L96">
        <v>50</v>
      </c>
    </row>
    <row r="97" spans="1:12" hidden="1" x14ac:dyDescent="0.35">
      <c r="A97" t="s">
        <v>39</v>
      </c>
      <c r="B97">
        <v>7</v>
      </c>
      <c r="C97" t="s">
        <v>220</v>
      </c>
      <c r="K97" t="s">
        <v>144</v>
      </c>
      <c r="L97">
        <v>750</v>
      </c>
    </row>
    <row r="98" spans="1:12" hidden="1" x14ac:dyDescent="0.35">
      <c r="A98" t="s">
        <v>84</v>
      </c>
      <c r="B98">
        <v>8</v>
      </c>
      <c r="C98" t="s">
        <v>205</v>
      </c>
      <c r="D98" t="s">
        <v>37</v>
      </c>
      <c r="E98" t="s">
        <v>10</v>
      </c>
      <c r="I98" t="s">
        <v>111</v>
      </c>
      <c r="K98" t="s">
        <v>214</v>
      </c>
      <c r="L98">
        <v>0</v>
      </c>
    </row>
    <row r="99" spans="1:12" hidden="1" x14ac:dyDescent="0.35">
      <c r="A99" t="s">
        <v>84</v>
      </c>
      <c r="B99">
        <v>8</v>
      </c>
      <c r="C99" t="s">
        <v>205</v>
      </c>
      <c r="D99" t="s">
        <v>37</v>
      </c>
      <c r="E99" t="s">
        <v>12</v>
      </c>
      <c r="I99" t="s">
        <v>111</v>
      </c>
      <c r="K99" t="s">
        <v>214</v>
      </c>
      <c r="L99">
        <v>0</v>
      </c>
    </row>
    <row r="100" spans="1:12" hidden="1" x14ac:dyDescent="0.35">
      <c r="A100" t="s">
        <v>84</v>
      </c>
      <c r="B100">
        <v>8</v>
      </c>
      <c r="C100" t="s">
        <v>205</v>
      </c>
      <c r="D100" t="s">
        <v>37</v>
      </c>
      <c r="E100" t="s">
        <v>10</v>
      </c>
      <c r="I100" t="s">
        <v>112</v>
      </c>
      <c r="K100" t="s">
        <v>214</v>
      </c>
      <c r="L100">
        <v>0</v>
      </c>
    </row>
    <row r="101" spans="1:12" hidden="1" x14ac:dyDescent="0.35">
      <c r="A101" t="s">
        <v>84</v>
      </c>
      <c r="B101">
        <v>8</v>
      </c>
      <c r="C101" t="s">
        <v>205</v>
      </c>
      <c r="D101" t="s">
        <v>37</v>
      </c>
      <c r="E101" t="s">
        <v>12</v>
      </c>
      <c r="I101" t="s">
        <v>113</v>
      </c>
      <c r="K101" t="s">
        <v>214</v>
      </c>
      <c r="L101">
        <v>0</v>
      </c>
    </row>
    <row r="102" spans="1:12" hidden="1" x14ac:dyDescent="0.35">
      <c r="A102" t="s">
        <v>84</v>
      </c>
      <c r="B102">
        <v>8</v>
      </c>
      <c r="C102" t="s">
        <v>205</v>
      </c>
      <c r="D102" t="s">
        <v>37</v>
      </c>
      <c r="E102" t="s">
        <v>10</v>
      </c>
      <c r="I102" t="s">
        <v>111</v>
      </c>
      <c r="K102" t="s">
        <v>212</v>
      </c>
      <c r="L102">
        <v>3000</v>
      </c>
    </row>
    <row r="103" spans="1:12" hidden="1" x14ac:dyDescent="0.35">
      <c r="A103" t="s">
        <v>84</v>
      </c>
      <c r="B103">
        <v>8</v>
      </c>
      <c r="C103" t="s">
        <v>205</v>
      </c>
      <c r="D103" t="s">
        <v>37</v>
      </c>
      <c r="E103" t="s">
        <v>12</v>
      </c>
      <c r="I103" t="s">
        <v>111</v>
      </c>
      <c r="K103" t="s">
        <v>212</v>
      </c>
      <c r="L103">
        <v>3000</v>
      </c>
    </row>
    <row r="104" spans="1:12" hidden="1" x14ac:dyDescent="0.35">
      <c r="A104" t="s">
        <v>84</v>
      </c>
      <c r="B104">
        <v>8</v>
      </c>
      <c r="C104" t="s">
        <v>205</v>
      </c>
      <c r="D104" t="s">
        <v>37</v>
      </c>
      <c r="E104" t="s">
        <v>10</v>
      </c>
      <c r="I104" t="s">
        <v>112</v>
      </c>
      <c r="K104" t="s">
        <v>212</v>
      </c>
      <c r="L104">
        <v>375000</v>
      </c>
    </row>
    <row r="105" spans="1:12" hidden="1" x14ac:dyDescent="0.35">
      <c r="A105" t="s">
        <v>84</v>
      </c>
      <c r="B105">
        <v>8</v>
      </c>
      <c r="C105" t="s">
        <v>205</v>
      </c>
      <c r="D105" t="s">
        <v>37</v>
      </c>
      <c r="E105" t="s">
        <v>12</v>
      </c>
      <c r="I105" t="s">
        <v>113</v>
      </c>
      <c r="K105" t="s">
        <v>212</v>
      </c>
      <c r="L105">
        <v>375000</v>
      </c>
    </row>
    <row r="106" spans="1:12" hidden="1" x14ac:dyDescent="0.35">
      <c r="A106" t="s">
        <v>22</v>
      </c>
      <c r="B106">
        <v>9</v>
      </c>
      <c r="C106" t="s">
        <v>22</v>
      </c>
      <c r="G106" t="s">
        <v>70</v>
      </c>
      <c r="H106" t="s">
        <v>23</v>
      </c>
      <c r="K106" t="s">
        <v>114</v>
      </c>
      <c r="L106">
        <v>0</v>
      </c>
    </row>
    <row r="107" spans="1:12" hidden="1" x14ac:dyDescent="0.35">
      <c r="A107" t="s">
        <v>22</v>
      </c>
      <c r="B107">
        <v>9</v>
      </c>
      <c r="C107" t="s">
        <v>22</v>
      </c>
      <c r="G107" t="s">
        <v>70</v>
      </c>
      <c r="H107" t="s">
        <v>25</v>
      </c>
      <c r="K107" t="s">
        <v>114</v>
      </c>
      <c r="L107">
        <v>0</v>
      </c>
    </row>
    <row r="108" spans="1:12" hidden="1" x14ac:dyDescent="0.35">
      <c r="A108" t="s">
        <v>22</v>
      </c>
      <c r="B108">
        <v>9</v>
      </c>
      <c r="C108" t="s">
        <v>22</v>
      </c>
      <c r="G108" t="s">
        <v>65</v>
      </c>
      <c r="H108" t="s">
        <v>25</v>
      </c>
      <c r="K108" t="s">
        <v>114</v>
      </c>
      <c r="L108">
        <v>0</v>
      </c>
    </row>
    <row r="109" spans="1:12" hidden="1" x14ac:dyDescent="0.35">
      <c r="A109" t="s">
        <v>22</v>
      </c>
      <c r="B109">
        <v>9</v>
      </c>
      <c r="C109" t="s">
        <v>22</v>
      </c>
      <c r="G109" t="s">
        <v>65</v>
      </c>
      <c r="H109" t="s">
        <v>26</v>
      </c>
      <c r="K109" t="s">
        <v>114</v>
      </c>
      <c r="L109">
        <v>0</v>
      </c>
    </row>
    <row r="110" spans="1:12" hidden="1" x14ac:dyDescent="0.35">
      <c r="A110" t="s">
        <v>22</v>
      </c>
      <c r="B110">
        <v>9</v>
      </c>
      <c r="C110" t="s">
        <v>22</v>
      </c>
      <c r="G110" t="s">
        <v>65</v>
      </c>
      <c r="H110" t="s">
        <v>27</v>
      </c>
      <c r="K110" t="s">
        <v>114</v>
      </c>
      <c r="L110">
        <v>0</v>
      </c>
    </row>
    <row r="111" spans="1:12" hidden="1" x14ac:dyDescent="0.35">
      <c r="A111" t="s">
        <v>22</v>
      </c>
      <c r="B111">
        <v>9</v>
      </c>
      <c r="C111" t="s">
        <v>22</v>
      </c>
      <c r="G111" t="s">
        <v>69</v>
      </c>
      <c r="H111" t="s">
        <v>23</v>
      </c>
      <c r="K111" t="s">
        <v>114</v>
      </c>
      <c r="L111">
        <v>0</v>
      </c>
    </row>
    <row r="112" spans="1:12" hidden="1" x14ac:dyDescent="0.35">
      <c r="A112" t="s">
        <v>22</v>
      </c>
      <c r="B112">
        <v>9</v>
      </c>
      <c r="C112" t="s">
        <v>22</v>
      </c>
      <c r="G112" t="s">
        <v>69</v>
      </c>
      <c r="H112" t="s">
        <v>25</v>
      </c>
      <c r="K112" t="s">
        <v>114</v>
      </c>
      <c r="L112">
        <v>0</v>
      </c>
    </row>
    <row r="113" spans="1:12" hidden="1" x14ac:dyDescent="0.35">
      <c r="A113" t="s">
        <v>22</v>
      </c>
      <c r="B113">
        <v>9</v>
      </c>
      <c r="C113" t="s">
        <v>22</v>
      </c>
      <c r="G113" t="s">
        <v>69</v>
      </c>
      <c r="H113" t="s">
        <v>26</v>
      </c>
      <c r="K113" t="s">
        <v>114</v>
      </c>
      <c r="L113">
        <v>0</v>
      </c>
    </row>
    <row r="114" spans="1:12" hidden="1" x14ac:dyDescent="0.35">
      <c r="A114" t="s">
        <v>22</v>
      </c>
      <c r="B114">
        <v>9</v>
      </c>
      <c r="C114" t="s">
        <v>22</v>
      </c>
      <c r="G114" t="s">
        <v>69</v>
      </c>
      <c r="H114" t="s">
        <v>27</v>
      </c>
      <c r="K114" t="s">
        <v>114</v>
      </c>
      <c r="L114">
        <v>0</v>
      </c>
    </row>
    <row r="115" spans="1:12" hidden="1" x14ac:dyDescent="0.35">
      <c r="A115" t="s">
        <v>22</v>
      </c>
      <c r="B115">
        <v>9</v>
      </c>
      <c r="C115" t="s">
        <v>22</v>
      </c>
      <c r="G115" t="s">
        <v>70</v>
      </c>
      <c r="H115" t="s">
        <v>23</v>
      </c>
      <c r="K115" t="s">
        <v>206</v>
      </c>
      <c r="L115">
        <v>0</v>
      </c>
    </row>
    <row r="116" spans="1:12" hidden="1" x14ac:dyDescent="0.35">
      <c r="A116" t="s">
        <v>22</v>
      </c>
      <c r="B116">
        <v>9</v>
      </c>
      <c r="C116" t="s">
        <v>22</v>
      </c>
      <c r="G116" t="s">
        <v>70</v>
      </c>
      <c r="H116" t="s">
        <v>25</v>
      </c>
      <c r="K116" t="s">
        <v>206</v>
      </c>
      <c r="L116">
        <v>0</v>
      </c>
    </row>
    <row r="117" spans="1:12" hidden="1" x14ac:dyDescent="0.35">
      <c r="A117" t="s">
        <v>22</v>
      </c>
      <c r="B117">
        <v>9</v>
      </c>
      <c r="C117" t="s">
        <v>22</v>
      </c>
      <c r="G117" t="s">
        <v>65</v>
      </c>
      <c r="H117" t="s">
        <v>25</v>
      </c>
      <c r="K117" t="s">
        <v>206</v>
      </c>
      <c r="L117">
        <v>0</v>
      </c>
    </row>
    <row r="118" spans="1:12" hidden="1" x14ac:dyDescent="0.35">
      <c r="A118" t="s">
        <v>22</v>
      </c>
      <c r="B118">
        <v>9</v>
      </c>
      <c r="C118" t="s">
        <v>22</v>
      </c>
      <c r="G118" t="s">
        <v>65</v>
      </c>
      <c r="H118" t="s">
        <v>26</v>
      </c>
      <c r="K118" t="s">
        <v>206</v>
      </c>
      <c r="L118">
        <v>0</v>
      </c>
    </row>
    <row r="119" spans="1:12" hidden="1" x14ac:dyDescent="0.35">
      <c r="A119" t="s">
        <v>22</v>
      </c>
      <c r="B119">
        <v>9</v>
      </c>
      <c r="C119" t="s">
        <v>22</v>
      </c>
      <c r="G119" t="s">
        <v>65</v>
      </c>
      <c r="H119" t="s">
        <v>27</v>
      </c>
      <c r="K119" t="s">
        <v>206</v>
      </c>
      <c r="L119">
        <v>0</v>
      </c>
    </row>
    <row r="120" spans="1:12" hidden="1" x14ac:dyDescent="0.35">
      <c r="A120" t="s">
        <v>22</v>
      </c>
      <c r="B120">
        <v>9</v>
      </c>
      <c r="C120" t="s">
        <v>22</v>
      </c>
      <c r="G120" t="s">
        <v>69</v>
      </c>
      <c r="H120" t="s">
        <v>23</v>
      </c>
      <c r="K120" t="s">
        <v>206</v>
      </c>
      <c r="L120">
        <v>0</v>
      </c>
    </row>
    <row r="121" spans="1:12" hidden="1" x14ac:dyDescent="0.35">
      <c r="A121" t="s">
        <v>22</v>
      </c>
      <c r="B121">
        <v>9</v>
      </c>
      <c r="C121" t="s">
        <v>22</v>
      </c>
      <c r="G121" t="s">
        <v>69</v>
      </c>
      <c r="H121" t="s">
        <v>25</v>
      </c>
      <c r="K121" t="s">
        <v>206</v>
      </c>
      <c r="L121">
        <v>0</v>
      </c>
    </row>
    <row r="122" spans="1:12" hidden="1" x14ac:dyDescent="0.35">
      <c r="A122" t="s">
        <v>22</v>
      </c>
      <c r="B122">
        <v>9</v>
      </c>
      <c r="C122" t="s">
        <v>22</v>
      </c>
      <c r="G122" t="s">
        <v>69</v>
      </c>
      <c r="H122" t="s">
        <v>26</v>
      </c>
      <c r="K122" t="s">
        <v>206</v>
      </c>
      <c r="L122">
        <v>0</v>
      </c>
    </row>
    <row r="123" spans="1:12" hidden="1" x14ac:dyDescent="0.35">
      <c r="A123" t="s">
        <v>22</v>
      </c>
      <c r="B123">
        <v>9</v>
      </c>
      <c r="C123" t="s">
        <v>22</v>
      </c>
      <c r="G123" t="s">
        <v>69</v>
      </c>
      <c r="H123" t="s">
        <v>27</v>
      </c>
      <c r="K123" t="s">
        <v>206</v>
      </c>
      <c r="L123">
        <v>0</v>
      </c>
    </row>
    <row r="124" spans="1:12" hidden="1" x14ac:dyDescent="0.35">
      <c r="A124" t="s">
        <v>22</v>
      </c>
      <c r="B124">
        <v>9</v>
      </c>
      <c r="C124" t="s">
        <v>22</v>
      </c>
      <c r="G124" t="s">
        <v>70</v>
      </c>
      <c r="H124" t="s">
        <v>23</v>
      </c>
      <c r="K124" t="s">
        <v>110</v>
      </c>
      <c r="L124">
        <v>42100</v>
      </c>
    </row>
    <row r="125" spans="1:12" hidden="1" x14ac:dyDescent="0.35">
      <c r="A125" t="s">
        <v>22</v>
      </c>
      <c r="B125">
        <v>9</v>
      </c>
      <c r="C125" t="s">
        <v>22</v>
      </c>
      <c r="G125" t="s">
        <v>70</v>
      </c>
      <c r="H125" t="s">
        <v>25</v>
      </c>
      <c r="K125" t="s">
        <v>110</v>
      </c>
      <c r="L125">
        <v>49000</v>
      </c>
    </row>
    <row r="126" spans="1:12" hidden="1" x14ac:dyDescent="0.35">
      <c r="A126" t="s">
        <v>22</v>
      </c>
      <c r="B126">
        <v>9</v>
      </c>
      <c r="C126" t="s">
        <v>22</v>
      </c>
      <c r="G126" t="s">
        <v>65</v>
      </c>
      <c r="H126" t="s">
        <v>25</v>
      </c>
      <c r="K126" t="s">
        <v>110</v>
      </c>
      <c r="L126">
        <v>49000</v>
      </c>
    </row>
    <row r="127" spans="1:12" hidden="1" x14ac:dyDescent="0.35">
      <c r="A127" t="s">
        <v>22</v>
      </c>
      <c r="B127">
        <v>9</v>
      </c>
      <c r="C127" t="s">
        <v>22</v>
      </c>
      <c r="G127" t="s">
        <v>65</v>
      </c>
      <c r="H127" t="s">
        <v>26</v>
      </c>
      <c r="K127" t="s">
        <v>110</v>
      </c>
      <c r="L127">
        <v>175000</v>
      </c>
    </row>
    <row r="128" spans="1:12" hidden="1" x14ac:dyDescent="0.35">
      <c r="A128" t="s">
        <v>22</v>
      </c>
      <c r="B128">
        <v>9</v>
      </c>
      <c r="C128" t="s">
        <v>22</v>
      </c>
      <c r="G128" t="s">
        <v>65</v>
      </c>
      <c r="H128" t="s">
        <v>27</v>
      </c>
      <c r="K128" t="s">
        <v>110</v>
      </c>
      <c r="L128">
        <v>100000</v>
      </c>
    </row>
    <row r="129" spans="1:12" hidden="1" x14ac:dyDescent="0.35">
      <c r="A129" t="s">
        <v>22</v>
      </c>
      <c r="B129">
        <v>9</v>
      </c>
      <c r="C129" t="s">
        <v>22</v>
      </c>
      <c r="G129" t="s">
        <v>69</v>
      </c>
      <c r="H129" t="s">
        <v>23</v>
      </c>
      <c r="K129" t="s">
        <v>110</v>
      </c>
      <c r="L129">
        <v>67000</v>
      </c>
    </row>
    <row r="130" spans="1:12" hidden="1" x14ac:dyDescent="0.35">
      <c r="A130" t="s">
        <v>22</v>
      </c>
      <c r="B130">
        <v>9</v>
      </c>
      <c r="C130" t="s">
        <v>22</v>
      </c>
      <c r="G130" t="s">
        <v>69</v>
      </c>
      <c r="H130" t="s">
        <v>25</v>
      </c>
      <c r="K130" t="s">
        <v>110</v>
      </c>
      <c r="L130">
        <v>45000</v>
      </c>
    </row>
    <row r="131" spans="1:12" hidden="1" x14ac:dyDescent="0.35">
      <c r="A131" t="s">
        <v>22</v>
      </c>
      <c r="B131">
        <v>9</v>
      </c>
      <c r="C131" t="s">
        <v>22</v>
      </c>
      <c r="G131" t="s">
        <v>69</v>
      </c>
      <c r="H131" t="s">
        <v>26</v>
      </c>
      <c r="K131" t="s">
        <v>110</v>
      </c>
      <c r="L131">
        <v>316000</v>
      </c>
    </row>
    <row r="132" spans="1:12" hidden="1" x14ac:dyDescent="0.35">
      <c r="A132" t="s">
        <v>22</v>
      </c>
      <c r="B132">
        <v>9</v>
      </c>
      <c r="C132" t="s">
        <v>22</v>
      </c>
      <c r="G132" t="s">
        <v>69</v>
      </c>
      <c r="H132" t="s">
        <v>27</v>
      </c>
      <c r="K132" t="s">
        <v>110</v>
      </c>
      <c r="L132">
        <v>240000</v>
      </c>
    </row>
    <row r="133" spans="1:12" hidden="1" x14ac:dyDescent="0.35">
      <c r="A133" t="s">
        <v>179</v>
      </c>
      <c r="B133">
        <v>10</v>
      </c>
      <c r="C133" t="s">
        <v>210</v>
      </c>
      <c r="K133" t="s">
        <v>211</v>
      </c>
      <c r="L133">
        <v>8200</v>
      </c>
    </row>
    <row r="134" spans="1:12" hidden="1" x14ac:dyDescent="0.35">
      <c r="A134" t="s">
        <v>80</v>
      </c>
      <c r="B134">
        <v>11</v>
      </c>
      <c r="C134" t="s">
        <v>80</v>
      </c>
      <c r="F134" t="s">
        <v>14</v>
      </c>
      <c r="K134" t="s">
        <v>104</v>
      </c>
      <c r="L134">
        <v>938</v>
      </c>
    </row>
    <row r="135" spans="1:12" hidden="1" x14ac:dyDescent="0.35">
      <c r="A135" t="s">
        <v>80</v>
      </c>
      <c r="B135">
        <v>11</v>
      </c>
      <c r="C135" t="s">
        <v>80</v>
      </c>
      <c r="F135" t="s">
        <v>14</v>
      </c>
      <c r="K135" t="s">
        <v>105</v>
      </c>
      <c r="L135">
        <v>3090</v>
      </c>
    </row>
    <row r="136" spans="1:12" hidden="1" x14ac:dyDescent="0.35">
      <c r="A136" t="s">
        <v>80</v>
      </c>
      <c r="B136">
        <v>11</v>
      </c>
      <c r="C136" t="s">
        <v>80</v>
      </c>
      <c r="F136" t="s">
        <v>106</v>
      </c>
      <c r="K136" t="s">
        <v>104</v>
      </c>
      <c r="L136">
        <v>28401</v>
      </c>
    </row>
    <row r="137" spans="1:12" hidden="1" x14ac:dyDescent="0.35">
      <c r="A137" t="s">
        <v>80</v>
      </c>
      <c r="B137">
        <v>11</v>
      </c>
      <c r="C137" t="s">
        <v>80</v>
      </c>
      <c r="F137" t="s">
        <v>106</v>
      </c>
      <c r="K137" t="s">
        <v>105</v>
      </c>
      <c r="L137">
        <v>26964</v>
      </c>
    </row>
    <row r="138" spans="1:12" hidden="1" x14ac:dyDescent="0.35">
      <c r="A138" t="s">
        <v>80</v>
      </c>
      <c r="B138">
        <v>11</v>
      </c>
      <c r="C138" t="s">
        <v>80</v>
      </c>
      <c r="F138" t="s">
        <v>107</v>
      </c>
      <c r="K138" t="s">
        <v>104</v>
      </c>
      <c r="L138">
        <v>75000</v>
      </c>
    </row>
    <row r="139" spans="1:12" hidden="1" x14ac:dyDescent="0.35">
      <c r="A139" t="s">
        <v>80</v>
      </c>
      <c r="B139">
        <v>11</v>
      </c>
      <c r="C139" t="s">
        <v>80</v>
      </c>
      <c r="F139" t="s">
        <v>107</v>
      </c>
      <c r="K139" t="s">
        <v>105</v>
      </c>
      <c r="L139">
        <v>28312</v>
      </c>
    </row>
    <row r="140" spans="1:12" hidden="1" x14ac:dyDescent="0.35">
      <c r="A140" t="s">
        <v>80</v>
      </c>
      <c r="B140">
        <v>11</v>
      </c>
      <c r="C140" t="s">
        <v>80</v>
      </c>
      <c r="F140" t="s">
        <v>18</v>
      </c>
      <c r="K140" t="s">
        <v>104</v>
      </c>
      <c r="L140">
        <v>28401</v>
      </c>
    </row>
    <row r="141" spans="1:12" hidden="1" x14ac:dyDescent="0.35">
      <c r="A141" t="s">
        <v>80</v>
      </c>
      <c r="B141">
        <v>11</v>
      </c>
      <c r="C141" t="s">
        <v>80</v>
      </c>
      <c r="F141" t="s">
        <v>18</v>
      </c>
      <c r="K141" t="s">
        <v>105</v>
      </c>
      <c r="L141">
        <v>26964</v>
      </c>
    </row>
    <row r="142" spans="1:12" hidden="1" x14ac:dyDescent="0.35">
      <c r="A142" t="s">
        <v>80</v>
      </c>
      <c r="B142">
        <v>11</v>
      </c>
      <c r="C142" t="s">
        <v>80</v>
      </c>
      <c r="F142" t="s">
        <v>19</v>
      </c>
      <c r="K142" t="s">
        <v>104</v>
      </c>
      <c r="L142">
        <v>140000</v>
      </c>
    </row>
    <row r="143" spans="1:12" hidden="1" x14ac:dyDescent="0.35">
      <c r="A143" t="s">
        <v>80</v>
      </c>
      <c r="B143">
        <v>11</v>
      </c>
      <c r="C143" t="s">
        <v>80</v>
      </c>
      <c r="F143" t="s">
        <v>19</v>
      </c>
      <c r="K143" t="s">
        <v>105</v>
      </c>
      <c r="L143">
        <v>39097</v>
      </c>
    </row>
    <row r="144" spans="1:12" hidden="1" x14ac:dyDescent="0.35">
      <c r="A144" t="s">
        <v>80</v>
      </c>
      <c r="B144">
        <v>11</v>
      </c>
      <c r="C144" t="s">
        <v>80</v>
      </c>
      <c r="F144" t="s">
        <v>108</v>
      </c>
      <c r="K144" t="s">
        <v>104</v>
      </c>
      <c r="L144">
        <v>50000</v>
      </c>
    </row>
    <row r="145" spans="1:12" hidden="1" x14ac:dyDescent="0.35">
      <c r="A145" t="s">
        <v>80</v>
      </c>
      <c r="B145">
        <v>11</v>
      </c>
      <c r="C145" t="s">
        <v>80</v>
      </c>
      <c r="F145" t="s">
        <v>108</v>
      </c>
      <c r="K145" t="s">
        <v>105</v>
      </c>
      <c r="L145">
        <v>39097</v>
      </c>
    </row>
    <row r="146" spans="1:12" hidden="1" x14ac:dyDescent="0.35">
      <c r="A146" t="s">
        <v>80</v>
      </c>
      <c r="B146">
        <v>11</v>
      </c>
      <c r="C146" t="s">
        <v>80</v>
      </c>
      <c r="F146" t="s">
        <v>109</v>
      </c>
      <c r="K146" t="s">
        <v>104</v>
      </c>
      <c r="L146">
        <v>28401</v>
      </c>
    </row>
    <row r="147" spans="1:12" hidden="1" x14ac:dyDescent="0.35">
      <c r="A147" t="s">
        <v>80</v>
      </c>
      <c r="B147">
        <v>11</v>
      </c>
      <c r="C147" t="s">
        <v>80</v>
      </c>
      <c r="F147" t="s">
        <v>109</v>
      </c>
      <c r="K147" t="s">
        <v>105</v>
      </c>
      <c r="L147">
        <v>26964</v>
      </c>
    </row>
    <row r="148" spans="1:12" hidden="1" x14ac:dyDescent="0.35">
      <c r="A148" t="s">
        <v>101</v>
      </c>
      <c r="B148">
        <v>12</v>
      </c>
      <c r="C148" t="s">
        <v>101</v>
      </c>
      <c r="D148" t="s">
        <v>34</v>
      </c>
      <c r="E148" t="s">
        <v>10</v>
      </c>
      <c r="K148" t="s">
        <v>102</v>
      </c>
      <c r="L148">
        <v>3971846.68</v>
      </c>
    </row>
    <row r="149" spans="1:12" hidden="1" x14ac:dyDescent="0.35">
      <c r="A149" t="s">
        <v>101</v>
      </c>
      <c r="B149">
        <v>12</v>
      </c>
      <c r="C149" t="s">
        <v>101</v>
      </c>
      <c r="D149" t="s">
        <v>34</v>
      </c>
      <c r="E149" t="s">
        <v>10</v>
      </c>
      <c r="K149" t="s">
        <v>103</v>
      </c>
      <c r="L149">
        <v>397184.66800000006</v>
      </c>
    </row>
    <row r="150" spans="1:12" hidden="1" x14ac:dyDescent="0.35">
      <c r="A150" t="s">
        <v>101</v>
      </c>
      <c r="B150">
        <v>12</v>
      </c>
      <c r="C150" t="s">
        <v>101</v>
      </c>
      <c r="D150" t="s">
        <v>34</v>
      </c>
      <c r="E150" t="s">
        <v>12</v>
      </c>
      <c r="K150" t="s">
        <v>102</v>
      </c>
      <c r="L150">
        <v>2785357.2850000001</v>
      </c>
    </row>
    <row r="151" spans="1:12" hidden="1" x14ac:dyDescent="0.35">
      <c r="A151" t="s">
        <v>101</v>
      </c>
      <c r="B151">
        <v>12</v>
      </c>
      <c r="C151" t="s">
        <v>101</v>
      </c>
      <c r="D151" t="s">
        <v>34</v>
      </c>
      <c r="E151" t="s">
        <v>12</v>
      </c>
      <c r="K151" t="s">
        <v>103</v>
      </c>
      <c r="L151">
        <v>278535.72850000003</v>
      </c>
    </row>
    <row r="152" spans="1:12" hidden="1" x14ac:dyDescent="0.35">
      <c r="A152" t="s">
        <v>101</v>
      </c>
      <c r="B152">
        <v>12</v>
      </c>
      <c r="C152" t="s">
        <v>101</v>
      </c>
      <c r="D152" t="s">
        <v>37</v>
      </c>
      <c r="E152" t="s">
        <v>10</v>
      </c>
      <c r="K152" t="s">
        <v>102</v>
      </c>
      <c r="L152">
        <v>3275809.4</v>
      </c>
    </row>
    <row r="153" spans="1:12" hidden="1" x14ac:dyDescent="0.35">
      <c r="A153" t="s">
        <v>101</v>
      </c>
      <c r="B153">
        <v>12</v>
      </c>
      <c r="C153" t="s">
        <v>101</v>
      </c>
      <c r="D153" t="s">
        <v>37</v>
      </c>
      <c r="E153" t="s">
        <v>10</v>
      </c>
      <c r="K153" t="s">
        <v>103</v>
      </c>
      <c r="L153">
        <v>327580.94</v>
      </c>
    </row>
    <row r="154" spans="1:12" hidden="1" x14ac:dyDescent="0.35">
      <c r="A154" t="s">
        <v>101</v>
      </c>
      <c r="B154">
        <v>12</v>
      </c>
      <c r="C154" t="s">
        <v>101</v>
      </c>
      <c r="D154" t="s">
        <v>37</v>
      </c>
      <c r="E154" t="s">
        <v>12</v>
      </c>
      <c r="K154" t="s">
        <v>102</v>
      </c>
      <c r="L154">
        <v>1629814.7250000001</v>
      </c>
    </row>
    <row r="155" spans="1:12" hidden="1" x14ac:dyDescent="0.35">
      <c r="A155" t="s">
        <v>101</v>
      </c>
      <c r="B155">
        <v>12</v>
      </c>
      <c r="C155" t="s">
        <v>101</v>
      </c>
      <c r="D155" t="s">
        <v>37</v>
      </c>
      <c r="E155" t="s">
        <v>12</v>
      </c>
      <c r="K155" t="s">
        <v>103</v>
      </c>
      <c r="L155">
        <v>162981.47250000003</v>
      </c>
    </row>
    <row r="156" spans="1:12" hidden="1" x14ac:dyDescent="0.35">
      <c r="A156" t="s">
        <v>221</v>
      </c>
      <c r="B156">
        <v>13</v>
      </c>
      <c r="C156" t="s">
        <v>222</v>
      </c>
      <c r="G156" t="s">
        <v>70</v>
      </c>
      <c r="K156" t="s">
        <v>223</v>
      </c>
      <c r="L156">
        <v>3.4649999999999999</v>
      </c>
    </row>
    <row r="157" spans="1:12" hidden="1" x14ac:dyDescent="0.35">
      <c r="A157" t="s">
        <v>221</v>
      </c>
      <c r="B157">
        <v>13</v>
      </c>
      <c r="C157" t="s">
        <v>222</v>
      </c>
      <c r="G157" t="s">
        <v>65</v>
      </c>
      <c r="K157" t="s">
        <v>223</v>
      </c>
      <c r="L157">
        <v>3.8809999999999998</v>
      </c>
    </row>
    <row r="158" spans="1:12" hidden="1" x14ac:dyDescent="0.35">
      <c r="A158" t="s">
        <v>221</v>
      </c>
      <c r="B158">
        <v>13</v>
      </c>
      <c r="C158" t="s">
        <v>222</v>
      </c>
      <c r="G158" t="s">
        <v>226</v>
      </c>
      <c r="K158" t="s">
        <v>224</v>
      </c>
      <c r="L158">
        <v>0.1148</v>
      </c>
    </row>
    <row r="159" spans="1:12" hidden="1" x14ac:dyDescent="0.35">
      <c r="A159" t="s">
        <v>221</v>
      </c>
      <c r="B159">
        <v>13</v>
      </c>
      <c r="C159" t="s">
        <v>222</v>
      </c>
      <c r="G159" t="s">
        <v>68</v>
      </c>
      <c r="K159" t="s">
        <v>225</v>
      </c>
      <c r="L159">
        <v>2.54</v>
      </c>
    </row>
    <row r="160" spans="1:12" hidden="1" x14ac:dyDescent="0.35">
      <c r="A160" t="s">
        <v>134</v>
      </c>
      <c r="B160">
        <v>14</v>
      </c>
      <c r="C160" t="s">
        <v>227</v>
      </c>
      <c r="K160" t="s">
        <v>228</v>
      </c>
      <c r="L160">
        <v>1000000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1CF6-6719-4CAA-B81E-F67591BFA8FC}">
  <dimension ref="A1"/>
  <sheetViews>
    <sheetView workbookViewId="0">
      <selection activeCell="E12" sqref="E12"/>
    </sheetView>
  </sheetViews>
  <sheetFormatPr defaultRowHeight="14.5" x14ac:dyDescent="0.35"/>
  <sheetData>
    <row r="1" spans="1:1" x14ac:dyDescent="0.35">
      <c r="A1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8DD4-85D7-4921-A9AD-AB6A5557C5D7}">
  <sheetPr>
    <tabColor theme="6" tint="-0.249977111117893"/>
  </sheetPr>
  <dimension ref="A1:N263"/>
  <sheetViews>
    <sheetView topLeftCell="A212" zoomScaleNormal="100" workbookViewId="0">
      <selection activeCell="C278" sqref="C278"/>
    </sheetView>
  </sheetViews>
  <sheetFormatPr defaultRowHeight="14.5" x14ac:dyDescent="0.35"/>
  <cols>
    <col min="1" max="1" width="10" customWidth="1"/>
    <col min="2" max="2" width="10.1796875" customWidth="1"/>
    <col min="4" max="5" width="16.36328125" customWidth="1"/>
    <col min="6" max="6" width="11.08984375" customWidth="1"/>
    <col min="7" max="7" width="12.1796875" customWidth="1"/>
    <col min="8" max="8" width="12.36328125" customWidth="1"/>
    <col min="9" max="9" width="10.54296875" customWidth="1"/>
    <col min="10" max="10" width="11.36328125" customWidth="1"/>
    <col min="11" max="11" width="14" customWidth="1"/>
    <col min="12" max="12" width="10.81640625" customWidth="1"/>
  </cols>
  <sheetData>
    <row r="1" spans="1:14" x14ac:dyDescent="0.35">
      <c r="A1" t="s">
        <v>0</v>
      </c>
      <c r="B1" t="s">
        <v>149</v>
      </c>
      <c r="C1" t="s">
        <v>137</v>
      </c>
      <c r="D1" t="s">
        <v>189</v>
      </c>
      <c r="E1" t="s">
        <v>99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177</v>
      </c>
      <c r="N1" t="s">
        <v>98</v>
      </c>
    </row>
    <row r="2" spans="1:14" x14ac:dyDescent="0.35">
      <c r="A2" t="s">
        <v>254</v>
      </c>
      <c r="B2">
        <v>1</v>
      </c>
      <c r="C2" t="s">
        <v>255</v>
      </c>
      <c r="E2">
        <v>2021</v>
      </c>
      <c r="I2" t="s">
        <v>250</v>
      </c>
    </row>
    <row r="3" spans="1:14" x14ac:dyDescent="0.35">
      <c r="A3" t="s">
        <v>254</v>
      </c>
      <c r="B3">
        <v>1</v>
      </c>
      <c r="C3" t="s">
        <v>255</v>
      </c>
      <c r="E3">
        <v>2022</v>
      </c>
      <c r="I3" t="s">
        <v>250</v>
      </c>
    </row>
    <row r="4" spans="1:14" x14ac:dyDescent="0.35">
      <c r="A4" t="s">
        <v>254</v>
      </c>
      <c r="B4">
        <v>1</v>
      </c>
      <c r="C4" t="s">
        <v>255</v>
      </c>
      <c r="E4">
        <v>2023</v>
      </c>
      <c r="I4" t="s">
        <v>250</v>
      </c>
    </row>
    <row r="5" spans="1:14" x14ac:dyDescent="0.35">
      <c r="A5" t="s">
        <v>254</v>
      </c>
      <c r="B5">
        <v>1</v>
      </c>
      <c r="C5" t="s">
        <v>255</v>
      </c>
      <c r="E5">
        <v>2024</v>
      </c>
      <c r="I5" t="s">
        <v>250</v>
      </c>
    </row>
    <row r="6" spans="1:14" x14ac:dyDescent="0.35">
      <c r="A6" t="s">
        <v>254</v>
      </c>
      <c r="B6">
        <v>1</v>
      </c>
      <c r="C6" t="s">
        <v>255</v>
      </c>
      <c r="E6">
        <v>2025</v>
      </c>
      <c r="I6" t="s">
        <v>250</v>
      </c>
    </row>
    <row r="7" spans="1:14" x14ac:dyDescent="0.35">
      <c r="A7" t="s">
        <v>254</v>
      </c>
      <c r="B7">
        <v>1</v>
      </c>
      <c r="C7" t="s">
        <v>255</v>
      </c>
      <c r="E7">
        <v>2026</v>
      </c>
      <c r="I7" t="s">
        <v>250</v>
      </c>
    </row>
    <row r="8" spans="1:14" x14ac:dyDescent="0.35">
      <c r="A8" t="s">
        <v>254</v>
      </c>
      <c r="B8">
        <v>1</v>
      </c>
      <c r="C8" t="s">
        <v>255</v>
      </c>
      <c r="E8">
        <v>2027</v>
      </c>
      <c r="I8" t="s">
        <v>250</v>
      </c>
    </row>
    <row r="9" spans="1:14" x14ac:dyDescent="0.35">
      <c r="A9" t="s">
        <v>254</v>
      </c>
      <c r="B9">
        <v>1</v>
      </c>
      <c r="C9" t="s">
        <v>255</v>
      </c>
      <c r="E9">
        <v>2028</v>
      </c>
      <c r="I9" t="s">
        <v>250</v>
      </c>
    </row>
    <row r="10" spans="1:14" x14ac:dyDescent="0.35">
      <c r="A10" t="s">
        <v>254</v>
      </c>
      <c r="B10">
        <v>1</v>
      </c>
      <c r="C10" t="s">
        <v>255</v>
      </c>
      <c r="E10">
        <v>2029</v>
      </c>
      <c r="I10" t="s">
        <v>250</v>
      </c>
    </row>
    <row r="11" spans="1:14" x14ac:dyDescent="0.35">
      <c r="A11" t="s">
        <v>254</v>
      </c>
      <c r="B11">
        <v>1</v>
      </c>
      <c r="C11" t="s">
        <v>255</v>
      </c>
      <c r="E11">
        <v>2030</v>
      </c>
      <c r="I11" t="s">
        <v>250</v>
      </c>
    </row>
    <row r="12" spans="1:14" x14ac:dyDescent="0.35">
      <c r="A12" t="s">
        <v>254</v>
      </c>
      <c r="B12">
        <v>1</v>
      </c>
      <c r="C12" t="s">
        <v>255</v>
      </c>
      <c r="E12">
        <v>2031</v>
      </c>
      <c r="I12" t="s">
        <v>250</v>
      </c>
    </row>
    <row r="13" spans="1:14" x14ac:dyDescent="0.35">
      <c r="A13" t="s">
        <v>254</v>
      </c>
      <c r="B13">
        <v>1</v>
      </c>
      <c r="C13" t="s">
        <v>255</v>
      </c>
      <c r="E13">
        <v>2032</v>
      </c>
      <c r="I13" t="s">
        <v>250</v>
      </c>
    </row>
    <row r="14" spans="1:14" x14ac:dyDescent="0.35">
      <c r="A14" t="s">
        <v>254</v>
      </c>
      <c r="B14">
        <v>1</v>
      </c>
      <c r="C14" t="s">
        <v>255</v>
      </c>
      <c r="E14">
        <v>2033</v>
      </c>
      <c r="I14" t="s">
        <v>250</v>
      </c>
    </row>
    <row r="15" spans="1:14" x14ac:dyDescent="0.35">
      <c r="A15" t="s">
        <v>254</v>
      </c>
      <c r="B15">
        <v>1</v>
      </c>
      <c r="C15" t="s">
        <v>255</v>
      </c>
      <c r="E15">
        <v>2034</v>
      </c>
      <c r="I15" t="s">
        <v>250</v>
      </c>
    </row>
    <row r="16" spans="1:14" x14ac:dyDescent="0.35">
      <c r="A16" t="s">
        <v>254</v>
      </c>
      <c r="B16">
        <v>1</v>
      </c>
      <c r="C16" t="s">
        <v>255</v>
      </c>
      <c r="E16">
        <v>2035</v>
      </c>
      <c r="I16" t="s">
        <v>250</v>
      </c>
    </row>
    <row r="17" spans="1:9" x14ac:dyDescent="0.35">
      <c r="A17" t="s">
        <v>254</v>
      </c>
      <c r="B17">
        <v>1</v>
      </c>
      <c r="C17" t="s">
        <v>255</v>
      </c>
      <c r="E17">
        <v>2036</v>
      </c>
      <c r="I17" t="s">
        <v>250</v>
      </c>
    </row>
    <row r="18" spans="1:9" x14ac:dyDescent="0.35">
      <c r="A18" t="s">
        <v>254</v>
      </c>
      <c r="B18">
        <v>1</v>
      </c>
      <c r="C18" t="s">
        <v>255</v>
      </c>
      <c r="E18">
        <v>2037</v>
      </c>
      <c r="I18" t="s">
        <v>250</v>
      </c>
    </row>
    <row r="19" spans="1:9" x14ac:dyDescent="0.35">
      <c r="A19" t="s">
        <v>254</v>
      </c>
      <c r="B19">
        <v>1</v>
      </c>
      <c r="C19" t="s">
        <v>255</v>
      </c>
      <c r="E19">
        <v>2038</v>
      </c>
      <c r="I19" t="s">
        <v>250</v>
      </c>
    </row>
    <row r="20" spans="1:9" x14ac:dyDescent="0.35">
      <c r="A20" t="s">
        <v>254</v>
      </c>
      <c r="B20">
        <v>1</v>
      </c>
      <c r="C20" t="s">
        <v>255</v>
      </c>
      <c r="E20">
        <v>2039</v>
      </c>
      <c r="I20" t="s">
        <v>250</v>
      </c>
    </row>
    <row r="21" spans="1:9" x14ac:dyDescent="0.35">
      <c r="A21" t="s">
        <v>254</v>
      </c>
      <c r="B21">
        <v>1</v>
      </c>
      <c r="C21" t="s">
        <v>255</v>
      </c>
      <c r="E21">
        <v>2040</v>
      </c>
      <c r="I21" t="s">
        <v>250</v>
      </c>
    </row>
    <row r="22" spans="1:9" x14ac:dyDescent="0.35">
      <c r="A22" t="s">
        <v>254</v>
      </c>
      <c r="B22">
        <v>1</v>
      </c>
      <c r="C22" t="s">
        <v>255</v>
      </c>
      <c r="E22">
        <v>2041</v>
      </c>
      <c r="I22" t="s">
        <v>250</v>
      </c>
    </row>
    <row r="23" spans="1:9" x14ac:dyDescent="0.35">
      <c r="A23" t="s">
        <v>254</v>
      </c>
      <c r="B23">
        <v>1</v>
      </c>
      <c r="C23" t="s">
        <v>255</v>
      </c>
      <c r="E23">
        <v>2042</v>
      </c>
      <c r="I23" t="s">
        <v>250</v>
      </c>
    </row>
    <row r="24" spans="1:9" x14ac:dyDescent="0.35">
      <c r="A24" t="s">
        <v>254</v>
      </c>
      <c r="B24">
        <v>1</v>
      </c>
      <c r="C24" t="s">
        <v>255</v>
      </c>
      <c r="E24">
        <v>2043</v>
      </c>
      <c r="I24" t="s">
        <v>250</v>
      </c>
    </row>
    <row r="25" spans="1:9" x14ac:dyDescent="0.35">
      <c r="A25" t="s">
        <v>254</v>
      </c>
      <c r="B25">
        <v>1</v>
      </c>
      <c r="C25" t="s">
        <v>255</v>
      </c>
      <c r="E25">
        <v>2044</v>
      </c>
      <c r="I25" t="s">
        <v>250</v>
      </c>
    </row>
    <row r="26" spans="1:9" x14ac:dyDescent="0.35">
      <c r="A26" t="s">
        <v>254</v>
      </c>
      <c r="B26">
        <v>1</v>
      </c>
      <c r="C26" t="s">
        <v>255</v>
      </c>
      <c r="E26">
        <v>2045</v>
      </c>
      <c r="I26" t="s">
        <v>250</v>
      </c>
    </row>
    <row r="27" spans="1:9" x14ac:dyDescent="0.35">
      <c r="A27" t="s">
        <v>254</v>
      </c>
      <c r="B27">
        <v>1</v>
      </c>
      <c r="C27" t="s">
        <v>255</v>
      </c>
      <c r="E27">
        <v>2046</v>
      </c>
      <c r="I27" t="s">
        <v>250</v>
      </c>
    </row>
    <row r="28" spans="1:9" x14ac:dyDescent="0.35">
      <c r="A28" t="s">
        <v>254</v>
      </c>
      <c r="B28">
        <v>1</v>
      </c>
      <c r="C28" t="s">
        <v>255</v>
      </c>
      <c r="E28">
        <v>2047</v>
      </c>
      <c r="I28" t="s">
        <v>250</v>
      </c>
    </row>
    <row r="29" spans="1:9" x14ac:dyDescent="0.35">
      <c r="A29" t="s">
        <v>254</v>
      </c>
      <c r="B29">
        <v>1</v>
      </c>
      <c r="C29" t="s">
        <v>255</v>
      </c>
      <c r="E29">
        <v>2048</v>
      </c>
      <c r="I29" t="s">
        <v>250</v>
      </c>
    </row>
    <row r="30" spans="1:9" x14ac:dyDescent="0.35">
      <c r="A30" t="s">
        <v>254</v>
      </c>
      <c r="B30">
        <v>1</v>
      </c>
      <c r="C30" t="s">
        <v>255</v>
      </c>
      <c r="E30">
        <v>2049</v>
      </c>
      <c r="I30" t="s">
        <v>250</v>
      </c>
    </row>
    <row r="31" spans="1:9" x14ac:dyDescent="0.35">
      <c r="A31" t="s">
        <v>254</v>
      </c>
      <c r="B31">
        <v>1</v>
      </c>
      <c r="C31" t="s">
        <v>255</v>
      </c>
      <c r="E31">
        <v>2050</v>
      </c>
      <c r="I31" t="s">
        <v>250</v>
      </c>
    </row>
    <row r="32" spans="1:9" x14ac:dyDescent="0.35">
      <c r="A32" t="s">
        <v>254</v>
      </c>
      <c r="B32">
        <v>1</v>
      </c>
      <c r="C32" t="s">
        <v>255</v>
      </c>
      <c r="E32">
        <v>2021</v>
      </c>
      <c r="I32" t="s">
        <v>251</v>
      </c>
    </row>
    <row r="33" spans="1:9" x14ac:dyDescent="0.35">
      <c r="A33" t="s">
        <v>254</v>
      </c>
      <c r="B33">
        <v>1</v>
      </c>
      <c r="C33" t="s">
        <v>255</v>
      </c>
      <c r="E33">
        <v>2022</v>
      </c>
      <c r="I33" t="s">
        <v>251</v>
      </c>
    </row>
    <row r="34" spans="1:9" x14ac:dyDescent="0.35">
      <c r="A34" t="s">
        <v>254</v>
      </c>
      <c r="B34">
        <v>1</v>
      </c>
      <c r="C34" t="s">
        <v>255</v>
      </c>
      <c r="E34">
        <v>2023</v>
      </c>
      <c r="I34" t="s">
        <v>251</v>
      </c>
    </row>
    <row r="35" spans="1:9" x14ac:dyDescent="0.35">
      <c r="A35" t="s">
        <v>254</v>
      </c>
      <c r="B35">
        <v>1</v>
      </c>
      <c r="C35" t="s">
        <v>255</v>
      </c>
      <c r="E35">
        <v>2024</v>
      </c>
      <c r="I35" t="s">
        <v>251</v>
      </c>
    </row>
    <row r="36" spans="1:9" x14ac:dyDescent="0.35">
      <c r="A36" t="s">
        <v>254</v>
      </c>
      <c r="B36">
        <v>1</v>
      </c>
      <c r="C36" t="s">
        <v>255</v>
      </c>
      <c r="E36">
        <v>2025</v>
      </c>
      <c r="I36" t="s">
        <v>251</v>
      </c>
    </row>
    <row r="37" spans="1:9" x14ac:dyDescent="0.35">
      <c r="A37" t="s">
        <v>254</v>
      </c>
      <c r="B37">
        <v>1</v>
      </c>
      <c r="C37" t="s">
        <v>255</v>
      </c>
      <c r="E37">
        <v>2026</v>
      </c>
      <c r="I37" t="s">
        <v>251</v>
      </c>
    </row>
    <row r="38" spans="1:9" x14ac:dyDescent="0.35">
      <c r="A38" t="s">
        <v>254</v>
      </c>
      <c r="B38">
        <v>1</v>
      </c>
      <c r="C38" t="s">
        <v>255</v>
      </c>
      <c r="E38">
        <v>2027</v>
      </c>
      <c r="I38" t="s">
        <v>251</v>
      </c>
    </row>
    <row r="39" spans="1:9" x14ac:dyDescent="0.35">
      <c r="A39" t="s">
        <v>254</v>
      </c>
      <c r="B39">
        <v>1</v>
      </c>
      <c r="C39" t="s">
        <v>255</v>
      </c>
      <c r="E39">
        <v>2028</v>
      </c>
      <c r="I39" t="s">
        <v>251</v>
      </c>
    </row>
    <row r="40" spans="1:9" x14ac:dyDescent="0.35">
      <c r="A40" t="s">
        <v>254</v>
      </c>
      <c r="B40">
        <v>1</v>
      </c>
      <c r="C40" t="s">
        <v>255</v>
      </c>
      <c r="E40">
        <v>2029</v>
      </c>
      <c r="I40" t="s">
        <v>251</v>
      </c>
    </row>
    <row r="41" spans="1:9" x14ac:dyDescent="0.35">
      <c r="A41" t="s">
        <v>254</v>
      </c>
      <c r="B41">
        <v>1</v>
      </c>
      <c r="C41" t="s">
        <v>255</v>
      </c>
      <c r="E41">
        <v>2030</v>
      </c>
      <c r="I41" t="s">
        <v>251</v>
      </c>
    </row>
    <row r="42" spans="1:9" x14ac:dyDescent="0.35">
      <c r="A42" t="s">
        <v>254</v>
      </c>
      <c r="B42">
        <v>1</v>
      </c>
      <c r="C42" t="s">
        <v>255</v>
      </c>
      <c r="E42">
        <v>2031</v>
      </c>
      <c r="I42" t="s">
        <v>251</v>
      </c>
    </row>
    <row r="43" spans="1:9" x14ac:dyDescent="0.35">
      <c r="A43" t="s">
        <v>254</v>
      </c>
      <c r="B43">
        <v>1</v>
      </c>
      <c r="C43" t="s">
        <v>255</v>
      </c>
      <c r="E43">
        <v>2032</v>
      </c>
      <c r="I43" t="s">
        <v>251</v>
      </c>
    </row>
    <row r="44" spans="1:9" x14ac:dyDescent="0.35">
      <c r="A44" t="s">
        <v>254</v>
      </c>
      <c r="B44">
        <v>1</v>
      </c>
      <c r="C44" t="s">
        <v>255</v>
      </c>
      <c r="E44">
        <v>2033</v>
      </c>
      <c r="I44" t="s">
        <v>251</v>
      </c>
    </row>
    <row r="45" spans="1:9" x14ac:dyDescent="0.35">
      <c r="A45" t="s">
        <v>254</v>
      </c>
      <c r="B45">
        <v>1</v>
      </c>
      <c r="C45" t="s">
        <v>255</v>
      </c>
      <c r="E45">
        <v>2034</v>
      </c>
      <c r="I45" t="s">
        <v>251</v>
      </c>
    </row>
    <row r="46" spans="1:9" x14ac:dyDescent="0.35">
      <c r="A46" t="s">
        <v>254</v>
      </c>
      <c r="B46">
        <v>1</v>
      </c>
      <c r="C46" t="s">
        <v>255</v>
      </c>
      <c r="E46">
        <v>2035</v>
      </c>
      <c r="I46" t="s">
        <v>251</v>
      </c>
    </row>
    <row r="47" spans="1:9" x14ac:dyDescent="0.35">
      <c r="A47" t="s">
        <v>254</v>
      </c>
      <c r="B47">
        <v>1</v>
      </c>
      <c r="C47" t="s">
        <v>255</v>
      </c>
      <c r="E47">
        <v>2036</v>
      </c>
      <c r="I47" t="s">
        <v>251</v>
      </c>
    </row>
    <row r="48" spans="1:9" x14ac:dyDescent="0.35">
      <c r="A48" t="s">
        <v>254</v>
      </c>
      <c r="B48">
        <v>1</v>
      </c>
      <c r="C48" t="s">
        <v>255</v>
      </c>
      <c r="E48">
        <v>2037</v>
      </c>
      <c r="I48" t="s">
        <v>251</v>
      </c>
    </row>
    <row r="49" spans="1:9" x14ac:dyDescent="0.35">
      <c r="A49" t="s">
        <v>254</v>
      </c>
      <c r="B49">
        <v>1</v>
      </c>
      <c r="C49" t="s">
        <v>255</v>
      </c>
      <c r="E49">
        <v>2038</v>
      </c>
      <c r="I49" t="s">
        <v>251</v>
      </c>
    </row>
    <row r="50" spans="1:9" x14ac:dyDescent="0.35">
      <c r="A50" t="s">
        <v>254</v>
      </c>
      <c r="B50">
        <v>1</v>
      </c>
      <c r="C50" t="s">
        <v>255</v>
      </c>
      <c r="E50">
        <v>2039</v>
      </c>
      <c r="I50" t="s">
        <v>251</v>
      </c>
    </row>
    <row r="51" spans="1:9" x14ac:dyDescent="0.35">
      <c r="A51" t="s">
        <v>254</v>
      </c>
      <c r="B51">
        <v>1</v>
      </c>
      <c r="C51" t="s">
        <v>255</v>
      </c>
      <c r="E51">
        <v>2040</v>
      </c>
      <c r="I51" t="s">
        <v>251</v>
      </c>
    </row>
    <row r="52" spans="1:9" x14ac:dyDescent="0.35">
      <c r="A52" t="s">
        <v>254</v>
      </c>
      <c r="B52">
        <v>1</v>
      </c>
      <c r="C52" t="s">
        <v>255</v>
      </c>
      <c r="E52">
        <v>2041</v>
      </c>
      <c r="I52" t="s">
        <v>251</v>
      </c>
    </row>
    <row r="53" spans="1:9" x14ac:dyDescent="0.35">
      <c r="A53" t="s">
        <v>254</v>
      </c>
      <c r="B53">
        <v>1</v>
      </c>
      <c r="C53" t="s">
        <v>255</v>
      </c>
      <c r="E53">
        <v>2042</v>
      </c>
      <c r="I53" t="s">
        <v>251</v>
      </c>
    </row>
    <row r="54" spans="1:9" x14ac:dyDescent="0.35">
      <c r="A54" t="s">
        <v>254</v>
      </c>
      <c r="B54">
        <v>1</v>
      </c>
      <c r="C54" t="s">
        <v>255</v>
      </c>
      <c r="E54">
        <v>2043</v>
      </c>
      <c r="I54" t="s">
        <v>251</v>
      </c>
    </row>
    <row r="55" spans="1:9" x14ac:dyDescent="0.35">
      <c r="A55" t="s">
        <v>254</v>
      </c>
      <c r="B55">
        <v>1</v>
      </c>
      <c r="C55" t="s">
        <v>255</v>
      </c>
      <c r="E55">
        <v>2044</v>
      </c>
      <c r="I55" t="s">
        <v>251</v>
      </c>
    </row>
    <row r="56" spans="1:9" x14ac:dyDescent="0.35">
      <c r="A56" t="s">
        <v>254</v>
      </c>
      <c r="B56">
        <v>1</v>
      </c>
      <c r="C56" t="s">
        <v>255</v>
      </c>
      <c r="E56">
        <v>2045</v>
      </c>
      <c r="I56" t="s">
        <v>251</v>
      </c>
    </row>
    <row r="57" spans="1:9" x14ac:dyDescent="0.35">
      <c r="A57" t="s">
        <v>254</v>
      </c>
      <c r="B57">
        <v>1</v>
      </c>
      <c r="C57" t="s">
        <v>255</v>
      </c>
      <c r="E57">
        <v>2046</v>
      </c>
      <c r="I57" t="s">
        <v>251</v>
      </c>
    </row>
    <row r="58" spans="1:9" x14ac:dyDescent="0.35">
      <c r="A58" t="s">
        <v>254</v>
      </c>
      <c r="B58">
        <v>1</v>
      </c>
      <c r="C58" t="s">
        <v>255</v>
      </c>
      <c r="E58">
        <v>2047</v>
      </c>
      <c r="I58" t="s">
        <v>251</v>
      </c>
    </row>
    <row r="59" spans="1:9" x14ac:dyDescent="0.35">
      <c r="A59" t="s">
        <v>254</v>
      </c>
      <c r="B59">
        <v>1</v>
      </c>
      <c r="C59" t="s">
        <v>255</v>
      </c>
      <c r="E59">
        <v>2048</v>
      </c>
      <c r="I59" t="s">
        <v>251</v>
      </c>
    </row>
    <row r="60" spans="1:9" x14ac:dyDescent="0.35">
      <c r="A60" t="s">
        <v>254</v>
      </c>
      <c r="B60">
        <v>1</v>
      </c>
      <c r="C60" t="s">
        <v>255</v>
      </c>
      <c r="E60">
        <v>2049</v>
      </c>
      <c r="I60" t="s">
        <v>251</v>
      </c>
    </row>
    <row r="61" spans="1:9" x14ac:dyDescent="0.35">
      <c r="A61" t="s">
        <v>254</v>
      </c>
      <c r="B61">
        <v>1</v>
      </c>
      <c r="C61" t="s">
        <v>255</v>
      </c>
      <c r="E61">
        <v>2050</v>
      </c>
      <c r="I61" t="s">
        <v>251</v>
      </c>
    </row>
    <row r="62" spans="1:9" x14ac:dyDescent="0.35">
      <c r="A62" t="s">
        <v>254</v>
      </c>
      <c r="B62">
        <v>1</v>
      </c>
      <c r="C62" t="s">
        <v>255</v>
      </c>
      <c r="E62">
        <v>2021</v>
      </c>
      <c r="I62" t="s">
        <v>252</v>
      </c>
    </row>
    <row r="63" spans="1:9" x14ac:dyDescent="0.35">
      <c r="A63" t="s">
        <v>254</v>
      </c>
      <c r="B63">
        <v>1</v>
      </c>
      <c r="C63" t="s">
        <v>255</v>
      </c>
      <c r="E63">
        <v>2022</v>
      </c>
      <c r="I63" t="s">
        <v>252</v>
      </c>
    </row>
    <row r="64" spans="1:9" x14ac:dyDescent="0.35">
      <c r="A64" t="s">
        <v>254</v>
      </c>
      <c r="B64">
        <v>1</v>
      </c>
      <c r="C64" t="s">
        <v>255</v>
      </c>
      <c r="E64">
        <v>2023</v>
      </c>
      <c r="I64" t="s">
        <v>252</v>
      </c>
    </row>
    <row r="65" spans="1:9" x14ac:dyDescent="0.35">
      <c r="A65" t="s">
        <v>254</v>
      </c>
      <c r="B65">
        <v>1</v>
      </c>
      <c r="C65" t="s">
        <v>255</v>
      </c>
      <c r="E65">
        <v>2024</v>
      </c>
      <c r="I65" t="s">
        <v>252</v>
      </c>
    </row>
    <row r="66" spans="1:9" x14ac:dyDescent="0.35">
      <c r="A66" t="s">
        <v>254</v>
      </c>
      <c r="B66">
        <v>1</v>
      </c>
      <c r="C66" t="s">
        <v>255</v>
      </c>
      <c r="E66">
        <v>2025</v>
      </c>
      <c r="I66" t="s">
        <v>252</v>
      </c>
    </row>
    <row r="67" spans="1:9" x14ac:dyDescent="0.35">
      <c r="A67" t="s">
        <v>254</v>
      </c>
      <c r="B67">
        <v>1</v>
      </c>
      <c r="C67" t="s">
        <v>255</v>
      </c>
      <c r="E67">
        <v>2026</v>
      </c>
      <c r="I67" t="s">
        <v>252</v>
      </c>
    </row>
    <row r="68" spans="1:9" x14ac:dyDescent="0.35">
      <c r="A68" t="s">
        <v>254</v>
      </c>
      <c r="B68">
        <v>1</v>
      </c>
      <c r="C68" t="s">
        <v>255</v>
      </c>
      <c r="E68">
        <v>2027</v>
      </c>
      <c r="I68" t="s">
        <v>252</v>
      </c>
    </row>
    <row r="69" spans="1:9" x14ac:dyDescent="0.35">
      <c r="A69" t="s">
        <v>254</v>
      </c>
      <c r="B69">
        <v>1</v>
      </c>
      <c r="C69" t="s">
        <v>255</v>
      </c>
      <c r="E69">
        <v>2028</v>
      </c>
      <c r="I69" t="s">
        <v>252</v>
      </c>
    </row>
    <row r="70" spans="1:9" x14ac:dyDescent="0.35">
      <c r="A70" t="s">
        <v>254</v>
      </c>
      <c r="B70">
        <v>1</v>
      </c>
      <c r="C70" t="s">
        <v>255</v>
      </c>
      <c r="E70">
        <v>2029</v>
      </c>
      <c r="I70" t="s">
        <v>252</v>
      </c>
    </row>
    <row r="71" spans="1:9" x14ac:dyDescent="0.35">
      <c r="A71" t="s">
        <v>254</v>
      </c>
      <c r="B71">
        <v>1</v>
      </c>
      <c r="C71" t="s">
        <v>255</v>
      </c>
      <c r="E71">
        <v>2030</v>
      </c>
      <c r="I71" t="s">
        <v>252</v>
      </c>
    </row>
    <row r="72" spans="1:9" x14ac:dyDescent="0.35">
      <c r="A72" t="s">
        <v>254</v>
      </c>
      <c r="B72">
        <v>1</v>
      </c>
      <c r="C72" t="s">
        <v>255</v>
      </c>
      <c r="E72">
        <v>2031</v>
      </c>
      <c r="I72" t="s">
        <v>252</v>
      </c>
    </row>
    <row r="73" spans="1:9" x14ac:dyDescent="0.35">
      <c r="A73" t="s">
        <v>254</v>
      </c>
      <c r="B73">
        <v>1</v>
      </c>
      <c r="C73" t="s">
        <v>255</v>
      </c>
      <c r="E73">
        <v>2032</v>
      </c>
      <c r="I73" t="s">
        <v>252</v>
      </c>
    </row>
    <row r="74" spans="1:9" x14ac:dyDescent="0.35">
      <c r="A74" t="s">
        <v>254</v>
      </c>
      <c r="B74">
        <v>1</v>
      </c>
      <c r="C74" t="s">
        <v>255</v>
      </c>
      <c r="E74">
        <v>2033</v>
      </c>
      <c r="I74" t="s">
        <v>252</v>
      </c>
    </row>
    <row r="75" spans="1:9" x14ac:dyDescent="0.35">
      <c r="A75" t="s">
        <v>254</v>
      </c>
      <c r="B75">
        <v>1</v>
      </c>
      <c r="C75" t="s">
        <v>255</v>
      </c>
      <c r="E75">
        <v>2034</v>
      </c>
      <c r="I75" t="s">
        <v>252</v>
      </c>
    </row>
    <row r="76" spans="1:9" x14ac:dyDescent="0.35">
      <c r="A76" t="s">
        <v>254</v>
      </c>
      <c r="B76">
        <v>1</v>
      </c>
      <c r="C76" t="s">
        <v>255</v>
      </c>
      <c r="E76">
        <v>2035</v>
      </c>
      <c r="I76" t="s">
        <v>252</v>
      </c>
    </row>
    <row r="77" spans="1:9" x14ac:dyDescent="0.35">
      <c r="A77" t="s">
        <v>254</v>
      </c>
      <c r="B77">
        <v>1</v>
      </c>
      <c r="C77" t="s">
        <v>255</v>
      </c>
      <c r="E77">
        <v>2036</v>
      </c>
      <c r="I77" t="s">
        <v>252</v>
      </c>
    </row>
    <row r="78" spans="1:9" x14ac:dyDescent="0.35">
      <c r="A78" t="s">
        <v>254</v>
      </c>
      <c r="B78">
        <v>1</v>
      </c>
      <c r="C78" t="s">
        <v>255</v>
      </c>
      <c r="E78">
        <v>2037</v>
      </c>
      <c r="I78" t="s">
        <v>252</v>
      </c>
    </row>
    <row r="79" spans="1:9" x14ac:dyDescent="0.35">
      <c r="A79" t="s">
        <v>254</v>
      </c>
      <c r="B79">
        <v>1</v>
      </c>
      <c r="C79" t="s">
        <v>255</v>
      </c>
      <c r="E79">
        <v>2038</v>
      </c>
      <c r="I79" t="s">
        <v>252</v>
      </c>
    </row>
    <row r="80" spans="1:9" x14ac:dyDescent="0.35">
      <c r="A80" t="s">
        <v>254</v>
      </c>
      <c r="B80">
        <v>1</v>
      </c>
      <c r="C80" t="s">
        <v>255</v>
      </c>
      <c r="E80">
        <v>2039</v>
      </c>
      <c r="I80" t="s">
        <v>252</v>
      </c>
    </row>
    <row r="81" spans="1:9" x14ac:dyDescent="0.35">
      <c r="A81" t="s">
        <v>254</v>
      </c>
      <c r="B81">
        <v>1</v>
      </c>
      <c r="C81" t="s">
        <v>255</v>
      </c>
      <c r="E81">
        <v>2040</v>
      </c>
      <c r="I81" t="s">
        <v>252</v>
      </c>
    </row>
    <row r="82" spans="1:9" x14ac:dyDescent="0.35">
      <c r="A82" t="s">
        <v>254</v>
      </c>
      <c r="B82">
        <v>1</v>
      </c>
      <c r="C82" t="s">
        <v>255</v>
      </c>
      <c r="E82">
        <v>2041</v>
      </c>
      <c r="I82" t="s">
        <v>252</v>
      </c>
    </row>
    <row r="83" spans="1:9" x14ac:dyDescent="0.35">
      <c r="A83" t="s">
        <v>254</v>
      </c>
      <c r="B83">
        <v>1</v>
      </c>
      <c r="C83" t="s">
        <v>255</v>
      </c>
      <c r="E83">
        <v>2042</v>
      </c>
      <c r="I83" t="s">
        <v>252</v>
      </c>
    </row>
    <row r="84" spans="1:9" x14ac:dyDescent="0.35">
      <c r="A84" t="s">
        <v>254</v>
      </c>
      <c r="B84">
        <v>1</v>
      </c>
      <c r="C84" t="s">
        <v>255</v>
      </c>
      <c r="E84">
        <v>2043</v>
      </c>
      <c r="I84" t="s">
        <v>252</v>
      </c>
    </row>
    <row r="85" spans="1:9" x14ac:dyDescent="0.35">
      <c r="A85" t="s">
        <v>254</v>
      </c>
      <c r="B85">
        <v>1</v>
      </c>
      <c r="C85" t="s">
        <v>255</v>
      </c>
      <c r="E85">
        <v>2044</v>
      </c>
      <c r="I85" t="s">
        <v>252</v>
      </c>
    </row>
    <row r="86" spans="1:9" x14ac:dyDescent="0.35">
      <c r="A86" t="s">
        <v>254</v>
      </c>
      <c r="B86">
        <v>1</v>
      </c>
      <c r="C86" t="s">
        <v>255</v>
      </c>
      <c r="E86">
        <v>2045</v>
      </c>
      <c r="I86" t="s">
        <v>252</v>
      </c>
    </row>
    <row r="87" spans="1:9" x14ac:dyDescent="0.35">
      <c r="A87" t="s">
        <v>254</v>
      </c>
      <c r="B87">
        <v>1</v>
      </c>
      <c r="C87" t="s">
        <v>255</v>
      </c>
      <c r="E87">
        <v>2046</v>
      </c>
      <c r="I87" t="s">
        <v>252</v>
      </c>
    </row>
    <row r="88" spans="1:9" x14ac:dyDescent="0.35">
      <c r="A88" t="s">
        <v>254</v>
      </c>
      <c r="B88">
        <v>1</v>
      </c>
      <c r="C88" t="s">
        <v>255</v>
      </c>
      <c r="E88">
        <v>2047</v>
      </c>
      <c r="I88" t="s">
        <v>252</v>
      </c>
    </row>
    <row r="89" spans="1:9" x14ac:dyDescent="0.35">
      <c r="A89" t="s">
        <v>254</v>
      </c>
      <c r="B89">
        <v>1</v>
      </c>
      <c r="C89" t="s">
        <v>255</v>
      </c>
      <c r="E89">
        <v>2048</v>
      </c>
      <c r="I89" t="s">
        <v>252</v>
      </c>
    </row>
    <row r="90" spans="1:9" x14ac:dyDescent="0.35">
      <c r="A90" t="s">
        <v>254</v>
      </c>
      <c r="B90">
        <v>1</v>
      </c>
      <c r="C90" t="s">
        <v>255</v>
      </c>
      <c r="E90">
        <v>2049</v>
      </c>
      <c r="I90" t="s">
        <v>252</v>
      </c>
    </row>
    <row r="91" spans="1:9" x14ac:dyDescent="0.35">
      <c r="A91" t="s">
        <v>254</v>
      </c>
      <c r="B91">
        <v>1</v>
      </c>
      <c r="C91" t="s">
        <v>255</v>
      </c>
      <c r="E91">
        <v>2050</v>
      </c>
      <c r="I91" t="s">
        <v>252</v>
      </c>
    </row>
    <row r="92" spans="1:9" x14ac:dyDescent="0.35">
      <c r="A92" t="s">
        <v>254</v>
      </c>
      <c r="B92">
        <v>1</v>
      </c>
      <c r="C92" t="s">
        <v>255</v>
      </c>
      <c r="E92">
        <v>2021</v>
      </c>
      <c r="I92" t="s">
        <v>253</v>
      </c>
    </row>
    <row r="93" spans="1:9" x14ac:dyDescent="0.35">
      <c r="A93" t="s">
        <v>254</v>
      </c>
      <c r="B93">
        <v>1</v>
      </c>
      <c r="C93" t="s">
        <v>255</v>
      </c>
      <c r="E93">
        <v>2022</v>
      </c>
      <c r="I93" t="s">
        <v>253</v>
      </c>
    </row>
    <row r="94" spans="1:9" x14ac:dyDescent="0.35">
      <c r="A94" t="s">
        <v>254</v>
      </c>
      <c r="B94">
        <v>1</v>
      </c>
      <c r="C94" t="s">
        <v>255</v>
      </c>
      <c r="E94">
        <v>2023</v>
      </c>
      <c r="I94" t="s">
        <v>253</v>
      </c>
    </row>
    <row r="95" spans="1:9" x14ac:dyDescent="0.35">
      <c r="A95" t="s">
        <v>254</v>
      </c>
      <c r="B95">
        <v>1</v>
      </c>
      <c r="C95" t="s">
        <v>255</v>
      </c>
      <c r="E95">
        <v>2024</v>
      </c>
      <c r="I95" t="s">
        <v>253</v>
      </c>
    </row>
    <row r="96" spans="1:9" x14ac:dyDescent="0.35">
      <c r="A96" t="s">
        <v>254</v>
      </c>
      <c r="B96">
        <v>1</v>
      </c>
      <c r="C96" t="s">
        <v>255</v>
      </c>
      <c r="E96">
        <v>2025</v>
      </c>
      <c r="I96" t="s">
        <v>253</v>
      </c>
    </row>
    <row r="97" spans="1:9" x14ac:dyDescent="0.35">
      <c r="A97" t="s">
        <v>254</v>
      </c>
      <c r="B97">
        <v>1</v>
      </c>
      <c r="C97" t="s">
        <v>255</v>
      </c>
      <c r="E97">
        <v>2026</v>
      </c>
      <c r="I97" t="s">
        <v>253</v>
      </c>
    </row>
    <row r="98" spans="1:9" x14ac:dyDescent="0.35">
      <c r="A98" t="s">
        <v>254</v>
      </c>
      <c r="B98">
        <v>1</v>
      </c>
      <c r="C98" t="s">
        <v>255</v>
      </c>
      <c r="E98">
        <v>2027</v>
      </c>
      <c r="I98" t="s">
        <v>253</v>
      </c>
    </row>
    <row r="99" spans="1:9" x14ac:dyDescent="0.35">
      <c r="A99" t="s">
        <v>254</v>
      </c>
      <c r="B99">
        <v>1</v>
      </c>
      <c r="C99" t="s">
        <v>255</v>
      </c>
      <c r="E99">
        <v>2028</v>
      </c>
      <c r="I99" t="s">
        <v>253</v>
      </c>
    </row>
    <row r="100" spans="1:9" x14ac:dyDescent="0.35">
      <c r="A100" t="s">
        <v>254</v>
      </c>
      <c r="B100">
        <v>1</v>
      </c>
      <c r="C100" t="s">
        <v>255</v>
      </c>
      <c r="E100">
        <v>2029</v>
      </c>
      <c r="I100" t="s">
        <v>253</v>
      </c>
    </row>
    <row r="101" spans="1:9" x14ac:dyDescent="0.35">
      <c r="A101" t="s">
        <v>254</v>
      </c>
      <c r="B101">
        <v>1</v>
      </c>
      <c r="C101" t="s">
        <v>255</v>
      </c>
      <c r="E101">
        <v>2030</v>
      </c>
      <c r="I101" t="s">
        <v>253</v>
      </c>
    </row>
    <row r="102" spans="1:9" x14ac:dyDescent="0.35">
      <c r="A102" t="s">
        <v>254</v>
      </c>
      <c r="B102">
        <v>1</v>
      </c>
      <c r="C102" t="s">
        <v>255</v>
      </c>
      <c r="E102">
        <v>2031</v>
      </c>
      <c r="I102" t="s">
        <v>253</v>
      </c>
    </row>
    <row r="103" spans="1:9" x14ac:dyDescent="0.35">
      <c r="A103" t="s">
        <v>254</v>
      </c>
      <c r="B103">
        <v>1</v>
      </c>
      <c r="C103" t="s">
        <v>255</v>
      </c>
      <c r="E103">
        <v>2032</v>
      </c>
      <c r="I103" t="s">
        <v>253</v>
      </c>
    </row>
    <row r="104" spans="1:9" x14ac:dyDescent="0.35">
      <c r="A104" t="s">
        <v>254</v>
      </c>
      <c r="B104">
        <v>1</v>
      </c>
      <c r="C104" t="s">
        <v>255</v>
      </c>
      <c r="E104">
        <v>2033</v>
      </c>
      <c r="I104" t="s">
        <v>253</v>
      </c>
    </row>
    <row r="105" spans="1:9" x14ac:dyDescent="0.35">
      <c r="A105" t="s">
        <v>254</v>
      </c>
      <c r="B105">
        <v>1</v>
      </c>
      <c r="C105" t="s">
        <v>255</v>
      </c>
      <c r="E105">
        <v>2034</v>
      </c>
      <c r="I105" t="s">
        <v>253</v>
      </c>
    </row>
    <row r="106" spans="1:9" x14ac:dyDescent="0.35">
      <c r="A106" t="s">
        <v>254</v>
      </c>
      <c r="B106">
        <v>1</v>
      </c>
      <c r="C106" t="s">
        <v>255</v>
      </c>
      <c r="E106">
        <v>2035</v>
      </c>
      <c r="I106" t="s">
        <v>253</v>
      </c>
    </row>
    <row r="107" spans="1:9" x14ac:dyDescent="0.35">
      <c r="A107" t="s">
        <v>254</v>
      </c>
      <c r="B107">
        <v>1</v>
      </c>
      <c r="C107" t="s">
        <v>255</v>
      </c>
      <c r="E107">
        <v>2036</v>
      </c>
      <c r="I107" t="s">
        <v>253</v>
      </c>
    </row>
    <row r="108" spans="1:9" x14ac:dyDescent="0.35">
      <c r="A108" t="s">
        <v>254</v>
      </c>
      <c r="B108">
        <v>1</v>
      </c>
      <c r="C108" t="s">
        <v>255</v>
      </c>
      <c r="E108">
        <v>2037</v>
      </c>
      <c r="I108" t="s">
        <v>253</v>
      </c>
    </row>
    <row r="109" spans="1:9" x14ac:dyDescent="0.35">
      <c r="A109" t="s">
        <v>254</v>
      </c>
      <c r="B109">
        <v>1</v>
      </c>
      <c r="C109" t="s">
        <v>255</v>
      </c>
      <c r="E109">
        <v>2038</v>
      </c>
      <c r="I109" t="s">
        <v>253</v>
      </c>
    </row>
    <row r="110" spans="1:9" x14ac:dyDescent="0.35">
      <c r="A110" t="s">
        <v>254</v>
      </c>
      <c r="B110">
        <v>1</v>
      </c>
      <c r="C110" t="s">
        <v>255</v>
      </c>
      <c r="E110">
        <v>2039</v>
      </c>
      <c r="I110" t="s">
        <v>253</v>
      </c>
    </row>
    <row r="111" spans="1:9" x14ac:dyDescent="0.35">
      <c r="A111" t="s">
        <v>254</v>
      </c>
      <c r="B111">
        <v>1</v>
      </c>
      <c r="C111" t="s">
        <v>255</v>
      </c>
      <c r="E111">
        <v>2040</v>
      </c>
      <c r="I111" t="s">
        <v>253</v>
      </c>
    </row>
    <row r="112" spans="1:9" x14ac:dyDescent="0.35">
      <c r="A112" t="s">
        <v>254</v>
      </c>
      <c r="B112">
        <v>1</v>
      </c>
      <c r="C112" t="s">
        <v>255</v>
      </c>
      <c r="E112">
        <v>2041</v>
      </c>
      <c r="I112" t="s">
        <v>253</v>
      </c>
    </row>
    <row r="113" spans="1:9" x14ac:dyDescent="0.35">
      <c r="A113" t="s">
        <v>254</v>
      </c>
      <c r="B113">
        <v>1</v>
      </c>
      <c r="C113" t="s">
        <v>255</v>
      </c>
      <c r="E113">
        <v>2042</v>
      </c>
      <c r="I113" t="s">
        <v>253</v>
      </c>
    </row>
    <row r="114" spans="1:9" x14ac:dyDescent="0.35">
      <c r="A114" t="s">
        <v>254</v>
      </c>
      <c r="B114">
        <v>1</v>
      </c>
      <c r="C114" t="s">
        <v>255</v>
      </c>
      <c r="E114">
        <v>2043</v>
      </c>
      <c r="I114" t="s">
        <v>253</v>
      </c>
    </row>
    <row r="115" spans="1:9" x14ac:dyDescent="0.35">
      <c r="A115" t="s">
        <v>254</v>
      </c>
      <c r="B115">
        <v>1</v>
      </c>
      <c r="C115" t="s">
        <v>255</v>
      </c>
      <c r="E115">
        <v>2044</v>
      </c>
      <c r="I115" t="s">
        <v>253</v>
      </c>
    </row>
    <row r="116" spans="1:9" x14ac:dyDescent="0.35">
      <c r="A116" t="s">
        <v>254</v>
      </c>
      <c r="B116">
        <v>1</v>
      </c>
      <c r="C116" t="s">
        <v>255</v>
      </c>
      <c r="E116">
        <v>2045</v>
      </c>
      <c r="I116" t="s">
        <v>253</v>
      </c>
    </row>
    <row r="117" spans="1:9" x14ac:dyDescent="0.35">
      <c r="A117" t="s">
        <v>254</v>
      </c>
      <c r="B117">
        <v>1</v>
      </c>
      <c r="C117" t="s">
        <v>255</v>
      </c>
      <c r="E117">
        <v>2046</v>
      </c>
      <c r="I117" t="s">
        <v>253</v>
      </c>
    </row>
    <row r="118" spans="1:9" x14ac:dyDescent="0.35">
      <c r="A118" t="s">
        <v>254</v>
      </c>
      <c r="B118">
        <v>1</v>
      </c>
      <c r="C118" t="s">
        <v>255</v>
      </c>
      <c r="E118">
        <v>2047</v>
      </c>
      <c r="I118" t="s">
        <v>253</v>
      </c>
    </row>
    <row r="119" spans="1:9" x14ac:dyDescent="0.35">
      <c r="A119" t="s">
        <v>254</v>
      </c>
      <c r="B119">
        <v>1</v>
      </c>
      <c r="C119" t="s">
        <v>255</v>
      </c>
      <c r="E119">
        <v>2048</v>
      </c>
      <c r="I119" t="s">
        <v>253</v>
      </c>
    </row>
    <row r="120" spans="1:9" x14ac:dyDescent="0.35">
      <c r="A120" t="s">
        <v>254</v>
      </c>
      <c r="B120">
        <v>1</v>
      </c>
      <c r="C120" t="s">
        <v>255</v>
      </c>
      <c r="E120">
        <v>2049</v>
      </c>
      <c r="I120" t="s">
        <v>253</v>
      </c>
    </row>
    <row r="121" spans="1:9" x14ac:dyDescent="0.35">
      <c r="A121" t="s">
        <v>254</v>
      </c>
      <c r="B121">
        <v>1</v>
      </c>
      <c r="C121" t="s">
        <v>255</v>
      </c>
      <c r="E121">
        <v>2050</v>
      </c>
      <c r="I121" t="s">
        <v>253</v>
      </c>
    </row>
    <row r="122" spans="1:9" x14ac:dyDescent="0.35">
      <c r="A122" t="s">
        <v>257</v>
      </c>
      <c r="B122">
        <v>2</v>
      </c>
      <c r="C122" t="s">
        <v>256</v>
      </c>
      <c r="E122">
        <v>2021</v>
      </c>
      <c r="I122" t="s">
        <v>250</v>
      </c>
    </row>
    <row r="123" spans="1:9" x14ac:dyDescent="0.35">
      <c r="A123" t="s">
        <v>257</v>
      </c>
      <c r="B123">
        <v>2</v>
      </c>
      <c r="C123" t="s">
        <v>256</v>
      </c>
      <c r="E123">
        <v>2022</v>
      </c>
      <c r="I123" t="s">
        <v>250</v>
      </c>
    </row>
    <row r="124" spans="1:9" x14ac:dyDescent="0.35">
      <c r="A124" t="s">
        <v>257</v>
      </c>
      <c r="B124">
        <v>2</v>
      </c>
      <c r="C124" t="s">
        <v>256</v>
      </c>
      <c r="E124">
        <v>2023</v>
      </c>
      <c r="I124" t="s">
        <v>250</v>
      </c>
    </row>
    <row r="125" spans="1:9" x14ac:dyDescent="0.35">
      <c r="A125" t="s">
        <v>257</v>
      </c>
      <c r="B125">
        <v>2</v>
      </c>
      <c r="C125" t="s">
        <v>256</v>
      </c>
      <c r="E125">
        <v>2024</v>
      </c>
      <c r="I125" t="s">
        <v>250</v>
      </c>
    </row>
    <row r="126" spans="1:9" x14ac:dyDescent="0.35">
      <c r="A126" t="s">
        <v>257</v>
      </c>
      <c r="B126">
        <v>2</v>
      </c>
      <c r="C126" t="s">
        <v>256</v>
      </c>
      <c r="E126">
        <v>2025</v>
      </c>
      <c r="I126" t="s">
        <v>250</v>
      </c>
    </row>
    <row r="127" spans="1:9" x14ac:dyDescent="0.35">
      <c r="A127" t="s">
        <v>257</v>
      </c>
      <c r="B127">
        <v>2</v>
      </c>
      <c r="C127" t="s">
        <v>256</v>
      </c>
      <c r="E127">
        <v>2026</v>
      </c>
      <c r="I127" t="s">
        <v>250</v>
      </c>
    </row>
    <row r="128" spans="1:9" x14ac:dyDescent="0.35">
      <c r="A128" t="s">
        <v>257</v>
      </c>
      <c r="B128">
        <v>2</v>
      </c>
      <c r="C128" t="s">
        <v>256</v>
      </c>
      <c r="E128">
        <v>2027</v>
      </c>
      <c r="I128" t="s">
        <v>250</v>
      </c>
    </row>
    <row r="129" spans="1:9" x14ac:dyDescent="0.35">
      <c r="A129" t="s">
        <v>257</v>
      </c>
      <c r="B129">
        <v>2</v>
      </c>
      <c r="C129" t="s">
        <v>256</v>
      </c>
      <c r="E129">
        <v>2028</v>
      </c>
      <c r="I129" t="s">
        <v>250</v>
      </c>
    </row>
    <row r="130" spans="1:9" x14ac:dyDescent="0.35">
      <c r="A130" t="s">
        <v>257</v>
      </c>
      <c r="B130">
        <v>2</v>
      </c>
      <c r="C130" t="s">
        <v>256</v>
      </c>
      <c r="E130">
        <v>2029</v>
      </c>
      <c r="I130" t="s">
        <v>250</v>
      </c>
    </row>
    <row r="131" spans="1:9" x14ac:dyDescent="0.35">
      <c r="A131" t="s">
        <v>257</v>
      </c>
      <c r="B131">
        <v>2</v>
      </c>
      <c r="C131" t="s">
        <v>256</v>
      </c>
      <c r="E131">
        <v>2030</v>
      </c>
      <c r="I131" t="s">
        <v>250</v>
      </c>
    </row>
    <row r="132" spans="1:9" x14ac:dyDescent="0.35">
      <c r="A132" t="s">
        <v>257</v>
      </c>
      <c r="B132">
        <v>2</v>
      </c>
      <c r="C132" t="s">
        <v>256</v>
      </c>
      <c r="E132">
        <v>2031</v>
      </c>
      <c r="I132" t="s">
        <v>250</v>
      </c>
    </row>
    <row r="133" spans="1:9" x14ac:dyDescent="0.35">
      <c r="A133" t="s">
        <v>257</v>
      </c>
      <c r="B133">
        <v>2</v>
      </c>
      <c r="C133" t="s">
        <v>256</v>
      </c>
      <c r="E133">
        <v>2032</v>
      </c>
      <c r="I133" t="s">
        <v>250</v>
      </c>
    </row>
    <row r="134" spans="1:9" x14ac:dyDescent="0.35">
      <c r="A134" t="s">
        <v>257</v>
      </c>
      <c r="B134">
        <v>2</v>
      </c>
      <c r="C134" t="s">
        <v>256</v>
      </c>
      <c r="E134">
        <v>2033</v>
      </c>
      <c r="I134" t="s">
        <v>250</v>
      </c>
    </row>
    <row r="135" spans="1:9" x14ac:dyDescent="0.35">
      <c r="A135" t="s">
        <v>257</v>
      </c>
      <c r="B135">
        <v>2</v>
      </c>
      <c r="C135" t="s">
        <v>256</v>
      </c>
      <c r="E135">
        <v>2034</v>
      </c>
      <c r="I135" t="s">
        <v>250</v>
      </c>
    </row>
    <row r="136" spans="1:9" x14ac:dyDescent="0.35">
      <c r="A136" t="s">
        <v>257</v>
      </c>
      <c r="B136">
        <v>2</v>
      </c>
      <c r="C136" t="s">
        <v>256</v>
      </c>
      <c r="E136">
        <v>2035</v>
      </c>
      <c r="I136" t="s">
        <v>250</v>
      </c>
    </row>
    <row r="137" spans="1:9" x14ac:dyDescent="0.35">
      <c r="A137" t="s">
        <v>257</v>
      </c>
      <c r="B137">
        <v>2</v>
      </c>
      <c r="C137" t="s">
        <v>256</v>
      </c>
      <c r="E137">
        <v>2036</v>
      </c>
      <c r="I137" t="s">
        <v>250</v>
      </c>
    </row>
    <row r="138" spans="1:9" x14ac:dyDescent="0.35">
      <c r="A138" t="s">
        <v>257</v>
      </c>
      <c r="B138">
        <v>2</v>
      </c>
      <c r="C138" t="s">
        <v>256</v>
      </c>
      <c r="E138">
        <v>2037</v>
      </c>
      <c r="I138" t="s">
        <v>250</v>
      </c>
    </row>
    <row r="139" spans="1:9" x14ac:dyDescent="0.35">
      <c r="A139" t="s">
        <v>257</v>
      </c>
      <c r="B139">
        <v>2</v>
      </c>
      <c r="C139" t="s">
        <v>256</v>
      </c>
      <c r="E139">
        <v>2038</v>
      </c>
      <c r="I139" t="s">
        <v>250</v>
      </c>
    </row>
    <row r="140" spans="1:9" x14ac:dyDescent="0.35">
      <c r="A140" t="s">
        <v>257</v>
      </c>
      <c r="B140">
        <v>2</v>
      </c>
      <c r="C140" t="s">
        <v>256</v>
      </c>
      <c r="E140">
        <v>2039</v>
      </c>
      <c r="I140" t="s">
        <v>250</v>
      </c>
    </row>
    <row r="141" spans="1:9" x14ac:dyDescent="0.35">
      <c r="A141" t="s">
        <v>257</v>
      </c>
      <c r="B141">
        <v>2</v>
      </c>
      <c r="C141" t="s">
        <v>256</v>
      </c>
      <c r="E141">
        <v>2040</v>
      </c>
      <c r="I141" t="s">
        <v>250</v>
      </c>
    </row>
    <row r="142" spans="1:9" x14ac:dyDescent="0.35">
      <c r="A142" t="s">
        <v>257</v>
      </c>
      <c r="B142">
        <v>2</v>
      </c>
      <c r="C142" t="s">
        <v>256</v>
      </c>
      <c r="E142">
        <v>2041</v>
      </c>
      <c r="I142" t="s">
        <v>250</v>
      </c>
    </row>
    <row r="143" spans="1:9" x14ac:dyDescent="0.35">
      <c r="A143" t="s">
        <v>257</v>
      </c>
      <c r="B143">
        <v>2</v>
      </c>
      <c r="C143" t="s">
        <v>256</v>
      </c>
      <c r="E143">
        <v>2042</v>
      </c>
      <c r="I143" t="s">
        <v>250</v>
      </c>
    </row>
    <row r="144" spans="1:9" x14ac:dyDescent="0.35">
      <c r="A144" t="s">
        <v>257</v>
      </c>
      <c r="B144">
        <v>2</v>
      </c>
      <c r="C144" t="s">
        <v>256</v>
      </c>
      <c r="E144">
        <v>2043</v>
      </c>
      <c r="I144" t="s">
        <v>250</v>
      </c>
    </row>
    <row r="145" spans="1:9" x14ac:dyDescent="0.35">
      <c r="A145" t="s">
        <v>257</v>
      </c>
      <c r="B145">
        <v>2</v>
      </c>
      <c r="C145" t="s">
        <v>256</v>
      </c>
      <c r="E145">
        <v>2044</v>
      </c>
      <c r="I145" t="s">
        <v>250</v>
      </c>
    </row>
    <row r="146" spans="1:9" x14ac:dyDescent="0.35">
      <c r="A146" t="s">
        <v>257</v>
      </c>
      <c r="B146">
        <v>2</v>
      </c>
      <c r="C146" t="s">
        <v>256</v>
      </c>
      <c r="E146">
        <v>2045</v>
      </c>
      <c r="I146" t="s">
        <v>250</v>
      </c>
    </row>
    <row r="147" spans="1:9" x14ac:dyDescent="0.35">
      <c r="A147" t="s">
        <v>257</v>
      </c>
      <c r="B147">
        <v>2</v>
      </c>
      <c r="C147" t="s">
        <v>256</v>
      </c>
      <c r="E147">
        <v>2046</v>
      </c>
      <c r="I147" t="s">
        <v>250</v>
      </c>
    </row>
    <row r="148" spans="1:9" x14ac:dyDescent="0.35">
      <c r="A148" t="s">
        <v>257</v>
      </c>
      <c r="B148">
        <v>2</v>
      </c>
      <c r="C148" t="s">
        <v>256</v>
      </c>
      <c r="E148">
        <v>2047</v>
      </c>
      <c r="I148" t="s">
        <v>250</v>
      </c>
    </row>
    <row r="149" spans="1:9" x14ac:dyDescent="0.35">
      <c r="A149" t="s">
        <v>257</v>
      </c>
      <c r="B149">
        <v>2</v>
      </c>
      <c r="C149" t="s">
        <v>256</v>
      </c>
      <c r="E149">
        <v>2048</v>
      </c>
      <c r="I149" t="s">
        <v>250</v>
      </c>
    </row>
    <row r="150" spans="1:9" x14ac:dyDescent="0.35">
      <c r="A150" t="s">
        <v>257</v>
      </c>
      <c r="B150">
        <v>2</v>
      </c>
      <c r="C150" t="s">
        <v>256</v>
      </c>
      <c r="E150">
        <v>2049</v>
      </c>
      <c r="I150" t="s">
        <v>250</v>
      </c>
    </row>
    <row r="151" spans="1:9" x14ac:dyDescent="0.35">
      <c r="A151" t="s">
        <v>257</v>
      </c>
      <c r="B151">
        <v>2</v>
      </c>
      <c r="C151" t="s">
        <v>256</v>
      </c>
      <c r="E151">
        <v>2050</v>
      </c>
      <c r="I151" t="s">
        <v>250</v>
      </c>
    </row>
    <row r="152" spans="1:9" x14ac:dyDescent="0.35">
      <c r="A152" t="s">
        <v>257</v>
      </c>
      <c r="B152">
        <v>2</v>
      </c>
      <c r="C152" t="s">
        <v>256</v>
      </c>
      <c r="E152">
        <v>2021</v>
      </c>
      <c r="I152" t="s">
        <v>251</v>
      </c>
    </row>
    <row r="153" spans="1:9" x14ac:dyDescent="0.35">
      <c r="A153" t="s">
        <v>257</v>
      </c>
      <c r="B153">
        <v>2</v>
      </c>
      <c r="C153" t="s">
        <v>256</v>
      </c>
      <c r="E153">
        <v>2022</v>
      </c>
      <c r="I153" t="s">
        <v>251</v>
      </c>
    </row>
    <row r="154" spans="1:9" x14ac:dyDescent="0.35">
      <c r="A154" t="s">
        <v>257</v>
      </c>
      <c r="B154">
        <v>2</v>
      </c>
      <c r="C154" t="s">
        <v>256</v>
      </c>
      <c r="E154">
        <v>2023</v>
      </c>
      <c r="I154" t="s">
        <v>251</v>
      </c>
    </row>
    <row r="155" spans="1:9" x14ac:dyDescent="0.35">
      <c r="A155" t="s">
        <v>257</v>
      </c>
      <c r="B155">
        <v>2</v>
      </c>
      <c r="C155" t="s">
        <v>256</v>
      </c>
      <c r="E155">
        <v>2024</v>
      </c>
      <c r="I155" t="s">
        <v>251</v>
      </c>
    </row>
    <row r="156" spans="1:9" x14ac:dyDescent="0.35">
      <c r="A156" t="s">
        <v>257</v>
      </c>
      <c r="B156">
        <v>2</v>
      </c>
      <c r="C156" t="s">
        <v>256</v>
      </c>
      <c r="E156">
        <v>2025</v>
      </c>
      <c r="I156" t="s">
        <v>251</v>
      </c>
    </row>
    <row r="157" spans="1:9" x14ac:dyDescent="0.35">
      <c r="A157" t="s">
        <v>257</v>
      </c>
      <c r="B157">
        <v>2</v>
      </c>
      <c r="C157" t="s">
        <v>256</v>
      </c>
      <c r="E157">
        <v>2026</v>
      </c>
      <c r="I157" t="s">
        <v>251</v>
      </c>
    </row>
    <row r="158" spans="1:9" x14ac:dyDescent="0.35">
      <c r="A158" t="s">
        <v>257</v>
      </c>
      <c r="B158">
        <v>2</v>
      </c>
      <c r="C158" t="s">
        <v>256</v>
      </c>
      <c r="E158">
        <v>2027</v>
      </c>
      <c r="I158" t="s">
        <v>251</v>
      </c>
    </row>
    <row r="159" spans="1:9" x14ac:dyDescent="0.35">
      <c r="A159" t="s">
        <v>257</v>
      </c>
      <c r="B159">
        <v>2</v>
      </c>
      <c r="C159" t="s">
        <v>256</v>
      </c>
      <c r="E159">
        <v>2028</v>
      </c>
      <c r="I159" t="s">
        <v>251</v>
      </c>
    </row>
    <row r="160" spans="1:9" x14ac:dyDescent="0.35">
      <c r="A160" t="s">
        <v>257</v>
      </c>
      <c r="B160">
        <v>2</v>
      </c>
      <c r="C160" t="s">
        <v>256</v>
      </c>
      <c r="E160">
        <v>2029</v>
      </c>
      <c r="I160" t="s">
        <v>251</v>
      </c>
    </row>
    <row r="161" spans="1:9" x14ac:dyDescent="0.35">
      <c r="A161" t="s">
        <v>257</v>
      </c>
      <c r="B161">
        <v>2</v>
      </c>
      <c r="C161" t="s">
        <v>256</v>
      </c>
      <c r="E161">
        <v>2030</v>
      </c>
      <c r="I161" t="s">
        <v>251</v>
      </c>
    </row>
    <row r="162" spans="1:9" x14ac:dyDescent="0.35">
      <c r="A162" t="s">
        <v>257</v>
      </c>
      <c r="B162">
        <v>2</v>
      </c>
      <c r="C162" t="s">
        <v>256</v>
      </c>
      <c r="E162">
        <v>2031</v>
      </c>
      <c r="I162" t="s">
        <v>251</v>
      </c>
    </row>
    <row r="163" spans="1:9" x14ac:dyDescent="0.35">
      <c r="A163" t="s">
        <v>257</v>
      </c>
      <c r="B163">
        <v>2</v>
      </c>
      <c r="C163" t="s">
        <v>256</v>
      </c>
      <c r="E163">
        <v>2032</v>
      </c>
      <c r="I163" t="s">
        <v>251</v>
      </c>
    </row>
    <row r="164" spans="1:9" x14ac:dyDescent="0.35">
      <c r="A164" t="s">
        <v>257</v>
      </c>
      <c r="B164">
        <v>2</v>
      </c>
      <c r="C164" t="s">
        <v>256</v>
      </c>
      <c r="E164">
        <v>2033</v>
      </c>
      <c r="I164" t="s">
        <v>251</v>
      </c>
    </row>
    <row r="165" spans="1:9" x14ac:dyDescent="0.35">
      <c r="A165" t="s">
        <v>257</v>
      </c>
      <c r="B165">
        <v>2</v>
      </c>
      <c r="C165" t="s">
        <v>256</v>
      </c>
      <c r="E165">
        <v>2034</v>
      </c>
      <c r="I165" t="s">
        <v>251</v>
      </c>
    </row>
    <row r="166" spans="1:9" x14ac:dyDescent="0.35">
      <c r="A166" t="s">
        <v>257</v>
      </c>
      <c r="B166">
        <v>2</v>
      </c>
      <c r="C166" t="s">
        <v>256</v>
      </c>
      <c r="E166">
        <v>2035</v>
      </c>
      <c r="I166" t="s">
        <v>251</v>
      </c>
    </row>
    <row r="167" spans="1:9" x14ac:dyDescent="0.35">
      <c r="A167" t="s">
        <v>257</v>
      </c>
      <c r="B167">
        <v>2</v>
      </c>
      <c r="C167" t="s">
        <v>256</v>
      </c>
      <c r="E167">
        <v>2036</v>
      </c>
      <c r="I167" t="s">
        <v>251</v>
      </c>
    </row>
    <row r="168" spans="1:9" x14ac:dyDescent="0.35">
      <c r="A168" t="s">
        <v>257</v>
      </c>
      <c r="B168">
        <v>2</v>
      </c>
      <c r="C168" t="s">
        <v>256</v>
      </c>
      <c r="E168">
        <v>2037</v>
      </c>
      <c r="I168" t="s">
        <v>251</v>
      </c>
    </row>
    <row r="169" spans="1:9" x14ac:dyDescent="0.35">
      <c r="A169" t="s">
        <v>257</v>
      </c>
      <c r="B169">
        <v>2</v>
      </c>
      <c r="C169" t="s">
        <v>256</v>
      </c>
      <c r="E169">
        <v>2038</v>
      </c>
      <c r="I169" t="s">
        <v>251</v>
      </c>
    </row>
    <row r="170" spans="1:9" x14ac:dyDescent="0.35">
      <c r="A170" t="s">
        <v>257</v>
      </c>
      <c r="B170">
        <v>2</v>
      </c>
      <c r="C170" t="s">
        <v>256</v>
      </c>
      <c r="E170">
        <v>2039</v>
      </c>
      <c r="I170" t="s">
        <v>251</v>
      </c>
    </row>
    <row r="171" spans="1:9" x14ac:dyDescent="0.35">
      <c r="A171" t="s">
        <v>257</v>
      </c>
      <c r="B171">
        <v>2</v>
      </c>
      <c r="C171" t="s">
        <v>256</v>
      </c>
      <c r="E171">
        <v>2040</v>
      </c>
      <c r="I171" t="s">
        <v>251</v>
      </c>
    </row>
    <row r="172" spans="1:9" x14ac:dyDescent="0.35">
      <c r="A172" t="s">
        <v>257</v>
      </c>
      <c r="B172">
        <v>2</v>
      </c>
      <c r="C172" t="s">
        <v>256</v>
      </c>
      <c r="E172">
        <v>2041</v>
      </c>
      <c r="I172" t="s">
        <v>251</v>
      </c>
    </row>
    <row r="173" spans="1:9" x14ac:dyDescent="0.35">
      <c r="A173" t="s">
        <v>257</v>
      </c>
      <c r="B173">
        <v>2</v>
      </c>
      <c r="C173" t="s">
        <v>256</v>
      </c>
      <c r="E173">
        <v>2042</v>
      </c>
      <c r="I173" t="s">
        <v>251</v>
      </c>
    </row>
    <row r="174" spans="1:9" x14ac:dyDescent="0.35">
      <c r="A174" t="s">
        <v>257</v>
      </c>
      <c r="B174">
        <v>2</v>
      </c>
      <c r="C174" t="s">
        <v>256</v>
      </c>
      <c r="E174">
        <v>2043</v>
      </c>
      <c r="I174" t="s">
        <v>251</v>
      </c>
    </row>
    <row r="175" spans="1:9" x14ac:dyDescent="0.35">
      <c r="A175" t="s">
        <v>257</v>
      </c>
      <c r="B175">
        <v>2</v>
      </c>
      <c r="C175" t="s">
        <v>256</v>
      </c>
      <c r="E175">
        <v>2044</v>
      </c>
      <c r="I175" t="s">
        <v>251</v>
      </c>
    </row>
    <row r="176" spans="1:9" x14ac:dyDescent="0.35">
      <c r="A176" t="s">
        <v>257</v>
      </c>
      <c r="B176">
        <v>2</v>
      </c>
      <c r="C176" t="s">
        <v>256</v>
      </c>
      <c r="E176">
        <v>2045</v>
      </c>
      <c r="I176" t="s">
        <v>251</v>
      </c>
    </row>
    <row r="177" spans="1:9" x14ac:dyDescent="0.35">
      <c r="A177" t="s">
        <v>257</v>
      </c>
      <c r="B177">
        <v>2</v>
      </c>
      <c r="C177" t="s">
        <v>256</v>
      </c>
      <c r="E177">
        <v>2046</v>
      </c>
      <c r="I177" t="s">
        <v>251</v>
      </c>
    </row>
    <row r="178" spans="1:9" x14ac:dyDescent="0.35">
      <c r="A178" t="s">
        <v>257</v>
      </c>
      <c r="B178">
        <v>2</v>
      </c>
      <c r="C178" t="s">
        <v>256</v>
      </c>
      <c r="E178">
        <v>2047</v>
      </c>
      <c r="I178" t="s">
        <v>251</v>
      </c>
    </row>
    <row r="179" spans="1:9" x14ac:dyDescent="0.35">
      <c r="A179" t="s">
        <v>257</v>
      </c>
      <c r="B179">
        <v>2</v>
      </c>
      <c r="C179" t="s">
        <v>256</v>
      </c>
      <c r="E179">
        <v>2048</v>
      </c>
      <c r="I179" t="s">
        <v>251</v>
      </c>
    </row>
    <row r="180" spans="1:9" x14ac:dyDescent="0.35">
      <c r="A180" t="s">
        <v>257</v>
      </c>
      <c r="B180">
        <v>2</v>
      </c>
      <c r="C180" t="s">
        <v>256</v>
      </c>
      <c r="E180">
        <v>2049</v>
      </c>
      <c r="I180" t="s">
        <v>251</v>
      </c>
    </row>
    <row r="181" spans="1:9" x14ac:dyDescent="0.35">
      <c r="A181" t="s">
        <v>257</v>
      </c>
      <c r="B181">
        <v>2</v>
      </c>
      <c r="C181" t="s">
        <v>256</v>
      </c>
      <c r="E181">
        <v>2050</v>
      </c>
      <c r="I181" t="s">
        <v>251</v>
      </c>
    </row>
    <row r="182" spans="1:9" x14ac:dyDescent="0.35">
      <c r="A182" t="s">
        <v>257</v>
      </c>
      <c r="B182">
        <v>2</v>
      </c>
      <c r="C182" t="s">
        <v>256</v>
      </c>
      <c r="E182">
        <v>2021</v>
      </c>
      <c r="I182" t="s">
        <v>252</v>
      </c>
    </row>
    <row r="183" spans="1:9" x14ac:dyDescent="0.35">
      <c r="A183" t="s">
        <v>257</v>
      </c>
      <c r="B183">
        <v>2</v>
      </c>
      <c r="C183" t="s">
        <v>256</v>
      </c>
      <c r="E183">
        <v>2022</v>
      </c>
      <c r="I183" t="s">
        <v>252</v>
      </c>
    </row>
    <row r="184" spans="1:9" x14ac:dyDescent="0.35">
      <c r="A184" t="s">
        <v>257</v>
      </c>
      <c r="B184">
        <v>2</v>
      </c>
      <c r="C184" t="s">
        <v>256</v>
      </c>
      <c r="E184">
        <v>2023</v>
      </c>
      <c r="I184" t="s">
        <v>252</v>
      </c>
    </row>
    <row r="185" spans="1:9" x14ac:dyDescent="0.35">
      <c r="A185" t="s">
        <v>257</v>
      </c>
      <c r="B185">
        <v>2</v>
      </c>
      <c r="C185" t="s">
        <v>256</v>
      </c>
      <c r="E185">
        <v>2024</v>
      </c>
      <c r="I185" t="s">
        <v>252</v>
      </c>
    </row>
    <row r="186" spans="1:9" x14ac:dyDescent="0.35">
      <c r="A186" t="s">
        <v>257</v>
      </c>
      <c r="B186">
        <v>2</v>
      </c>
      <c r="C186" t="s">
        <v>256</v>
      </c>
      <c r="E186">
        <v>2025</v>
      </c>
      <c r="I186" t="s">
        <v>252</v>
      </c>
    </row>
    <row r="187" spans="1:9" x14ac:dyDescent="0.35">
      <c r="A187" t="s">
        <v>257</v>
      </c>
      <c r="B187">
        <v>2</v>
      </c>
      <c r="C187" t="s">
        <v>256</v>
      </c>
      <c r="E187">
        <v>2026</v>
      </c>
      <c r="I187" t="s">
        <v>252</v>
      </c>
    </row>
    <row r="188" spans="1:9" x14ac:dyDescent="0.35">
      <c r="A188" t="s">
        <v>257</v>
      </c>
      <c r="B188">
        <v>2</v>
      </c>
      <c r="C188" t="s">
        <v>256</v>
      </c>
      <c r="E188">
        <v>2027</v>
      </c>
      <c r="I188" t="s">
        <v>252</v>
      </c>
    </row>
    <row r="189" spans="1:9" x14ac:dyDescent="0.35">
      <c r="A189" t="s">
        <v>257</v>
      </c>
      <c r="B189">
        <v>2</v>
      </c>
      <c r="C189" t="s">
        <v>256</v>
      </c>
      <c r="E189">
        <v>2028</v>
      </c>
      <c r="I189" t="s">
        <v>252</v>
      </c>
    </row>
    <row r="190" spans="1:9" x14ac:dyDescent="0.35">
      <c r="A190" t="s">
        <v>257</v>
      </c>
      <c r="B190">
        <v>2</v>
      </c>
      <c r="C190" t="s">
        <v>256</v>
      </c>
      <c r="E190">
        <v>2029</v>
      </c>
      <c r="I190" t="s">
        <v>252</v>
      </c>
    </row>
    <row r="191" spans="1:9" x14ac:dyDescent="0.35">
      <c r="A191" t="s">
        <v>257</v>
      </c>
      <c r="B191">
        <v>2</v>
      </c>
      <c r="C191" t="s">
        <v>256</v>
      </c>
      <c r="E191">
        <v>2030</v>
      </c>
      <c r="I191" t="s">
        <v>252</v>
      </c>
    </row>
    <row r="192" spans="1:9" x14ac:dyDescent="0.35">
      <c r="A192" t="s">
        <v>257</v>
      </c>
      <c r="B192">
        <v>2</v>
      </c>
      <c r="C192" t="s">
        <v>256</v>
      </c>
      <c r="E192">
        <v>2031</v>
      </c>
      <c r="I192" t="s">
        <v>252</v>
      </c>
    </row>
    <row r="193" spans="1:9" x14ac:dyDescent="0.35">
      <c r="A193" t="s">
        <v>257</v>
      </c>
      <c r="B193">
        <v>2</v>
      </c>
      <c r="C193" t="s">
        <v>256</v>
      </c>
      <c r="E193">
        <v>2032</v>
      </c>
      <c r="I193" t="s">
        <v>252</v>
      </c>
    </row>
    <row r="194" spans="1:9" x14ac:dyDescent="0.35">
      <c r="A194" t="s">
        <v>257</v>
      </c>
      <c r="B194">
        <v>2</v>
      </c>
      <c r="C194" t="s">
        <v>256</v>
      </c>
      <c r="E194">
        <v>2033</v>
      </c>
      <c r="I194" t="s">
        <v>252</v>
      </c>
    </row>
    <row r="195" spans="1:9" x14ac:dyDescent="0.35">
      <c r="A195" t="s">
        <v>257</v>
      </c>
      <c r="B195">
        <v>2</v>
      </c>
      <c r="C195" t="s">
        <v>256</v>
      </c>
      <c r="E195">
        <v>2034</v>
      </c>
      <c r="I195" t="s">
        <v>252</v>
      </c>
    </row>
    <row r="196" spans="1:9" x14ac:dyDescent="0.35">
      <c r="A196" t="s">
        <v>257</v>
      </c>
      <c r="B196">
        <v>2</v>
      </c>
      <c r="C196" t="s">
        <v>256</v>
      </c>
      <c r="E196">
        <v>2035</v>
      </c>
      <c r="I196" t="s">
        <v>252</v>
      </c>
    </row>
    <row r="197" spans="1:9" x14ac:dyDescent="0.35">
      <c r="A197" t="s">
        <v>257</v>
      </c>
      <c r="B197">
        <v>2</v>
      </c>
      <c r="C197" t="s">
        <v>256</v>
      </c>
      <c r="E197">
        <v>2036</v>
      </c>
      <c r="I197" t="s">
        <v>252</v>
      </c>
    </row>
    <row r="198" spans="1:9" x14ac:dyDescent="0.35">
      <c r="A198" t="s">
        <v>257</v>
      </c>
      <c r="B198">
        <v>2</v>
      </c>
      <c r="C198" t="s">
        <v>256</v>
      </c>
      <c r="E198">
        <v>2037</v>
      </c>
      <c r="I198" t="s">
        <v>252</v>
      </c>
    </row>
    <row r="199" spans="1:9" x14ac:dyDescent="0.35">
      <c r="A199" t="s">
        <v>257</v>
      </c>
      <c r="B199">
        <v>2</v>
      </c>
      <c r="C199" t="s">
        <v>256</v>
      </c>
      <c r="E199">
        <v>2038</v>
      </c>
      <c r="I199" t="s">
        <v>252</v>
      </c>
    </row>
    <row r="200" spans="1:9" x14ac:dyDescent="0.35">
      <c r="A200" t="s">
        <v>257</v>
      </c>
      <c r="B200">
        <v>2</v>
      </c>
      <c r="C200" t="s">
        <v>256</v>
      </c>
      <c r="E200">
        <v>2039</v>
      </c>
      <c r="I200" t="s">
        <v>252</v>
      </c>
    </row>
    <row r="201" spans="1:9" x14ac:dyDescent="0.35">
      <c r="A201" t="s">
        <v>257</v>
      </c>
      <c r="B201">
        <v>2</v>
      </c>
      <c r="C201" t="s">
        <v>256</v>
      </c>
      <c r="E201">
        <v>2040</v>
      </c>
      <c r="I201" t="s">
        <v>252</v>
      </c>
    </row>
    <row r="202" spans="1:9" x14ac:dyDescent="0.35">
      <c r="A202" t="s">
        <v>257</v>
      </c>
      <c r="B202">
        <v>2</v>
      </c>
      <c r="C202" t="s">
        <v>256</v>
      </c>
      <c r="E202">
        <v>2041</v>
      </c>
      <c r="I202" t="s">
        <v>252</v>
      </c>
    </row>
    <row r="203" spans="1:9" x14ac:dyDescent="0.35">
      <c r="A203" t="s">
        <v>257</v>
      </c>
      <c r="B203">
        <v>2</v>
      </c>
      <c r="C203" t="s">
        <v>256</v>
      </c>
      <c r="E203">
        <v>2042</v>
      </c>
      <c r="I203" t="s">
        <v>252</v>
      </c>
    </row>
    <row r="204" spans="1:9" x14ac:dyDescent="0.35">
      <c r="A204" t="s">
        <v>257</v>
      </c>
      <c r="B204">
        <v>2</v>
      </c>
      <c r="C204" t="s">
        <v>256</v>
      </c>
      <c r="E204">
        <v>2043</v>
      </c>
      <c r="I204" t="s">
        <v>252</v>
      </c>
    </row>
    <row r="205" spans="1:9" x14ac:dyDescent="0.35">
      <c r="A205" t="s">
        <v>257</v>
      </c>
      <c r="B205">
        <v>2</v>
      </c>
      <c r="C205" t="s">
        <v>256</v>
      </c>
      <c r="E205">
        <v>2044</v>
      </c>
      <c r="I205" t="s">
        <v>252</v>
      </c>
    </row>
    <row r="206" spans="1:9" x14ac:dyDescent="0.35">
      <c r="A206" t="s">
        <v>257</v>
      </c>
      <c r="B206">
        <v>2</v>
      </c>
      <c r="C206" t="s">
        <v>256</v>
      </c>
      <c r="E206">
        <v>2045</v>
      </c>
      <c r="I206" t="s">
        <v>252</v>
      </c>
    </row>
    <row r="207" spans="1:9" x14ac:dyDescent="0.35">
      <c r="A207" t="s">
        <v>257</v>
      </c>
      <c r="B207">
        <v>2</v>
      </c>
      <c r="C207" t="s">
        <v>256</v>
      </c>
      <c r="E207">
        <v>2046</v>
      </c>
      <c r="I207" t="s">
        <v>252</v>
      </c>
    </row>
    <row r="208" spans="1:9" x14ac:dyDescent="0.35">
      <c r="A208" t="s">
        <v>257</v>
      </c>
      <c r="B208">
        <v>2</v>
      </c>
      <c r="C208" t="s">
        <v>256</v>
      </c>
      <c r="E208">
        <v>2047</v>
      </c>
      <c r="I208" t="s">
        <v>252</v>
      </c>
    </row>
    <row r="209" spans="1:9" x14ac:dyDescent="0.35">
      <c r="A209" t="s">
        <v>257</v>
      </c>
      <c r="B209">
        <v>2</v>
      </c>
      <c r="C209" t="s">
        <v>256</v>
      </c>
      <c r="E209">
        <v>2048</v>
      </c>
      <c r="I209" t="s">
        <v>252</v>
      </c>
    </row>
    <row r="210" spans="1:9" x14ac:dyDescent="0.35">
      <c r="A210" t="s">
        <v>257</v>
      </c>
      <c r="B210">
        <v>2</v>
      </c>
      <c r="C210" t="s">
        <v>256</v>
      </c>
      <c r="E210">
        <v>2049</v>
      </c>
      <c r="I210" t="s">
        <v>252</v>
      </c>
    </row>
    <row r="211" spans="1:9" x14ac:dyDescent="0.35">
      <c r="A211" t="s">
        <v>257</v>
      </c>
      <c r="B211">
        <v>2</v>
      </c>
      <c r="C211" t="s">
        <v>256</v>
      </c>
      <c r="E211">
        <v>2050</v>
      </c>
      <c r="I211" t="s">
        <v>252</v>
      </c>
    </row>
    <row r="212" spans="1:9" x14ac:dyDescent="0.35">
      <c r="A212" t="s">
        <v>257</v>
      </c>
      <c r="B212">
        <v>2</v>
      </c>
      <c r="C212" t="s">
        <v>256</v>
      </c>
      <c r="E212">
        <v>2021</v>
      </c>
      <c r="I212" t="s">
        <v>253</v>
      </c>
    </row>
    <row r="213" spans="1:9" x14ac:dyDescent="0.35">
      <c r="A213" t="s">
        <v>257</v>
      </c>
      <c r="B213">
        <v>2</v>
      </c>
      <c r="C213" t="s">
        <v>256</v>
      </c>
      <c r="E213">
        <v>2022</v>
      </c>
      <c r="I213" t="s">
        <v>253</v>
      </c>
    </row>
    <row r="214" spans="1:9" x14ac:dyDescent="0.35">
      <c r="A214" t="s">
        <v>257</v>
      </c>
      <c r="B214">
        <v>2</v>
      </c>
      <c r="C214" t="s">
        <v>256</v>
      </c>
      <c r="E214">
        <v>2023</v>
      </c>
      <c r="I214" t="s">
        <v>253</v>
      </c>
    </row>
    <row r="215" spans="1:9" x14ac:dyDescent="0.35">
      <c r="A215" t="s">
        <v>257</v>
      </c>
      <c r="B215">
        <v>2</v>
      </c>
      <c r="C215" t="s">
        <v>256</v>
      </c>
      <c r="E215">
        <v>2024</v>
      </c>
      <c r="I215" t="s">
        <v>253</v>
      </c>
    </row>
    <row r="216" spans="1:9" x14ac:dyDescent="0.35">
      <c r="A216" t="s">
        <v>257</v>
      </c>
      <c r="B216">
        <v>2</v>
      </c>
      <c r="C216" t="s">
        <v>256</v>
      </c>
      <c r="E216">
        <v>2025</v>
      </c>
      <c r="I216" t="s">
        <v>253</v>
      </c>
    </row>
    <row r="217" spans="1:9" x14ac:dyDescent="0.35">
      <c r="A217" t="s">
        <v>257</v>
      </c>
      <c r="B217">
        <v>2</v>
      </c>
      <c r="C217" t="s">
        <v>256</v>
      </c>
      <c r="E217">
        <v>2026</v>
      </c>
      <c r="I217" t="s">
        <v>253</v>
      </c>
    </row>
    <row r="218" spans="1:9" x14ac:dyDescent="0.35">
      <c r="A218" t="s">
        <v>257</v>
      </c>
      <c r="B218">
        <v>2</v>
      </c>
      <c r="C218" t="s">
        <v>256</v>
      </c>
      <c r="E218">
        <v>2027</v>
      </c>
      <c r="I218" t="s">
        <v>253</v>
      </c>
    </row>
    <row r="219" spans="1:9" x14ac:dyDescent="0.35">
      <c r="A219" t="s">
        <v>257</v>
      </c>
      <c r="B219">
        <v>2</v>
      </c>
      <c r="C219" t="s">
        <v>256</v>
      </c>
      <c r="E219">
        <v>2028</v>
      </c>
      <c r="I219" t="s">
        <v>253</v>
      </c>
    </row>
    <row r="220" spans="1:9" x14ac:dyDescent="0.35">
      <c r="A220" t="s">
        <v>257</v>
      </c>
      <c r="B220">
        <v>2</v>
      </c>
      <c r="C220" t="s">
        <v>256</v>
      </c>
      <c r="E220">
        <v>2029</v>
      </c>
      <c r="I220" t="s">
        <v>253</v>
      </c>
    </row>
    <row r="221" spans="1:9" x14ac:dyDescent="0.35">
      <c r="A221" t="s">
        <v>257</v>
      </c>
      <c r="B221">
        <v>2</v>
      </c>
      <c r="C221" t="s">
        <v>256</v>
      </c>
      <c r="E221">
        <v>2030</v>
      </c>
      <c r="I221" t="s">
        <v>253</v>
      </c>
    </row>
    <row r="222" spans="1:9" x14ac:dyDescent="0.35">
      <c r="A222" t="s">
        <v>257</v>
      </c>
      <c r="B222">
        <v>2</v>
      </c>
      <c r="C222" t="s">
        <v>256</v>
      </c>
      <c r="E222">
        <v>2031</v>
      </c>
      <c r="I222" t="s">
        <v>253</v>
      </c>
    </row>
    <row r="223" spans="1:9" x14ac:dyDescent="0.35">
      <c r="A223" t="s">
        <v>257</v>
      </c>
      <c r="B223">
        <v>2</v>
      </c>
      <c r="C223" t="s">
        <v>256</v>
      </c>
      <c r="E223">
        <v>2032</v>
      </c>
      <c r="I223" t="s">
        <v>253</v>
      </c>
    </row>
    <row r="224" spans="1:9" x14ac:dyDescent="0.35">
      <c r="A224" t="s">
        <v>257</v>
      </c>
      <c r="B224">
        <v>2</v>
      </c>
      <c r="C224" t="s">
        <v>256</v>
      </c>
      <c r="E224">
        <v>2033</v>
      </c>
      <c r="I224" t="s">
        <v>253</v>
      </c>
    </row>
    <row r="225" spans="1:9" x14ac:dyDescent="0.35">
      <c r="A225" t="s">
        <v>257</v>
      </c>
      <c r="B225">
        <v>2</v>
      </c>
      <c r="C225" t="s">
        <v>256</v>
      </c>
      <c r="E225">
        <v>2034</v>
      </c>
      <c r="I225" t="s">
        <v>253</v>
      </c>
    </row>
    <row r="226" spans="1:9" x14ac:dyDescent="0.35">
      <c r="A226" t="s">
        <v>257</v>
      </c>
      <c r="B226">
        <v>2</v>
      </c>
      <c r="C226" t="s">
        <v>256</v>
      </c>
      <c r="E226">
        <v>2035</v>
      </c>
      <c r="I226" t="s">
        <v>253</v>
      </c>
    </row>
    <row r="227" spans="1:9" x14ac:dyDescent="0.35">
      <c r="A227" t="s">
        <v>257</v>
      </c>
      <c r="B227">
        <v>2</v>
      </c>
      <c r="C227" t="s">
        <v>256</v>
      </c>
      <c r="E227">
        <v>2036</v>
      </c>
      <c r="I227" t="s">
        <v>253</v>
      </c>
    </row>
    <row r="228" spans="1:9" x14ac:dyDescent="0.35">
      <c r="A228" t="s">
        <v>257</v>
      </c>
      <c r="B228">
        <v>2</v>
      </c>
      <c r="C228" t="s">
        <v>256</v>
      </c>
      <c r="E228">
        <v>2037</v>
      </c>
      <c r="I228" t="s">
        <v>253</v>
      </c>
    </row>
    <row r="229" spans="1:9" x14ac:dyDescent="0.35">
      <c r="A229" t="s">
        <v>257</v>
      </c>
      <c r="B229">
        <v>2</v>
      </c>
      <c r="C229" t="s">
        <v>256</v>
      </c>
      <c r="E229">
        <v>2038</v>
      </c>
      <c r="I229" t="s">
        <v>253</v>
      </c>
    </row>
    <row r="230" spans="1:9" x14ac:dyDescent="0.35">
      <c r="A230" t="s">
        <v>257</v>
      </c>
      <c r="B230">
        <v>2</v>
      </c>
      <c r="C230" t="s">
        <v>256</v>
      </c>
      <c r="E230">
        <v>2039</v>
      </c>
      <c r="I230" t="s">
        <v>253</v>
      </c>
    </row>
    <row r="231" spans="1:9" x14ac:dyDescent="0.35">
      <c r="A231" t="s">
        <v>257</v>
      </c>
      <c r="B231">
        <v>2</v>
      </c>
      <c r="C231" t="s">
        <v>256</v>
      </c>
      <c r="E231">
        <v>2040</v>
      </c>
      <c r="I231" t="s">
        <v>253</v>
      </c>
    </row>
    <row r="232" spans="1:9" x14ac:dyDescent="0.35">
      <c r="A232" t="s">
        <v>257</v>
      </c>
      <c r="B232">
        <v>2</v>
      </c>
      <c r="C232" t="s">
        <v>256</v>
      </c>
      <c r="E232">
        <v>2041</v>
      </c>
      <c r="I232" t="s">
        <v>253</v>
      </c>
    </row>
    <row r="233" spans="1:9" x14ac:dyDescent="0.35">
      <c r="A233" t="s">
        <v>257</v>
      </c>
      <c r="B233">
        <v>2</v>
      </c>
      <c r="C233" t="s">
        <v>256</v>
      </c>
      <c r="E233">
        <v>2042</v>
      </c>
      <c r="I233" t="s">
        <v>253</v>
      </c>
    </row>
    <row r="234" spans="1:9" x14ac:dyDescent="0.35">
      <c r="A234" t="s">
        <v>257</v>
      </c>
      <c r="B234">
        <v>2</v>
      </c>
      <c r="C234" t="s">
        <v>256</v>
      </c>
      <c r="E234">
        <v>2043</v>
      </c>
      <c r="I234" t="s">
        <v>253</v>
      </c>
    </row>
    <row r="235" spans="1:9" x14ac:dyDescent="0.35">
      <c r="A235" t="s">
        <v>257</v>
      </c>
      <c r="B235">
        <v>2</v>
      </c>
      <c r="C235" t="s">
        <v>256</v>
      </c>
      <c r="E235">
        <v>2044</v>
      </c>
      <c r="I235" t="s">
        <v>253</v>
      </c>
    </row>
    <row r="236" spans="1:9" x14ac:dyDescent="0.35">
      <c r="A236" t="s">
        <v>257</v>
      </c>
      <c r="B236">
        <v>2</v>
      </c>
      <c r="C236" t="s">
        <v>256</v>
      </c>
      <c r="E236">
        <v>2045</v>
      </c>
      <c r="I236" t="s">
        <v>253</v>
      </c>
    </row>
    <row r="237" spans="1:9" x14ac:dyDescent="0.35">
      <c r="A237" t="s">
        <v>257</v>
      </c>
      <c r="B237">
        <v>2</v>
      </c>
      <c r="C237" t="s">
        <v>256</v>
      </c>
      <c r="E237">
        <v>2046</v>
      </c>
      <c r="I237" t="s">
        <v>253</v>
      </c>
    </row>
    <row r="238" spans="1:9" x14ac:dyDescent="0.35">
      <c r="A238" t="s">
        <v>257</v>
      </c>
      <c r="B238">
        <v>2</v>
      </c>
      <c r="C238" t="s">
        <v>256</v>
      </c>
      <c r="E238">
        <v>2047</v>
      </c>
      <c r="I238" t="s">
        <v>253</v>
      </c>
    </row>
    <row r="239" spans="1:9" x14ac:dyDescent="0.35">
      <c r="A239" t="s">
        <v>257</v>
      </c>
      <c r="B239">
        <v>2</v>
      </c>
      <c r="C239" t="s">
        <v>256</v>
      </c>
      <c r="E239">
        <v>2048</v>
      </c>
      <c r="I239" t="s">
        <v>253</v>
      </c>
    </row>
    <row r="240" spans="1:9" x14ac:dyDescent="0.35">
      <c r="A240" t="s">
        <v>257</v>
      </c>
      <c r="B240">
        <v>2</v>
      </c>
      <c r="C240" t="s">
        <v>256</v>
      </c>
      <c r="E240">
        <v>2049</v>
      </c>
      <c r="I240" t="s">
        <v>253</v>
      </c>
    </row>
    <row r="241" spans="1:14" x14ac:dyDescent="0.35">
      <c r="A241" t="s">
        <v>257</v>
      </c>
      <c r="B241">
        <v>2</v>
      </c>
      <c r="C241" t="s">
        <v>256</v>
      </c>
      <c r="E241">
        <v>2050</v>
      </c>
      <c r="I241" t="s">
        <v>253</v>
      </c>
    </row>
    <row r="242" spans="1:14" x14ac:dyDescent="0.35">
      <c r="A242" t="s">
        <v>49</v>
      </c>
      <c r="B242">
        <v>3</v>
      </c>
      <c r="C242" t="s">
        <v>197</v>
      </c>
      <c r="D242" t="s">
        <v>196</v>
      </c>
      <c r="K242" t="s">
        <v>56</v>
      </c>
      <c r="L242" t="s">
        <v>65</v>
      </c>
      <c r="M242" t="s">
        <v>67</v>
      </c>
      <c r="N242">
        <v>1</v>
      </c>
    </row>
    <row r="243" spans="1:14" x14ac:dyDescent="0.35">
      <c r="A243" t="s">
        <v>49</v>
      </c>
      <c r="B243">
        <v>3</v>
      </c>
      <c r="C243" t="s">
        <v>197</v>
      </c>
      <c r="D243" t="s">
        <v>196</v>
      </c>
      <c r="K243" t="s">
        <v>56</v>
      </c>
      <c r="L243" t="s">
        <v>68</v>
      </c>
      <c r="M243" t="s">
        <v>67</v>
      </c>
      <c r="N243">
        <v>0</v>
      </c>
    </row>
    <row r="244" spans="1:14" x14ac:dyDescent="0.35">
      <c r="A244" t="s">
        <v>49</v>
      </c>
      <c r="B244">
        <v>3</v>
      </c>
      <c r="C244" t="s">
        <v>197</v>
      </c>
      <c r="D244" t="s">
        <v>196</v>
      </c>
      <c r="K244" t="s">
        <v>56</v>
      </c>
      <c r="L244" t="s">
        <v>69</v>
      </c>
      <c r="M244" t="s">
        <v>67</v>
      </c>
      <c r="N244">
        <v>0</v>
      </c>
    </row>
    <row r="245" spans="1:14" x14ac:dyDescent="0.35">
      <c r="A245" t="s">
        <v>49</v>
      </c>
      <c r="B245">
        <v>3</v>
      </c>
      <c r="C245" t="s">
        <v>197</v>
      </c>
      <c r="D245" t="s">
        <v>196</v>
      </c>
      <c r="K245" t="s">
        <v>59</v>
      </c>
      <c r="L245" t="s">
        <v>70</v>
      </c>
      <c r="M245" t="s">
        <v>67</v>
      </c>
      <c r="N245">
        <v>1</v>
      </c>
    </row>
    <row r="246" spans="1:14" x14ac:dyDescent="0.35">
      <c r="A246" t="s">
        <v>49</v>
      </c>
      <c r="B246">
        <v>3</v>
      </c>
      <c r="C246" t="s">
        <v>197</v>
      </c>
      <c r="D246" t="s">
        <v>196</v>
      </c>
      <c r="K246" t="s">
        <v>59</v>
      </c>
      <c r="L246" t="s">
        <v>68</v>
      </c>
      <c r="M246" t="s">
        <v>67</v>
      </c>
      <c r="N246">
        <v>0</v>
      </c>
    </row>
    <row r="247" spans="1:14" x14ac:dyDescent="0.35">
      <c r="A247" t="s">
        <v>49</v>
      </c>
      <c r="B247">
        <v>3</v>
      </c>
      <c r="C247" t="s">
        <v>197</v>
      </c>
      <c r="D247" t="s">
        <v>196</v>
      </c>
      <c r="K247" t="s">
        <v>59</v>
      </c>
      <c r="L247" t="s">
        <v>69</v>
      </c>
      <c r="M247" t="s">
        <v>67</v>
      </c>
      <c r="N247">
        <v>0</v>
      </c>
    </row>
    <row r="248" spans="1:14" x14ac:dyDescent="0.35">
      <c r="A248" t="s">
        <v>49</v>
      </c>
      <c r="B248">
        <v>3</v>
      </c>
      <c r="C248" t="s">
        <v>197</v>
      </c>
      <c r="D248" t="s">
        <v>196</v>
      </c>
      <c r="K248" t="s">
        <v>60</v>
      </c>
      <c r="L248" t="s">
        <v>65</v>
      </c>
      <c r="M248" t="s">
        <v>67</v>
      </c>
      <c r="N248">
        <v>1</v>
      </c>
    </row>
    <row r="249" spans="1:14" x14ac:dyDescent="0.35">
      <c r="A249" t="s">
        <v>49</v>
      </c>
      <c r="B249">
        <v>3</v>
      </c>
      <c r="C249" t="s">
        <v>197</v>
      </c>
      <c r="D249" t="s">
        <v>196</v>
      </c>
      <c r="K249" t="s">
        <v>60</v>
      </c>
      <c r="L249" t="s">
        <v>68</v>
      </c>
      <c r="M249" t="s">
        <v>67</v>
      </c>
      <c r="N249">
        <v>0</v>
      </c>
    </row>
    <row r="250" spans="1:14" x14ac:dyDescent="0.35">
      <c r="A250" t="s">
        <v>49</v>
      </c>
      <c r="B250">
        <v>3</v>
      </c>
      <c r="C250" t="s">
        <v>197</v>
      </c>
      <c r="D250" t="s">
        <v>196</v>
      </c>
      <c r="K250" t="s">
        <v>60</v>
      </c>
      <c r="L250" t="s">
        <v>69</v>
      </c>
      <c r="M250" t="s">
        <v>67</v>
      </c>
      <c r="N250">
        <v>0</v>
      </c>
    </row>
    <row r="251" spans="1:14" x14ac:dyDescent="0.35">
      <c r="A251" t="s">
        <v>121</v>
      </c>
      <c r="B251">
        <v>4</v>
      </c>
      <c r="C251" t="s">
        <v>120</v>
      </c>
      <c r="M251" t="s">
        <v>43</v>
      </c>
      <c r="N251">
        <v>198.354755374798</v>
      </c>
    </row>
    <row r="252" spans="1:14" x14ac:dyDescent="0.35">
      <c r="A252" t="s">
        <v>121</v>
      </c>
      <c r="B252">
        <v>4</v>
      </c>
      <c r="C252" t="s">
        <v>120</v>
      </c>
      <c r="M252" t="s">
        <v>234</v>
      </c>
      <c r="N252" t="s">
        <v>65</v>
      </c>
    </row>
    <row r="253" spans="1:14" x14ac:dyDescent="0.35">
      <c r="A253" t="s">
        <v>96</v>
      </c>
      <c r="B253">
        <v>4</v>
      </c>
      <c r="C253" t="s">
        <v>120</v>
      </c>
      <c r="M253" t="s">
        <v>234</v>
      </c>
      <c r="N253" t="s">
        <v>65</v>
      </c>
    </row>
    <row r="254" spans="1:14" x14ac:dyDescent="0.35">
      <c r="A254" t="s">
        <v>95</v>
      </c>
      <c r="B254">
        <v>4</v>
      </c>
      <c r="C254" t="s">
        <v>120</v>
      </c>
      <c r="M254" t="s">
        <v>234</v>
      </c>
      <c r="N254" t="s">
        <v>69</v>
      </c>
    </row>
    <row r="255" spans="1:14" x14ac:dyDescent="0.35">
      <c r="A255" t="s">
        <v>233</v>
      </c>
      <c r="B255">
        <v>4</v>
      </c>
      <c r="C255" t="s">
        <v>120</v>
      </c>
      <c r="M255" t="s">
        <v>234</v>
      </c>
      <c r="N255" t="s">
        <v>69</v>
      </c>
    </row>
    <row r="256" spans="1:14" x14ac:dyDescent="0.35">
      <c r="A256" t="s">
        <v>237</v>
      </c>
      <c r="B256">
        <v>5</v>
      </c>
      <c r="C256" t="s">
        <v>122</v>
      </c>
      <c r="M256" t="s">
        <v>123</v>
      </c>
      <c r="N256">
        <v>6.8639406622490401E-3</v>
      </c>
    </row>
    <row r="257" spans="1:14" x14ac:dyDescent="0.35">
      <c r="A257" t="s">
        <v>237</v>
      </c>
      <c r="B257">
        <v>5</v>
      </c>
      <c r="C257" t="s">
        <v>122</v>
      </c>
      <c r="M257" t="s">
        <v>124</v>
      </c>
      <c r="N257">
        <v>297.57986556812102</v>
      </c>
    </row>
    <row r="258" spans="1:14" x14ac:dyDescent="0.35">
      <c r="A258" t="s">
        <v>240</v>
      </c>
      <c r="B258">
        <v>6</v>
      </c>
      <c r="C258" t="s">
        <v>245</v>
      </c>
      <c r="M258" t="s">
        <v>241</v>
      </c>
    </row>
    <row r="259" spans="1:14" x14ac:dyDescent="0.35">
      <c r="A259" t="s">
        <v>240</v>
      </c>
      <c r="B259">
        <v>6</v>
      </c>
      <c r="C259" t="s">
        <v>245</v>
      </c>
      <c r="M259" t="s">
        <v>242</v>
      </c>
    </row>
    <row r="260" spans="1:14" x14ac:dyDescent="0.35">
      <c r="A260" t="s">
        <v>118</v>
      </c>
      <c r="B260">
        <v>7</v>
      </c>
      <c r="C260" t="s">
        <v>246</v>
      </c>
      <c r="I260" t="s">
        <v>119</v>
      </c>
      <c r="M260" t="s">
        <v>247</v>
      </c>
      <c r="N260">
        <v>0.54</v>
      </c>
    </row>
    <row r="261" spans="1:14" x14ac:dyDescent="0.35">
      <c r="A261" t="s">
        <v>118</v>
      </c>
      <c r="B261">
        <v>7</v>
      </c>
      <c r="C261" t="s">
        <v>246</v>
      </c>
      <c r="I261" t="s">
        <v>23</v>
      </c>
      <c r="M261" t="s">
        <v>247</v>
      </c>
      <c r="N261">
        <v>0.54</v>
      </c>
    </row>
    <row r="262" spans="1:14" x14ac:dyDescent="0.35">
      <c r="A262" t="s">
        <v>118</v>
      </c>
      <c r="B262">
        <v>7</v>
      </c>
      <c r="C262" t="s">
        <v>246</v>
      </c>
      <c r="I262" t="s">
        <v>25</v>
      </c>
      <c r="M262" t="s">
        <v>247</v>
      </c>
      <c r="N262">
        <v>0.1</v>
      </c>
    </row>
    <row r="263" spans="1:14" x14ac:dyDescent="0.35">
      <c r="A263" t="s">
        <v>118</v>
      </c>
      <c r="B263">
        <v>7</v>
      </c>
      <c r="C263" t="s">
        <v>246</v>
      </c>
      <c r="I263" t="s">
        <v>26</v>
      </c>
      <c r="M263" t="s">
        <v>247</v>
      </c>
      <c r="N263">
        <v>0.1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D77E8DF26214E8A3D3B6DC2CB3456" ma:contentTypeVersion="10" ma:contentTypeDescription="Create a new document." ma:contentTypeScope="" ma:versionID="540a33700147f10daa2148a31047025c">
  <xsd:schema xmlns:xsd="http://www.w3.org/2001/XMLSchema" xmlns:xs="http://www.w3.org/2001/XMLSchema" xmlns:p="http://schemas.microsoft.com/office/2006/metadata/properties" xmlns:ns2="1bc9650b-f3ad-4a63-850f-e6e893a434d8" targetNamespace="http://schemas.microsoft.com/office/2006/metadata/properties" ma:root="true" ma:fieldsID="78fd43bcea03852b8aad0c2a75101358" ns2:_="">
    <xsd:import namespace="1bc9650b-f3ad-4a63-850f-e6e893a434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9650b-f3ad-4a63-850f-e6e893a434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9D1557-78C6-4D36-9B22-56F8FF3DE2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39740EC-20D4-41D4-B5C2-C428C05D167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1839245-7312-4215-81EF-38C749B1891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6087F3A-6136-4AA1-9D39-CEF9B5F5D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9650b-f3ad-4a63-850f-e6e893a434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References</vt:lpstr>
      <vt:lpstr>Tables</vt:lpstr>
      <vt:lpstr>Baseline</vt:lpstr>
      <vt:lpstr>Projects</vt:lpstr>
      <vt:lpstr>Assumptions</vt:lpstr>
      <vt:lpstr>Costs</vt:lpstr>
      <vt:lpstr>Scenarios</vt:lpstr>
      <vt:lpstr>Advanced</vt:lpstr>
    </vt:vector>
  </TitlesOfParts>
  <Company>Cambridge Systematics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 Vendemiatti</dc:creator>
  <cp:lastModifiedBy>Seth LaRue</cp:lastModifiedBy>
  <dcterms:created xsi:type="dcterms:W3CDTF">2023-12-13T19:36:03Z</dcterms:created>
  <dcterms:modified xsi:type="dcterms:W3CDTF">2024-01-05T23:20:58Z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0x01010074FD77E8DF26214E8A3D3B6DC2CB3456</vt:lpwstr>
  </property>
</Properties>
</file>