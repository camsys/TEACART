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eller\Dropbox\CS\3 - Current Projects\TEA-CART again\"/>
    </mc:Choice>
  </mc:AlternateContent>
  <xr:revisionPtr revIDLastSave="0" documentId="13_ncr:1_{718C498C-B169-427E-AF54-4FB3661CA61B}" xr6:coauthVersionLast="47" xr6:coauthVersionMax="47" xr10:uidLastSave="{00000000-0000-0000-0000-000000000000}"/>
  <bookViews>
    <workbookView xWindow="28680" yWindow="-120" windowWidth="29040" windowHeight="15840" xr2:uid="{8280C5B7-8E95-43D7-B172-FB4701BB1BAF}"/>
  </bookViews>
  <sheets>
    <sheet name="Sheet1" sheetId="1" r:id="rId1"/>
    <sheet name="Sheet2" sheetId="2" r:id="rId2"/>
  </sheets>
  <definedNames>
    <definedName name="_xlnm._FilterDatabase" localSheetId="0" hidden="1">Sheet1!$A$1:$C$43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2" i="1"/>
  <c r="E3" i="2"/>
  <c r="E4" i="2"/>
  <c r="E5" i="2"/>
  <c r="E6" i="2"/>
  <c r="E7" i="2"/>
  <c r="E8" i="2"/>
  <c r="E9" i="2"/>
  <c r="B9" i="1" s="1"/>
  <c r="E10" i="2"/>
  <c r="B10" i="1" s="1"/>
  <c r="E11" i="2"/>
  <c r="E12" i="2"/>
  <c r="E13" i="2"/>
  <c r="E14" i="2"/>
  <c r="E15" i="2"/>
  <c r="E16" i="2"/>
  <c r="E17" i="2"/>
  <c r="B17" i="1" s="1"/>
  <c r="E18" i="2"/>
  <c r="B18" i="1" s="1"/>
  <c r="E19" i="2"/>
  <c r="E20" i="2"/>
  <c r="E21" i="2"/>
  <c r="E22" i="2"/>
  <c r="E23" i="2"/>
  <c r="E24" i="2"/>
  <c r="E25" i="2"/>
  <c r="B25" i="1" s="1"/>
  <c r="E26" i="2"/>
  <c r="B26" i="1" s="1"/>
  <c r="E27" i="2"/>
  <c r="E28" i="2"/>
  <c r="E29" i="2"/>
  <c r="B29" i="1" s="1"/>
  <c r="E30" i="2"/>
  <c r="E31" i="2"/>
  <c r="E32" i="2"/>
  <c r="E33" i="2"/>
  <c r="B33" i="1" s="1"/>
  <c r="E34" i="2"/>
  <c r="B34" i="1" s="1"/>
  <c r="E35" i="2"/>
  <c r="E36" i="2"/>
  <c r="E37" i="2"/>
  <c r="E38" i="2"/>
  <c r="E39" i="2"/>
  <c r="E40" i="2"/>
  <c r="E41" i="2"/>
  <c r="B41" i="1" s="1"/>
  <c r="E42" i="2"/>
  <c r="B42" i="1" s="1"/>
  <c r="E43" i="2"/>
  <c r="E2" i="2"/>
  <c r="B2" i="1" s="1"/>
  <c r="B3" i="1"/>
  <c r="B4" i="1"/>
  <c r="B5" i="1"/>
  <c r="B6" i="1"/>
  <c r="B7" i="1"/>
  <c r="B8" i="1"/>
  <c r="B11" i="1"/>
  <c r="B12" i="1"/>
  <c r="B13" i="1"/>
  <c r="B14" i="1"/>
  <c r="B15" i="1"/>
  <c r="B16" i="1"/>
  <c r="B19" i="1"/>
  <c r="B20" i="1"/>
  <c r="B21" i="1"/>
  <c r="B22" i="1"/>
  <c r="B23" i="1"/>
  <c r="B24" i="1"/>
  <c r="B27" i="1"/>
  <c r="B28" i="1"/>
  <c r="B30" i="1"/>
  <c r="B31" i="1"/>
  <c r="B32" i="1"/>
  <c r="B35" i="1"/>
  <c r="B36" i="1"/>
  <c r="B37" i="1"/>
  <c r="B38" i="1"/>
  <c r="B39" i="1"/>
  <c r="B40" i="1"/>
  <c r="B43" i="1"/>
</calcChain>
</file>

<file path=xl/sharedStrings.xml><?xml version="1.0" encoding="utf-8"?>
<sst xmlns="http://schemas.openxmlformats.org/spreadsheetml/2006/main" count="171" uniqueCount="134">
  <si>
    <t>https://gasprices.aaa.com/</t>
  </si>
  <si>
    <t>https://www.apta.com/research-technical-resources/transit-statistics/vehicle-database/</t>
  </si>
  <si>
    <t>https://greet.es.anl.gov/</t>
  </si>
  <si>
    <t>https://journals.sagepub.com/doi/10.3141/1706-01</t>
  </si>
  <si>
    <t>https://www.airquality.org/ClimateChange/Documents/Handbook%20Public%20Draft_2021-Aug.pdf</t>
  </si>
  <si>
    <t>https://ww2.arb.ca.gov/sites/default/files/classic/fuels/lcfs/guidance/lcfsguidance_20-04.pdf</t>
  </si>
  <si>
    <t>https://journals.sagepub.com/doi/10.1177/0361198118791914</t>
  </si>
  <si>
    <t>https://www.thempc.org/docs/lit/corempo/studies/parkride/2014/aug/tm5.pdf</t>
  </si>
  <si>
    <t>https://www.georgetownclimate.org/files/report/GCC_Investment_Tool.pdf</t>
  </si>
  <si>
    <t>https://www.fdot.gov/programmanagement/estimates/documents/costpermilemodelsreports</t>
  </si>
  <si>
    <t>http://www.pedbikesafe.org/PEDSAFE/index.cfm</t>
  </si>
  <si>
    <t>http://www.pedbikesafe.org/BIKESAFE/index.cfm</t>
  </si>
  <si>
    <t>https://nhts.ornl.gov/assets/2017_nhts_summary_travel_trends.pdf</t>
  </si>
  <si>
    <t>https://www.fhwa.dot.gov/policyinformation/statistics.cfm</t>
  </si>
  <si>
    <t>https://faf.ornl.gov/faf5/</t>
  </si>
  <si>
    <t>https://theicct.org/sites/default/files/publications/ICCT_EV_Charging_Cost_20190813.pdf</t>
  </si>
  <si>
    <t>https://theicct.org/publication/real-world-phev-us-dec22/</t>
  </si>
  <si>
    <t>https://theicct.org/wp-content/uploads/2022/01/cost-ev-vans-pickups-us-2040-jan22.pdf</t>
  </si>
  <si>
    <t>https://pdxscholar.library.pdx.edu/trec_reports/161/</t>
  </si>
  <si>
    <t>New York City Clean School Bus Coalition</t>
  </si>
  <si>
    <t>https://www.nycschoolbus.org/technical-school-bus-need-to-know-1#:~:text=The%20cost%20of%20an%20electric,in%20between%20%2490%2C000%20to%20%24110%2C000.</t>
  </si>
  <si>
    <t>https://www.nrel.gov/docs/fy18osti/71500.pdf</t>
  </si>
  <si>
    <t>https://afdc.energy.gov/files/u/publication/financial_analysis_be_transit_buses.pdf</t>
  </si>
  <si>
    <t>https://www.nrel.gov/docs/fy21osti/71796.pdf</t>
  </si>
  <si>
    <t>https://www.transit.dot.gov/ntd</t>
  </si>
  <si>
    <t>https://tedb.ornl.gov/data/</t>
  </si>
  <si>
    <t>https://www.trb.org/Publications/TCRPReport95.aspx</t>
  </si>
  <si>
    <t>https://www.eia.gov/electricity/state/</t>
  </si>
  <si>
    <t>https://www.eia.gov/outlooks/aeo/</t>
  </si>
  <si>
    <t>https://afdc.energy.gov/data</t>
  </si>
  <si>
    <t>https://afdc.energy.gov/tools</t>
  </si>
  <si>
    <t>https://www.itskrs.its.dot.gov/its/benecost.nsf/ID/5551ecb16b1bc9698525725f007a75d0</t>
  </si>
  <si>
    <t>http://www.reconnectingamerica.org/assets/Uploads/DOTClimateChangeReport-April2010-Volume1and2.pdf</t>
  </si>
  <si>
    <t>https://www.epa.gov/climateleadership/ghg-emission-factors-hub</t>
  </si>
  <si>
    <t>https://escholarship.org/uc/item/1hh9b9mf</t>
  </si>
  <si>
    <t>https://demographics.coopercenter.org/population-data-all-overview</t>
  </si>
  <si>
    <t>Organization</t>
  </si>
  <si>
    <t>Resource</t>
  </si>
  <si>
    <t>Publication year</t>
  </si>
  <si>
    <t>Link</t>
  </si>
  <si>
    <t>2022</t>
  </si>
  <si>
    <t>2019</t>
  </si>
  <si>
    <t>2021</t>
  </si>
  <si>
    <t>2000</t>
  </si>
  <si>
    <t>2020</t>
  </si>
  <si>
    <t>2018</t>
  </si>
  <si>
    <t>2014</t>
  </si>
  <si>
    <t>2023</t>
  </si>
  <si>
    <t>2013</t>
  </si>
  <si>
    <t>2009</t>
  </si>
  <si>
    <t>2015</t>
  </si>
  <si>
    <t>2004</t>
  </si>
  <si>
    <t>2005</t>
  </si>
  <si>
    <t>1997</t>
  </si>
  <si>
    <t>2007</t>
  </si>
  <si>
    <t>2010</t>
  </si>
  <si>
    <t>NHTS</t>
  </si>
  <si>
    <t>National Highway Traffic Safety Administration</t>
  </si>
  <si>
    <t>National Traffic Speeds Survey</t>
  </si>
  <si>
    <t>National Household Travel Survey</t>
  </si>
  <si>
    <t>FHWA</t>
  </si>
  <si>
    <t>U.S. Department of Energy</t>
  </si>
  <si>
    <t>U.S. Department of Energy, Alternative Fuels Data Center</t>
  </si>
  <si>
    <t>Average Fuel Economy by Major Vehicle Category</t>
  </si>
  <si>
    <t>Fuel Properties Comparison</t>
  </si>
  <si>
    <t>N/A</t>
  </si>
  <si>
    <t>National Average Gas Prices.</t>
  </si>
  <si>
    <t>Amtrak</t>
  </si>
  <si>
    <t>FY2019 Monthly Performance Report.</t>
  </si>
  <si>
    <t>American Public Transportation Association</t>
  </si>
  <si>
    <t>Public Transportation Vehicle Database 2019.</t>
  </si>
  <si>
    <t>Argonne National Laboratory. GREET</t>
  </si>
  <si>
    <t>GREET (Greenhouse gases, Regulated Emissions, and Energy use in Technologies Model). Accessed 2021.</t>
  </si>
  <si>
    <t>Barr, L.C.</t>
  </si>
  <si>
    <t>Testing for the significance of induced highway travel demand in metropolitan areas. Transportation Research Record: Journal of the Transportation Research Board, vol. 1706.</t>
  </si>
  <si>
    <t>California Air Pollution Control Officers Association</t>
  </si>
  <si>
    <t>Handbook for Analyzing Greenhouse Gas Emission Reductions, Assessing Climate Vulnerabilities, and Advancing Health and Equity.</t>
  </si>
  <si>
    <t>California Air Resources Board</t>
  </si>
  <si>
    <t>Low Carbon Fuel Standard (LCFS) Guidance 20-04 Requesting EER-Adjusted Carbon Intensity Using a Tier 2 Pathway Application.</t>
  </si>
  <si>
    <t>Cesme, B., R. Roisman, and D. Miller</t>
  </si>
  <si>
    <t>Strategies and Barriers in Effective Bus Lane Implementation and Management: Best Practices for Use in the Greater Washington, D.C. Region. Transportation Research Record 2672:8.</t>
  </si>
  <si>
    <t>Coastal Region MPO</t>
  </si>
  <si>
    <t>Park and Ride Lot Study - Technical Memorandum #5: Financial Analysis and Management Options. Prepared by Connetics Transportation Group, Moffatt &amp; Nichol, and Symbioscity.</t>
  </si>
  <si>
    <t>Cambridge Systematics</t>
  </si>
  <si>
    <t>Transportation Investment Strategy Tool Documentation, 2021. Prepared for Georgetown Climate Center.</t>
  </si>
  <si>
    <t>Florida Department of Transportation</t>
  </si>
  <si>
    <t>Cost Per Mile Models Reports. Accessed June 2023.</t>
  </si>
  <si>
    <t>Federal Highway Administration</t>
  </si>
  <si>
    <t>PEDSAFE: Pedestrian Safety Guide and Countermeasure Selection System.</t>
  </si>
  <si>
    <t>BIKESAFE: Bicycle Safety Guide and Countermeasure Selection System.</t>
  </si>
  <si>
    <t>McGuckin, N. and A. Fucci</t>
  </si>
  <si>
    <t>Summary of Travel Trends: 2017 National Household Travel Survey. U.S. Department of Transportation, Federal Highway Administration, FHWA-PL-18-019.</t>
  </si>
  <si>
    <t>Highway Statistics Series, 2019.</t>
  </si>
  <si>
    <t>Freight Analysis Framework Version 5.</t>
  </si>
  <si>
    <t>Nicholas, M.</t>
  </si>
  <si>
    <t>Estimating electric vehicle charging infrastructure costs across major U.S. metropolitan areas. International Council on Clean Transportation Working Paper 2019-14.</t>
  </si>
  <si>
    <t>Isenstadt, A., et al</t>
  </si>
  <si>
    <t>Real World Usage of Plug-In Hybrid Electric Vehicles. International Council on Clean Transportation.</t>
  </si>
  <si>
    <t>Mulholland, E.</t>
  </si>
  <si>
    <t>Cost of electric commercial vans and pickup trucks in the United States through 2040. International Council on Clean Transportation Working Paper 2022-01.</t>
  </si>
  <si>
    <t>MacArthur, J., C. Cherry, M. Harpool and D. Scheppke.</t>
  </si>
  <si>
    <t>A North American Survey of Electric Bicycle Owners. NITC-RR-1041. Portland, OR: Transportation Research and Education Center (TREC). https://dx.doi.org/10.15760/ trec.197</t>
  </si>
  <si>
    <t>3 Types of Electric School Buses.</t>
  </si>
  <si>
    <t>Mai, T., et al</t>
  </si>
  <si>
    <t>Electrification Futures Study: Scenarios of Electric Technology Adoption and Power Consumption for the United States. Golden, CO: National Renewable Energy Laboratory. NREL/TP-6A20-71500.</t>
  </si>
  <si>
    <t>Johnson, C.; E. Nobler, L. Eudy, and M. Jeffers</t>
  </si>
  <si>
    <t>Financial Analysis of Battery Electric Transit Buses. National Renewable Energy Laboratory Technical Report NREL/TP-5400-74832.</t>
  </si>
  <si>
    <t>Hunter, C., et al</t>
  </si>
  <si>
    <t>Spatial and Temporal Analysis of the Total Cost of Ownership for Class 8 Tractors and Class 4 Parcel Delivery Trucks. National Renewable Energy Laboratory Technical Report NREL/TP-5400-71796.</t>
  </si>
  <si>
    <t>Oak Ridge National Laboratory</t>
  </si>
  <si>
    <t>Transportation Energy Data Book, Edition 40.</t>
  </si>
  <si>
    <t>Evans, J.E., et al</t>
  </si>
  <si>
    <t>TCRP Report 95, Traveler Response to Transportation System Changes. Chapter 9: Transit Scheduling and Frequency. Transportation Research Board, Washington, D.C.</t>
  </si>
  <si>
    <t>Evans, J.E., and R. H. Pratt, et al</t>
  </si>
  <si>
    <t>TCRP Report 95, Traveler Response to Transportation System Changes. Chapter 5: Vanpools and Buspools. Transportation Research Board, Washington, D.C.</t>
  </si>
  <si>
    <t>[U.K.] Highways Agency</t>
  </si>
  <si>
    <t>Design Manual for Roads and Bridges, Volume 12, Section 2, Part 2: Induced Traffic Appraisal.</t>
  </si>
  <si>
    <t>U.S. Department of Energy, Energy Information Administration</t>
  </si>
  <si>
    <t>US Electricity Profile 2021.</t>
  </si>
  <si>
    <t>Annual Energy Outlook Reference Case 2022. Energy Information Administration.</t>
  </si>
  <si>
    <t>Annual Energy Outlook Reference Case 2023. Energy Information Administration.</t>
  </si>
  <si>
    <t>U.S. Department of Transportation</t>
  </si>
  <si>
    <t>The cost of retiming traffic signals in the Washington, DC area is about $3,500 per intersection. ITS Deployment Evaluation, Intelligent Transportation Systems Joint Program Office.</t>
  </si>
  <si>
    <t>Transportation's Role in Reducing U.S. Greenhouse Gas Emissions.</t>
  </si>
  <si>
    <t>U.S. Environmental Protection Agency</t>
  </si>
  <si>
    <t>GHG Emission Factors Hub.</t>
  </si>
  <si>
    <t>Volker, J.N.B., and S.L. Handy</t>
  </si>
  <si>
    <t>Updating the Induced Travel Calculator. National Center for Sustainable Transportation and UC Davis.</t>
  </si>
  <si>
    <t>Weldon Cooper Center for Public Service, Demographics Research Group</t>
  </si>
  <si>
    <t>National Population Projections.</t>
  </si>
  <si>
    <t>Name</t>
  </si>
  <si>
    <t>American Automobile Association (AAA)</t>
  </si>
  <si>
    <t>National Transit Database</t>
  </si>
  <si>
    <t>Federal Transit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</si>
</sst>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 applyAlignment="1">
      <alignment vertical="top" wrapText="1"/>
    </xf>
    <xf numFmtId="0" fontId="0" fillId="3" borderId="0" xfId="0" applyFill="1"/>
  </cellXfs>
  <cellStyles count="2">
    <cellStyle name="Hyperlink 2" xfId="1" xr:uid="{07ED5012-6AD1-42C8-94C1-CB2D4C792F5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B5B7-6594-4B32-9D01-0D9F2F3DF6A4}">
  <dimension ref="A1:C43"/>
  <sheetViews>
    <sheetView tabSelected="1" topLeftCell="A2" workbookViewId="0">
      <selection activeCell="B2" sqref="B2"/>
    </sheetView>
  </sheetViews>
  <sheetFormatPr defaultRowHeight="15" x14ac:dyDescent="0.25"/>
  <cols>
    <col min="1" max="1" width="57" customWidth="1"/>
    <col min="2" max="2" width="127.7109375" customWidth="1"/>
  </cols>
  <sheetData>
    <row r="1" spans="1:3" ht="40.5" customHeight="1" x14ac:dyDescent="0.25">
      <c r="A1" s="2" t="s">
        <v>36</v>
      </c>
      <c r="B1" s="2" t="s">
        <v>37</v>
      </c>
      <c r="C1" s="2" t="s">
        <v>38</v>
      </c>
    </row>
    <row r="2" spans="1:3" x14ac:dyDescent="0.25">
      <c r="A2" t="str">
        <f>Sheet2!A2</f>
        <v>American Automobile Association (AAA)</v>
      </c>
      <c r="B2" t="str">
        <f>Sheet2!E2</f>
        <v>&lt;a href="https://gasprices.aaa.com/", target=_blank"&gt;National Average Gas Prices.&lt;/a&gt;</v>
      </c>
      <c r="C2" t="str">
        <f>Sheet2!C2</f>
        <v>2022</v>
      </c>
    </row>
    <row r="3" spans="1:3" x14ac:dyDescent="0.25">
      <c r="A3" t="str">
        <f>Sheet2!A3</f>
        <v>Amtrak</v>
      </c>
      <c r="B3" t="str">
        <f>Sheet2!E3</f>
        <v>&lt;a href="0", target=_blank"&gt;FY2019 Monthly Performance Report.&lt;/a&gt;</v>
      </c>
      <c r="C3" t="str">
        <f>Sheet2!C3</f>
        <v>2019</v>
      </c>
    </row>
    <row r="4" spans="1:3" x14ac:dyDescent="0.25">
      <c r="A4" t="str">
        <f>Sheet2!A4</f>
        <v>American Public Transportation Association</v>
      </c>
      <c r="B4" t="str">
        <f>Sheet2!E4</f>
        <v>&lt;a href="https://www.apta.com/research-technical-resources/transit-statistics/vehicle-database/", target=_blank"&gt;Public Transportation Vehicle Database 2019.&lt;/a&gt;</v>
      </c>
      <c r="C4" t="str">
        <f>Sheet2!C4</f>
        <v>2019</v>
      </c>
    </row>
    <row r="5" spans="1:3" x14ac:dyDescent="0.25">
      <c r="A5" t="str">
        <f>Sheet2!A5</f>
        <v>Argonne National Laboratory. GREET</v>
      </c>
      <c r="B5" t="str">
        <f>Sheet2!E5</f>
        <v>&lt;a href="https://greet.es.anl.gov/", target=_blank"&gt;GREET (Greenhouse gases, Regulated Emissions, and Energy use in Technologies Model). Accessed 2021.&lt;/a&gt;</v>
      </c>
      <c r="C5" t="str">
        <f>Sheet2!C5</f>
        <v>2021</v>
      </c>
    </row>
    <row r="6" spans="1:3" x14ac:dyDescent="0.25">
      <c r="A6" t="str">
        <f>Sheet2!A6</f>
        <v>Barr, L.C.</v>
      </c>
      <c r="B6" t="str">
        <f>Sheet2!E6</f>
        <v>&lt;a href="https://journals.sagepub.com/doi/10.3141/1706-01", target=_blank"&gt;Testing for the significance of induced highway travel demand in metropolitan areas. Transportation Research Record: Journal of the Transportation Research Board, vol. 1706.&lt;/a&gt;</v>
      </c>
      <c r="C6" t="str">
        <f>Sheet2!C6</f>
        <v>2000</v>
      </c>
    </row>
    <row r="7" spans="1:3" x14ac:dyDescent="0.25">
      <c r="A7" t="str">
        <f>Sheet2!A7</f>
        <v>California Air Pollution Control Officers Association</v>
      </c>
      <c r="B7" t="str">
        <f>Sheet2!E7</f>
        <v>&lt;a href="https://www.airquality.org/ClimateChange/Documents/Handbook%20Public%20Draft_2021-Aug.pdf", target=_blank"&gt;Handbook for Analyzing Greenhouse Gas Emission Reductions, Assessing Climate Vulnerabilities, and Advancing Health and Equity.&lt;/a&gt;</v>
      </c>
      <c r="C7" t="str">
        <f>Sheet2!C7</f>
        <v>2021</v>
      </c>
    </row>
    <row r="8" spans="1:3" x14ac:dyDescent="0.25">
      <c r="A8" t="str">
        <f>Sheet2!A8</f>
        <v>California Air Resources Board</v>
      </c>
      <c r="B8" t="str">
        <f>Sheet2!E8</f>
        <v>&lt;a href="https://ww2.arb.ca.gov/sites/default/files/classic/fuels/lcfs/guidance/lcfsguidance_20-04.pdf", target=_blank"&gt;Low Carbon Fuel Standard (LCFS) Guidance 20-04 Requesting EER-Adjusted Carbon Intensity Using a Tier 2 Pathway Application.&lt;/a&gt;</v>
      </c>
      <c r="C8" t="str">
        <f>Sheet2!C8</f>
        <v>2020</v>
      </c>
    </row>
    <row r="9" spans="1:3" x14ac:dyDescent="0.25">
      <c r="A9" t="str">
        <f>Sheet2!A9</f>
        <v>Cesme, B., R. Roisman, and D. Miller</v>
      </c>
      <c r="B9" t="str">
        <f>Sheet2!E9</f>
        <v>&lt;a href="https://journals.sagepub.com/doi/10.1177/0361198118791914", target=_blank"&gt;Strategies and Barriers in Effective Bus Lane Implementation and Management: Best Practices for Use in the Greater Washington, D.C. Region. Transportation Research Record 2672:8.&lt;/a&gt;</v>
      </c>
      <c r="C9" t="str">
        <f>Sheet2!C9</f>
        <v>2018</v>
      </c>
    </row>
    <row r="10" spans="1:3" x14ac:dyDescent="0.25">
      <c r="A10" t="str">
        <f>Sheet2!A10</f>
        <v>Coastal Region MPO</v>
      </c>
      <c r="B10" t="str">
        <f>Sheet2!E10</f>
        <v>&lt;a href="https://www.thempc.org/docs/lit/corempo/studies/parkride/2014/aug/tm5.pdf", target=_blank"&gt;Park and Ride Lot Study - Technical Memorandum #5: Financial Analysis and Management Options. Prepared by Connetics Transportation Group, Moffatt &amp; Nichol, and Symbioscity.&lt;/a&gt;</v>
      </c>
      <c r="C10" t="str">
        <f>Sheet2!C10</f>
        <v>2014</v>
      </c>
    </row>
    <row r="11" spans="1:3" x14ac:dyDescent="0.25">
      <c r="A11" t="str">
        <f>Sheet2!A11</f>
        <v>Cambridge Systematics</v>
      </c>
      <c r="B11" t="str">
        <f>Sheet2!E11</f>
        <v>&lt;a href="https://www.georgetownclimate.org/files/report/GCC_Investment_Tool.pdf", target=_blank"&gt;Transportation Investment Strategy Tool Documentation, 2021. Prepared for Georgetown Climate Center.&lt;/a&gt;</v>
      </c>
      <c r="C11" t="str">
        <f>Sheet2!C11</f>
        <v>2021</v>
      </c>
    </row>
    <row r="12" spans="1:3" x14ac:dyDescent="0.25">
      <c r="A12" t="str">
        <f>Sheet2!A12</f>
        <v>Florida Department of Transportation</v>
      </c>
      <c r="B12" t="str">
        <f>Sheet2!E12</f>
        <v>&lt;a href="https://www.fdot.gov/programmanagement/estimates/documents/costpermilemodelsreports", target=_blank"&gt;Cost Per Mile Models Reports. Accessed June 2023.&lt;/a&gt;</v>
      </c>
      <c r="C12" t="str">
        <f>Sheet2!C12</f>
        <v>2023</v>
      </c>
    </row>
    <row r="13" spans="1:3" x14ac:dyDescent="0.25">
      <c r="A13" t="str">
        <f>Sheet2!A13</f>
        <v>Federal Highway Administration</v>
      </c>
      <c r="B13" t="str">
        <f>Sheet2!E13</f>
        <v>&lt;a href="http://www.pedbikesafe.org/PEDSAFE/index.cfm", target=_blank"&gt;PEDSAFE: Pedestrian Safety Guide and Countermeasure Selection System.&lt;/a&gt;</v>
      </c>
      <c r="C13" t="str">
        <f>Sheet2!C13</f>
        <v>2013</v>
      </c>
    </row>
    <row r="14" spans="1:3" x14ac:dyDescent="0.25">
      <c r="A14" t="str">
        <f>Sheet2!A14</f>
        <v>Federal Highway Administration</v>
      </c>
      <c r="B14" t="str">
        <f>Sheet2!E14</f>
        <v>&lt;a href="http://www.pedbikesafe.org/BIKESAFE/index.cfm", target=_blank"&gt;BIKESAFE: Bicycle Safety Guide and Countermeasure Selection System.&lt;/a&gt;</v>
      </c>
      <c r="C14" t="str">
        <f>Sheet2!C14</f>
        <v>2014</v>
      </c>
    </row>
    <row r="15" spans="1:3" x14ac:dyDescent="0.25">
      <c r="A15" t="str">
        <f>Sheet2!A15</f>
        <v>McGuckin, N. and A. Fucci</v>
      </c>
      <c r="B15" t="str">
        <f>Sheet2!E15</f>
        <v>&lt;a href="https://nhts.ornl.gov/assets/2017_nhts_summary_travel_trends.pdf", target=_blank"&gt;Summary of Travel Trends: 2017 National Household Travel Survey. U.S. Department of Transportation, Federal Highway Administration, FHWA-PL-18-019.&lt;/a&gt;</v>
      </c>
      <c r="C15" t="str">
        <f>Sheet2!C15</f>
        <v>2018</v>
      </c>
    </row>
    <row r="16" spans="1:3" x14ac:dyDescent="0.25">
      <c r="A16" t="str">
        <f>Sheet2!A16</f>
        <v>Federal Highway Administration</v>
      </c>
      <c r="B16" t="str">
        <f>Sheet2!E16</f>
        <v>&lt;a href="https://www.fhwa.dot.gov/policyinformation/statistics.cfm", target=_blank"&gt;Highway Statistics Series, 2019.&lt;/a&gt;</v>
      </c>
      <c r="C16" t="str">
        <f>Sheet2!C16</f>
        <v>2019</v>
      </c>
    </row>
    <row r="17" spans="1:3" x14ac:dyDescent="0.25">
      <c r="A17" t="str">
        <f>Sheet2!A17</f>
        <v>FHWA</v>
      </c>
      <c r="B17" t="str">
        <f>Sheet2!E17</f>
        <v>&lt;a href="https://faf.ornl.gov/faf5/", target=_blank"&gt;Freight Analysis Framework Version 5.&lt;/a&gt;</v>
      </c>
      <c r="C17" t="str">
        <f>Sheet2!C17</f>
        <v>N/A</v>
      </c>
    </row>
    <row r="18" spans="1:3" x14ac:dyDescent="0.25">
      <c r="A18" t="str">
        <f>Sheet2!A18</f>
        <v>Nicholas, M.</v>
      </c>
      <c r="B18" t="str">
        <f>Sheet2!E18</f>
        <v>&lt;a href="https://theicct.org/sites/default/files/publications/ICCT_EV_Charging_Cost_20190813.pdf", target=_blank"&gt;Estimating electric vehicle charging infrastructure costs across major U.S. metropolitan areas. International Council on Clean Transportation Working Paper 2019-14.&lt;/a&gt;</v>
      </c>
      <c r="C18" t="str">
        <f>Sheet2!C18</f>
        <v>2019</v>
      </c>
    </row>
    <row r="19" spans="1:3" x14ac:dyDescent="0.25">
      <c r="A19" t="str">
        <f>Sheet2!A19</f>
        <v>Isenstadt, A., et al</v>
      </c>
      <c r="B19" t="str">
        <f>Sheet2!E19</f>
        <v>&lt;a href="https://theicct.org/publication/real-world-phev-us-dec22/", target=_blank"&gt;Real World Usage of Plug-In Hybrid Electric Vehicles. International Council on Clean Transportation.&lt;/a&gt;</v>
      </c>
      <c r="C19" t="str">
        <f>Sheet2!C19</f>
        <v>2022</v>
      </c>
    </row>
    <row r="20" spans="1:3" x14ac:dyDescent="0.25">
      <c r="A20" t="str">
        <f>Sheet2!A20</f>
        <v>Mulholland, E.</v>
      </c>
      <c r="B20" t="str">
        <f>Sheet2!E20</f>
        <v>&lt;a href="https://theicct.org/wp-content/uploads/2022/01/cost-ev-vans-pickups-us-2040-jan22.pdf", target=_blank"&gt;Cost of electric commercial vans and pickup trucks in the United States through 2040. International Council on Clean Transportation Working Paper 2022-01.&lt;/a&gt;</v>
      </c>
      <c r="C20" t="str">
        <f>Sheet2!C20</f>
        <v>2022</v>
      </c>
    </row>
    <row r="21" spans="1:3" x14ac:dyDescent="0.25">
      <c r="A21" t="str">
        <f>Sheet2!A21</f>
        <v>MacArthur, J., C. Cherry, M. Harpool and D. Scheppke.</v>
      </c>
      <c r="B21" t="str">
        <f>Sheet2!E21</f>
        <v>&lt;a href="https://pdxscholar.library.pdx.edu/trec_reports/161/", target=_blank"&gt;A North American Survey of Electric Bicycle Owners. NITC-RR-1041. Portland, OR: Transportation Research and Education Center (TREC). https://dx.doi.org/10.15760/ trec.197&lt;/a&gt;</v>
      </c>
      <c r="C21" t="str">
        <f>Sheet2!C21</f>
        <v>2018</v>
      </c>
    </row>
    <row r="22" spans="1:3" x14ac:dyDescent="0.25">
      <c r="A22" t="str">
        <f>Sheet2!A22</f>
        <v>McGuckin, N. and A. Fucci</v>
      </c>
      <c r="B22" t="str">
        <f>Sheet2!E22</f>
        <v>&lt;a href="0", target=_blank"&gt;Summary of Travel Trends: 2017 National Household Travel Survey. U.S. Department of Transportation, Federal Highway Administration, FHWA-PL-18-019.&lt;/a&gt;</v>
      </c>
      <c r="C22" t="str">
        <f>Sheet2!C22</f>
        <v>2018</v>
      </c>
    </row>
    <row r="23" spans="1:3" x14ac:dyDescent="0.25">
      <c r="A23" t="str">
        <f>Sheet2!A23</f>
        <v>New York City Clean School Bus Coalition</v>
      </c>
      <c r="B23" t="str">
        <f>Sheet2!E23</f>
        <v>&lt;a href="https://www.nycschoolbus.org/technical-school-bus-need-to-know-1#:~:text=The%20cost%20of%20an%20electric,in%20between%20%2490%2C000%20to%20%24110%2C000.", target=_blank"&gt;3 Types of Electric School Buses.&lt;/a&gt;</v>
      </c>
      <c r="C23" t="str">
        <f>Sheet2!C23</f>
        <v>N/A</v>
      </c>
    </row>
    <row r="24" spans="1:3" x14ac:dyDescent="0.25">
      <c r="A24" t="str">
        <f>Sheet2!A24</f>
        <v>NHTS</v>
      </c>
      <c r="B24" t="str">
        <f>Sheet2!E24</f>
        <v>&lt;a href="0", target=_blank"&gt;National Household Travel Survey&lt;/a&gt;</v>
      </c>
      <c r="C24" t="str">
        <f>Sheet2!C24</f>
        <v>2009</v>
      </c>
    </row>
    <row r="25" spans="1:3" x14ac:dyDescent="0.25">
      <c r="A25" t="str">
        <f>Sheet2!A25</f>
        <v>National Highway Traffic Safety Administration</v>
      </c>
      <c r="B25" t="str">
        <f>Sheet2!E25</f>
        <v>&lt;a href="0", target=_blank"&gt;National Traffic Speeds Survey&lt;/a&gt;</v>
      </c>
      <c r="C25" t="str">
        <f>Sheet2!C25</f>
        <v>2015</v>
      </c>
    </row>
    <row r="26" spans="1:3" x14ac:dyDescent="0.25">
      <c r="A26" t="str">
        <f>Sheet2!A26</f>
        <v>Mai, T., et al</v>
      </c>
      <c r="B26" t="str">
        <f>Sheet2!E26</f>
        <v>&lt;a href="https://www.nrel.gov/docs/fy18osti/71500.pdf", target=_blank"&gt;Electrification Futures Study: Scenarios of Electric Technology Adoption and Power Consumption for the United States. Golden, CO: National Renewable Energy Laboratory. NREL/TP-6A20-71500.&lt;/a&gt;</v>
      </c>
      <c r="C26" t="str">
        <f>Sheet2!C26</f>
        <v>2018</v>
      </c>
    </row>
    <row r="27" spans="1:3" x14ac:dyDescent="0.25">
      <c r="A27" t="str">
        <f>Sheet2!A27</f>
        <v>Johnson, C.; E. Nobler, L. Eudy, and M. Jeffers</v>
      </c>
      <c r="B27" t="str">
        <f>Sheet2!E27</f>
        <v>&lt;a href="https://afdc.energy.gov/files/u/publication/financial_analysis_be_transit_buses.pdf", target=_blank"&gt;Financial Analysis of Battery Electric Transit Buses. National Renewable Energy Laboratory Technical Report NREL/TP-5400-74832.&lt;/a&gt;</v>
      </c>
      <c r="C27" t="str">
        <f>Sheet2!C27</f>
        <v>2020</v>
      </c>
    </row>
    <row r="28" spans="1:3" x14ac:dyDescent="0.25">
      <c r="A28" t="str">
        <f>Sheet2!A28</f>
        <v>Hunter, C., et al</v>
      </c>
      <c r="B28" t="str">
        <f>Sheet2!E28</f>
        <v>&lt;a href="https://www.nrel.gov/docs/fy21osti/71796.pdf", target=_blank"&gt;Spatial and Temporal Analysis of the Total Cost of Ownership for Class 8 Tractors and Class 4 Parcel Delivery Trucks. National Renewable Energy Laboratory Technical Report NREL/TP-5400-71796.&lt;/a&gt;</v>
      </c>
      <c r="C28" t="str">
        <f>Sheet2!C28</f>
        <v>2021</v>
      </c>
    </row>
    <row r="29" spans="1:3" x14ac:dyDescent="0.25">
      <c r="A29" t="str">
        <f>Sheet2!A29</f>
        <v>Federal Transit Administration</v>
      </c>
      <c r="B29" t="str">
        <f>Sheet2!E29</f>
        <v>&lt;a href="https://www.transit.dot.gov/ntd", target=_blank"&gt;National Transit Database&lt;/a&gt;</v>
      </c>
      <c r="C29" t="str">
        <f>Sheet2!C29</f>
        <v>2019</v>
      </c>
    </row>
    <row r="30" spans="1:3" x14ac:dyDescent="0.25">
      <c r="A30" t="str">
        <f>Sheet2!A30</f>
        <v>Oak Ridge National Laboratory</v>
      </c>
      <c r="B30" t="str">
        <f>Sheet2!E30</f>
        <v>&lt;a href="https://tedb.ornl.gov/data/", target=_blank"&gt;Transportation Energy Data Book, Edition 40.&lt;/a&gt;</v>
      </c>
      <c r="C30" t="str">
        <f>Sheet2!C30</f>
        <v>2022</v>
      </c>
    </row>
    <row r="31" spans="1:3" x14ac:dyDescent="0.25">
      <c r="A31" t="str">
        <f>Sheet2!A31</f>
        <v>Evans, J.E., et al</v>
      </c>
      <c r="B31" t="str">
        <f>Sheet2!E31</f>
        <v>&lt;a href="https://www.trb.org/Publications/TCRPReport95.aspx", target=_blank"&gt;TCRP Report 95, Traveler Response to Transportation System Changes. Chapter 9: Transit Scheduling and Frequency. Transportation Research Board, Washington, D.C.&lt;/a&gt;</v>
      </c>
      <c r="C31" t="str">
        <f>Sheet2!C31</f>
        <v>2004</v>
      </c>
    </row>
    <row r="32" spans="1:3" x14ac:dyDescent="0.25">
      <c r="A32" t="str">
        <f>Sheet2!A32</f>
        <v>Evans, J.E., and R. H. Pratt, et al</v>
      </c>
      <c r="B32" t="str">
        <f>Sheet2!E32</f>
        <v>&lt;a href="https://www.trb.org/Publications/TCRPReport95.aspx", target=_blank"&gt;TCRP Report 95, Traveler Response to Transportation System Changes. Chapter 5: Vanpools and Buspools. Transportation Research Board, Washington, D.C.&lt;/a&gt;</v>
      </c>
      <c r="C32" t="str">
        <f>Sheet2!C32</f>
        <v>2005</v>
      </c>
    </row>
    <row r="33" spans="1:3" x14ac:dyDescent="0.25">
      <c r="A33" t="str">
        <f>Sheet2!A33</f>
        <v>[U.K.] Highways Agency</v>
      </c>
      <c r="B33" t="str">
        <f>Sheet2!E33</f>
        <v>&lt;a href="0", target=_blank"&gt;Design Manual for Roads and Bridges, Volume 12, Section 2, Part 2: Induced Traffic Appraisal.&lt;/a&gt;</v>
      </c>
      <c r="C33" t="str">
        <f>Sheet2!C33</f>
        <v>1997</v>
      </c>
    </row>
    <row r="34" spans="1:3" x14ac:dyDescent="0.25">
      <c r="A34" t="str">
        <f>Sheet2!A34</f>
        <v>U.S. Department of Energy, Energy Information Administration</v>
      </c>
      <c r="B34" t="str">
        <f>Sheet2!E34</f>
        <v>&lt;a href="https://www.eia.gov/electricity/state/", target=_blank"&gt;US Electricity Profile 2021.&lt;/a&gt;</v>
      </c>
      <c r="C34" t="str">
        <f>Sheet2!C34</f>
        <v>2021</v>
      </c>
    </row>
    <row r="35" spans="1:3" x14ac:dyDescent="0.25">
      <c r="A35" t="str">
        <f>Sheet2!A35</f>
        <v>U.S. Department of Energy</v>
      </c>
      <c r="B35" t="str">
        <f>Sheet2!E35</f>
        <v>&lt;a href="https://www.eia.gov/outlooks/aeo/", target=_blank"&gt;Annual Energy Outlook Reference Case 2022. Energy Information Administration.&lt;/a&gt;</v>
      </c>
      <c r="C35" t="str">
        <f>Sheet2!C35</f>
        <v>2022</v>
      </c>
    </row>
    <row r="36" spans="1:3" x14ac:dyDescent="0.25">
      <c r="A36" t="str">
        <f>Sheet2!A36</f>
        <v>U.S. Department of Energy</v>
      </c>
      <c r="B36" t="str">
        <f>Sheet2!E36</f>
        <v>&lt;a href="https://www.eia.gov/outlooks/aeo/", target=_blank"&gt;Annual Energy Outlook Reference Case 2023. Energy Information Administration.&lt;/a&gt;</v>
      </c>
      <c r="C36" t="str">
        <f>Sheet2!C36</f>
        <v>2023</v>
      </c>
    </row>
    <row r="37" spans="1:3" x14ac:dyDescent="0.25">
      <c r="A37" t="str">
        <f>Sheet2!A37</f>
        <v>U.S. Department of Energy, Alternative Fuels Data Center</v>
      </c>
      <c r="B37" t="str">
        <f>Sheet2!E37</f>
        <v>&lt;a href="https://afdc.energy.gov/data", target=_blank"&gt;Average Fuel Economy by Major Vehicle Category&lt;/a&gt;</v>
      </c>
      <c r="C37" t="str">
        <f>Sheet2!C37</f>
        <v>2023</v>
      </c>
    </row>
    <row r="38" spans="1:3" x14ac:dyDescent="0.25">
      <c r="A38" t="str">
        <f>Sheet2!A38</f>
        <v>U.S. Department of Energy, Alternative Fuels Data Center</v>
      </c>
      <c r="B38" t="str">
        <f>Sheet2!E38</f>
        <v>&lt;a href="https://afdc.energy.gov/tools", target=_blank"&gt;Fuel Properties Comparison&lt;/a&gt;</v>
      </c>
      <c r="C38" t="str">
        <f>Sheet2!C38</f>
        <v>2023</v>
      </c>
    </row>
    <row r="39" spans="1:3" x14ac:dyDescent="0.25">
      <c r="A39" t="str">
        <f>Sheet2!A39</f>
        <v>U.S. Department of Transportation</v>
      </c>
      <c r="B39" t="str">
        <f>Sheet2!E39</f>
        <v>&lt;a href="https://www.itskrs.its.dot.gov/its/benecost.nsf/ID/5551ecb16b1bc9698525725f007a75d0", target=_blank"&gt;The cost of retiming traffic signals in the Washington, DC area is about $3,500 per intersection. ITS Deployment Evaluation, Intelligent Transportation Systems Joint Program Office.&lt;/a&gt;</v>
      </c>
      <c r="C39" t="str">
        <f>Sheet2!C39</f>
        <v>2007</v>
      </c>
    </row>
    <row r="40" spans="1:3" x14ac:dyDescent="0.25">
      <c r="A40" t="str">
        <f>Sheet2!A40</f>
        <v>U.S. Department of Transportation</v>
      </c>
      <c r="B40" t="str">
        <f>Sheet2!E40</f>
        <v>&lt;a href="http://www.reconnectingamerica.org/assets/Uploads/DOTClimateChangeReport-April2010-Volume1and2.pdf", target=_blank"&gt;Transportation's Role in Reducing U.S. Greenhouse Gas Emissions.&lt;/a&gt;</v>
      </c>
      <c r="C40" t="str">
        <f>Sheet2!C40</f>
        <v>2010</v>
      </c>
    </row>
    <row r="41" spans="1:3" x14ac:dyDescent="0.25">
      <c r="A41" t="str">
        <f>Sheet2!A41</f>
        <v>U.S. Environmental Protection Agency</v>
      </c>
      <c r="B41" t="str">
        <f>Sheet2!E41</f>
        <v>&lt;a href="https://www.epa.gov/climateleadership/ghg-emission-factors-hub", target=_blank"&gt;GHG Emission Factors Hub.&lt;/a&gt;</v>
      </c>
      <c r="C41" t="str">
        <f>Sheet2!C41</f>
        <v>2023</v>
      </c>
    </row>
    <row r="42" spans="1:3" x14ac:dyDescent="0.25">
      <c r="A42" t="str">
        <f>Sheet2!A42</f>
        <v>Volker, J.N.B., and S.L. Handy</v>
      </c>
      <c r="B42" t="str">
        <f>Sheet2!E42</f>
        <v>&lt;a href="https://escholarship.org/uc/item/1hh9b9mf", target=_blank"&gt;Updating the Induced Travel Calculator. National Center for Sustainable Transportation and UC Davis.&lt;/a&gt;</v>
      </c>
      <c r="C42" t="str">
        <f>Sheet2!C42</f>
        <v>2022</v>
      </c>
    </row>
    <row r="43" spans="1:3" x14ac:dyDescent="0.25">
      <c r="A43" t="str">
        <f>Sheet2!A43</f>
        <v>Weldon Cooper Center for Public Service, Demographics Research Group</v>
      </c>
      <c r="B43" t="str">
        <f>Sheet2!E43</f>
        <v>&lt;a href="https://demographics.coopercenter.org/population-data-all-overview", target=_blank"&gt;National Population Projections.&lt;/a&gt;</v>
      </c>
      <c r="C43" t="str">
        <f>Sheet2!C43</f>
        <v>2018</v>
      </c>
    </row>
  </sheetData>
  <autoFilter ref="A1:C43" xr:uid="{BD7DB5B7-6594-4B32-9D01-0D9F2F3DF6A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5D46-68C3-4992-B64B-B7045A123F2A}">
  <dimension ref="A1:E43"/>
  <sheetViews>
    <sheetView workbookViewId="0"/>
  </sheetViews>
  <sheetFormatPr defaultRowHeight="15" x14ac:dyDescent="0.25"/>
  <cols>
    <col min="1" max="5" width="39.140625" customWidth="1"/>
  </cols>
  <sheetData>
    <row r="1" spans="1:5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130</v>
      </c>
    </row>
    <row r="2" spans="1:5" x14ac:dyDescent="0.25">
      <c r="A2" t="s">
        <v>131</v>
      </c>
      <c r="B2" t="s">
        <v>66</v>
      </c>
      <c r="C2" t="s">
        <v>40</v>
      </c>
      <c r="D2" t="s">
        <v>0</v>
      </c>
      <c r="E2" t="str">
        <f>_xlfn.CONCAT("&lt;a href=",CHAR(34),D2,CHAR(34),", target=_blank",CHAR(34),"&gt;",B2,"&lt;/a&gt;")</f>
        <v>&lt;a href="https://gasprices.aaa.com/", target=_blank"&gt;National Average Gas Prices.&lt;/a&gt;</v>
      </c>
    </row>
    <row r="3" spans="1:5" x14ac:dyDescent="0.25">
      <c r="A3" t="s">
        <v>67</v>
      </c>
      <c r="B3" t="s">
        <v>68</v>
      </c>
      <c r="C3" t="s">
        <v>41</v>
      </c>
      <c r="D3">
        <v>0</v>
      </c>
      <c r="E3" t="str">
        <f t="shared" ref="E3:E43" si="0">_xlfn.CONCAT("&lt;a href=",CHAR(34),D3,CHAR(34),", target=_blank",CHAR(34),"&gt;",B3,"&lt;/a&gt;")</f>
        <v>&lt;a href="0", target=_blank"&gt;FY2019 Monthly Performance Report.&lt;/a&gt;</v>
      </c>
    </row>
    <row r="4" spans="1:5" x14ac:dyDescent="0.25">
      <c r="A4" t="s">
        <v>69</v>
      </c>
      <c r="B4" t="s">
        <v>70</v>
      </c>
      <c r="C4" t="s">
        <v>41</v>
      </c>
      <c r="D4" t="s">
        <v>1</v>
      </c>
      <c r="E4" t="str">
        <f t="shared" si="0"/>
        <v>&lt;a href="https://www.apta.com/research-technical-resources/transit-statistics/vehicle-database/", target=_blank"&gt;Public Transportation Vehicle Database 2019.&lt;/a&gt;</v>
      </c>
    </row>
    <row r="5" spans="1:5" x14ac:dyDescent="0.25">
      <c r="A5" t="s">
        <v>71</v>
      </c>
      <c r="B5" t="s">
        <v>72</v>
      </c>
      <c r="C5" t="s">
        <v>42</v>
      </c>
      <c r="D5" t="s">
        <v>2</v>
      </c>
      <c r="E5" t="str">
        <f t="shared" si="0"/>
        <v>&lt;a href="https://greet.es.anl.gov/", target=_blank"&gt;GREET (Greenhouse gases, Regulated Emissions, and Energy use in Technologies Model). Accessed 2021.&lt;/a&gt;</v>
      </c>
    </row>
    <row r="6" spans="1:5" x14ac:dyDescent="0.25">
      <c r="A6" t="s">
        <v>73</v>
      </c>
      <c r="B6" t="s">
        <v>74</v>
      </c>
      <c r="C6" t="s">
        <v>43</v>
      </c>
      <c r="D6" t="s">
        <v>3</v>
      </c>
      <c r="E6" t="str">
        <f t="shared" si="0"/>
        <v>&lt;a href="https://journals.sagepub.com/doi/10.3141/1706-01", target=_blank"&gt;Testing for the significance of induced highway travel demand in metropolitan areas. Transportation Research Record: Journal of the Transportation Research Board, vol. 1706.&lt;/a&gt;</v>
      </c>
    </row>
    <row r="7" spans="1:5" x14ac:dyDescent="0.25">
      <c r="A7" t="s">
        <v>75</v>
      </c>
      <c r="B7" t="s">
        <v>76</v>
      </c>
      <c r="C7" t="s">
        <v>42</v>
      </c>
      <c r="D7" t="s">
        <v>4</v>
      </c>
      <c r="E7" t="str">
        <f t="shared" si="0"/>
        <v>&lt;a href="https://www.airquality.org/ClimateChange/Documents/Handbook%20Public%20Draft_2021-Aug.pdf", target=_blank"&gt;Handbook for Analyzing Greenhouse Gas Emission Reductions, Assessing Climate Vulnerabilities, and Advancing Health and Equity.&lt;/a&gt;</v>
      </c>
    </row>
    <row r="8" spans="1:5" x14ac:dyDescent="0.25">
      <c r="A8" t="s">
        <v>77</v>
      </c>
      <c r="B8" t="s">
        <v>78</v>
      </c>
      <c r="C8" t="s">
        <v>44</v>
      </c>
      <c r="D8" t="s">
        <v>5</v>
      </c>
      <c r="E8" t="str">
        <f t="shared" si="0"/>
        <v>&lt;a href="https://ww2.arb.ca.gov/sites/default/files/classic/fuels/lcfs/guidance/lcfsguidance_20-04.pdf", target=_blank"&gt;Low Carbon Fuel Standard (LCFS) Guidance 20-04 Requesting EER-Adjusted Carbon Intensity Using a Tier 2 Pathway Application.&lt;/a&gt;</v>
      </c>
    </row>
    <row r="9" spans="1:5" x14ac:dyDescent="0.25">
      <c r="A9" t="s">
        <v>79</v>
      </c>
      <c r="B9" t="s">
        <v>80</v>
      </c>
      <c r="C9" t="s">
        <v>45</v>
      </c>
      <c r="D9" t="s">
        <v>6</v>
      </c>
      <c r="E9" t="str">
        <f t="shared" si="0"/>
        <v>&lt;a href="https://journals.sagepub.com/doi/10.1177/0361198118791914", target=_blank"&gt;Strategies and Barriers in Effective Bus Lane Implementation and Management: Best Practices for Use in the Greater Washington, D.C. Region. Transportation Research Record 2672:8.&lt;/a&gt;</v>
      </c>
    </row>
    <row r="10" spans="1:5" x14ac:dyDescent="0.25">
      <c r="A10" t="s">
        <v>81</v>
      </c>
      <c r="B10" t="s">
        <v>82</v>
      </c>
      <c r="C10" t="s">
        <v>46</v>
      </c>
      <c r="D10" t="s">
        <v>7</v>
      </c>
      <c r="E10" t="str">
        <f t="shared" si="0"/>
        <v>&lt;a href="https://www.thempc.org/docs/lit/corempo/studies/parkride/2014/aug/tm5.pdf", target=_blank"&gt;Park and Ride Lot Study - Technical Memorandum #5: Financial Analysis and Management Options. Prepared by Connetics Transportation Group, Moffatt &amp; Nichol, and Symbioscity.&lt;/a&gt;</v>
      </c>
    </row>
    <row r="11" spans="1:5" x14ac:dyDescent="0.25">
      <c r="A11" t="s">
        <v>83</v>
      </c>
      <c r="B11" t="s">
        <v>84</v>
      </c>
      <c r="C11" t="s">
        <v>42</v>
      </c>
      <c r="D11" t="s">
        <v>8</v>
      </c>
      <c r="E11" t="str">
        <f t="shared" si="0"/>
        <v>&lt;a href="https://www.georgetownclimate.org/files/report/GCC_Investment_Tool.pdf", target=_blank"&gt;Transportation Investment Strategy Tool Documentation, 2021. Prepared for Georgetown Climate Center.&lt;/a&gt;</v>
      </c>
    </row>
    <row r="12" spans="1:5" x14ac:dyDescent="0.25">
      <c r="A12" t="s">
        <v>85</v>
      </c>
      <c r="B12" t="s">
        <v>86</v>
      </c>
      <c r="C12" t="s">
        <v>47</v>
      </c>
      <c r="D12" t="s">
        <v>9</v>
      </c>
      <c r="E12" t="str">
        <f t="shared" si="0"/>
        <v>&lt;a href="https://www.fdot.gov/programmanagement/estimates/documents/costpermilemodelsreports", target=_blank"&gt;Cost Per Mile Models Reports. Accessed June 2023.&lt;/a&gt;</v>
      </c>
    </row>
    <row r="13" spans="1:5" x14ac:dyDescent="0.25">
      <c r="A13" t="s">
        <v>87</v>
      </c>
      <c r="B13" t="s">
        <v>88</v>
      </c>
      <c r="C13" t="s">
        <v>48</v>
      </c>
      <c r="D13" t="s">
        <v>10</v>
      </c>
      <c r="E13" t="str">
        <f t="shared" si="0"/>
        <v>&lt;a href="http://www.pedbikesafe.org/PEDSAFE/index.cfm", target=_blank"&gt;PEDSAFE: Pedestrian Safety Guide and Countermeasure Selection System.&lt;/a&gt;</v>
      </c>
    </row>
    <row r="14" spans="1:5" x14ac:dyDescent="0.25">
      <c r="A14" t="s">
        <v>87</v>
      </c>
      <c r="B14" t="s">
        <v>89</v>
      </c>
      <c r="C14" t="s">
        <v>46</v>
      </c>
      <c r="D14" t="s">
        <v>11</v>
      </c>
      <c r="E14" t="str">
        <f t="shared" si="0"/>
        <v>&lt;a href="http://www.pedbikesafe.org/BIKESAFE/index.cfm", target=_blank"&gt;BIKESAFE: Bicycle Safety Guide and Countermeasure Selection System.&lt;/a&gt;</v>
      </c>
    </row>
    <row r="15" spans="1:5" x14ac:dyDescent="0.25">
      <c r="A15" t="s">
        <v>90</v>
      </c>
      <c r="B15" t="s">
        <v>91</v>
      </c>
      <c r="C15" t="s">
        <v>45</v>
      </c>
      <c r="D15" t="s">
        <v>12</v>
      </c>
      <c r="E15" t="str">
        <f t="shared" si="0"/>
        <v>&lt;a href="https://nhts.ornl.gov/assets/2017_nhts_summary_travel_trends.pdf", target=_blank"&gt;Summary of Travel Trends: 2017 National Household Travel Survey. U.S. Department of Transportation, Federal Highway Administration, FHWA-PL-18-019.&lt;/a&gt;</v>
      </c>
    </row>
    <row r="16" spans="1:5" x14ac:dyDescent="0.25">
      <c r="A16" t="s">
        <v>87</v>
      </c>
      <c r="B16" t="s">
        <v>92</v>
      </c>
      <c r="C16" t="s">
        <v>41</v>
      </c>
      <c r="D16" t="s">
        <v>13</v>
      </c>
      <c r="E16" t="str">
        <f t="shared" si="0"/>
        <v>&lt;a href="https://www.fhwa.dot.gov/policyinformation/statistics.cfm", target=_blank"&gt;Highway Statistics Series, 2019.&lt;/a&gt;</v>
      </c>
    </row>
    <row r="17" spans="1:5" x14ac:dyDescent="0.25">
      <c r="A17" t="s">
        <v>60</v>
      </c>
      <c r="B17" t="s">
        <v>93</v>
      </c>
      <c r="C17" t="s">
        <v>65</v>
      </c>
      <c r="D17" t="s">
        <v>14</v>
      </c>
      <c r="E17" t="str">
        <f t="shared" si="0"/>
        <v>&lt;a href="https://faf.ornl.gov/faf5/", target=_blank"&gt;Freight Analysis Framework Version 5.&lt;/a&gt;</v>
      </c>
    </row>
    <row r="18" spans="1:5" x14ac:dyDescent="0.25">
      <c r="A18" t="s">
        <v>94</v>
      </c>
      <c r="B18" t="s">
        <v>95</v>
      </c>
      <c r="C18" t="s">
        <v>41</v>
      </c>
      <c r="D18" t="s">
        <v>15</v>
      </c>
      <c r="E18" t="str">
        <f t="shared" si="0"/>
        <v>&lt;a href="https://theicct.org/sites/default/files/publications/ICCT_EV_Charging_Cost_20190813.pdf", target=_blank"&gt;Estimating electric vehicle charging infrastructure costs across major U.S. metropolitan areas. International Council on Clean Transportation Working Paper 2019-14.&lt;/a&gt;</v>
      </c>
    </row>
    <row r="19" spans="1:5" x14ac:dyDescent="0.25">
      <c r="A19" t="s">
        <v>96</v>
      </c>
      <c r="B19" t="s">
        <v>97</v>
      </c>
      <c r="C19" t="s">
        <v>40</v>
      </c>
      <c r="D19" t="s">
        <v>16</v>
      </c>
      <c r="E19" t="str">
        <f t="shared" si="0"/>
        <v>&lt;a href="https://theicct.org/publication/real-world-phev-us-dec22/", target=_blank"&gt;Real World Usage of Plug-In Hybrid Electric Vehicles. International Council on Clean Transportation.&lt;/a&gt;</v>
      </c>
    </row>
    <row r="20" spans="1:5" x14ac:dyDescent="0.25">
      <c r="A20" t="s">
        <v>98</v>
      </c>
      <c r="B20" t="s">
        <v>99</v>
      </c>
      <c r="C20" t="s">
        <v>40</v>
      </c>
      <c r="D20" t="s">
        <v>17</v>
      </c>
      <c r="E20" t="str">
        <f t="shared" si="0"/>
        <v>&lt;a href="https://theicct.org/wp-content/uploads/2022/01/cost-ev-vans-pickups-us-2040-jan22.pdf", target=_blank"&gt;Cost of electric commercial vans and pickup trucks in the United States through 2040. International Council on Clean Transportation Working Paper 2022-01.&lt;/a&gt;</v>
      </c>
    </row>
    <row r="21" spans="1:5" x14ac:dyDescent="0.25">
      <c r="A21" t="s">
        <v>100</v>
      </c>
      <c r="B21" t="s">
        <v>101</v>
      </c>
      <c r="C21" t="s">
        <v>45</v>
      </c>
      <c r="D21" t="s">
        <v>18</v>
      </c>
      <c r="E21" t="str">
        <f t="shared" si="0"/>
        <v>&lt;a href="https://pdxscholar.library.pdx.edu/trec_reports/161/", target=_blank"&gt;A North American Survey of Electric Bicycle Owners. NITC-RR-1041. Portland, OR: Transportation Research and Education Center (TREC). https://dx.doi.org/10.15760/ trec.197&lt;/a&gt;</v>
      </c>
    </row>
    <row r="22" spans="1:5" x14ac:dyDescent="0.25">
      <c r="A22" t="s">
        <v>90</v>
      </c>
      <c r="B22" t="s">
        <v>91</v>
      </c>
      <c r="C22" t="s">
        <v>45</v>
      </c>
      <c r="D22">
        <v>0</v>
      </c>
      <c r="E22" t="str">
        <f t="shared" si="0"/>
        <v>&lt;a href="0", target=_blank"&gt;Summary of Travel Trends: 2017 National Household Travel Survey. U.S. Department of Transportation, Federal Highway Administration, FHWA-PL-18-019.&lt;/a&gt;</v>
      </c>
    </row>
    <row r="23" spans="1:5" x14ac:dyDescent="0.25">
      <c r="A23" t="s">
        <v>19</v>
      </c>
      <c r="B23" t="s">
        <v>102</v>
      </c>
      <c r="C23" t="s">
        <v>65</v>
      </c>
      <c r="D23" t="s">
        <v>20</v>
      </c>
      <c r="E23" t="str">
        <f t="shared" si="0"/>
        <v>&lt;a href="https://www.nycschoolbus.org/technical-school-bus-need-to-know-1#:~:text=The%20cost%20of%20an%20electric,in%20between%20%2490%2C000%20to%20%24110%2C000.", target=_blank"&gt;3 Types of Electric School Buses.&lt;/a&gt;</v>
      </c>
    </row>
    <row r="24" spans="1:5" x14ac:dyDescent="0.25">
      <c r="A24" t="s">
        <v>56</v>
      </c>
      <c r="B24" s="1" t="s">
        <v>59</v>
      </c>
      <c r="C24" t="s">
        <v>49</v>
      </c>
      <c r="D24">
        <v>0</v>
      </c>
      <c r="E24" t="str">
        <f t="shared" si="0"/>
        <v>&lt;a href="0", target=_blank"&gt;National Household Travel Survey&lt;/a&gt;</v>
      </c>
    </row>
    <row r="25" spans="1:5" x14ac:dyDescent="0.25">
      <c r="A25" t="s">
        <v>57</v>
      </c>
      <c r="B25" t="s">
        <v>58</v>
      </c>
      <c r="C25" t="s">
        <v>50</v>
      </c>
      <c r="D25">
        <v>0</v>
      </c>
      <c r="E25" t="str">
        <f t="shared" si="0"/>
        <v>&lt;a href="0", target=_blank"&gt;National Traffic Speeds Survey&lt;/a&gt;</v>
      </c>
    </row>
    <row r="26" spans="1:5" x14ac:dyDescent="0.25">
      <c r="A26" t="s">
        <v>103</v>
      </c>
      <c r="B26" t="s">
        <v>104</v>
      </c>
      <c r="C26" t="s">
        <v>45</v>
      </c>
      <c r="D26" t="s">
        <v>21</v>
      </c>
      <c r="E26" t="str">
        <f t="shared" si="0"/>
        <v>&lt;a href="https://www.nrel.gov/docs/fy18osti/71500.pdf", target=_blank"&gt;Electrification Futures Study: Scenarios of Electric Technology Adoption and Power Consumption for the United States. Golden, CO: National Renewable Energy Laboratory. NREL/TP-6A20-71500.&lt;/a&gt;</v>
      </c>
    </row>
    <row r="27" spans="1:5" x14ac:dyDescent="0.25">
      <c r="A27" t="s">
        <v>105</v>
      </c>
      <c r="B27" t="s">
        <v>106</v>
      </c>
      <c r="C27" t="s">
        <v>44</v>
      </c>
      <c r="D27" t="s">
        <v>22</v>
      </c>
      <c r="E27" t="str">
        <f t="shared" si="0"/>
        <v>&lt;a href="https://afdc.energy.gov/files/u/publication/financial_analysis_be_transit_buses.pdf", target=_blank"&gt;Financial Analysis of Battery Electric Transit Buses. National Renewable Energy Laboratory Technical Report NREL/TP-5400-74832.&lt;/a&gt;</v>
      </c>
    </row>
    <row r="28" spans="1:5" x14ac:dyDescent="0.25">
      <c r="A28" t="s">
        <v>107</v>
      </c>
      <c r="B28" t="s">
        <v>108</v>
      </c>
      <c r="C28" t="s">
        <v>42</v>
      </c>
      <c r="D28" t="s">
        <v>23</v>
      </c>
      <c r="E28" t="str">
        <f t="shared" si="0"/>
        <v>&lt;a href="https://www.nrel.gov/docs/fy21osti/71796.pdf", target=_blank"&gt;Spatial and Temporal Analysis of the Total Cost of Ownership for Class 8 Tractors and Class 4 Parcel Delivery Trucks. National Renewable Energy Laboratory Technical Report NREL/TP-5400-71796.&lt;/a&gt;</v>
      </c>
    </row>
    <row r="29" spans="1:5" x14ac:dyDescent="0.25">
      <c r="A29" t="s">
        <v>133</v>
      </c>
      <c r="B29" t="s">
        <v>132</v>
      </c>
      <c r="C29" t="s">
        <v>41</v>
      </c>
      <c r="D29" t="s">
        <v>24</v>
      </c>
      <c r="E29" t="str">
        <f t="shared" si="0"/>
        <v>&lt;a href="https://www.transit.dot.gov/ntd", target=_blank"&gt;National Transit Database&lt;/a&gt;</v>
      </c>
    </row>
    <row r="30" spans="1:5" x14ac:dyDescent="0.25">
      <c r="A30" t="s">
        <v>109</v>
      </c>
      <c r="B30" t="s">
        <v>110</v>
      </c>
      <c r="C30" t="s">
        <v>40</v>
      </c>
      <c r="D30" t="s">
        <v>25</v>
      </c>
      <c r="E30" t="str">
        <f t="shared" si="0"/>
        <v>&lt;a href="https://tedb.ornl.gov/data/", target=_blank"&gt;Transportation Energy Data Book, Edition 40.&lt;/a&gt;</v>
      </c>
    </row>
    <row r="31" spans="1:5" x14ac:dyDescent="0.25">
      <c r="A31" t="s">
        <v>111</v>
      </c>
      <c r="B31" t="s">
        <v>112</v>
      </c>
      <c r="C31" t="s">
        <v>51</v>
      </c>
      <c r="D31" t="s">
        <v>26</v>
      </c>
      <c r="E31" t="str">
        <f t="shared" si="0"/>
        <v>&lt;a href="https://www.trb.org/Publications/TCRPReport95.aspx", target=_blank"&gt;TCRP Report 95, Traveler Response to Transportation System Changes. Chapter 9: Transit Scheduling and Frequency. Transportation Research Board, Washington, D.C.&lt;/a&gt;</v>
      </c>
    </row>
    <row r="32" spans="1:5" x14ac:dyDescent="0.25">
      <c r="A32" t="s">
        <v>113</v>
      </c>
      <c r="B32" t="s">
        <v>114</v>
      </c>
      <c r="C32" t="s">
        <v>52</v>
      </c>
      <c r="D32" t="s">
        <v>26</v>
      </c>
      <c r="E32" t="str">
        <f t="shared" si="0"/>
        <v>&lt;a href="https://www.trb.org/Publications/TCRPReport95.aspx", target=_blank"&gt;TCRP Report 95, Traveler Response to Transportation System Changes. Chapter 5: Vanpools and Buspools. Transportation Research Board, Washington, D.C.&lt;/a&gt;</v>
      </c>
    </row>
    <row r="33" spans="1:5" x14ac:dyDescent="0.25">
      <c r="A33" t="s">
        <v>115</v>
      </c>
      <c r="B33" t="s">
        <v>116</v>
      </c>
      <c r="C33" t="s">
        <v>53</v>
      </c>
      <c r="D33">
        <v>0</v>
      </c>
      <c r="E33" t="str">
        <f t="shared" si="0"/>
        <v>&lt;a href="0", target=_blank"&gt;Design Manual for Roads and Bridges, Volume 12, Section 2, Part 2: Induced Traffic Appraisal.&lt;/a&gt;</v>
      </c>
    </row>
    <row r="34" spans="1:5" x14ac:dyDescent="0.25">
      <c r="A34" t="s">
        <v>117</v>
      </c>
      <c r="B34" t="s">
        <v>118</v>
      </c>
      <c r="C34" t="s">
        <v>42</v>
      </c>
      <c r="D34" t="s">
        <v>27</v>
      </c>
      <c r="E34" t="str">
        <f t="shared" si="0"/>
        <v>&lt;a href="https://www.eia.gov/electricity/state/", target=_blank"&gt;US Electricity Profile 2021.&lt;/a&gt;</v>
      </c>
    </row>
    <row r="35" spans="1:5" x14ac:dyDescent="0.25">
      <c r="A35" t="s">
        <v>61</v>
      </c>
      <c r="B35" t="s">
        <v>119</v>
      </c>
      <c r="C35" t="s">
        <v>40</v>
      </c>
      <c r="D35" t="s">
        <v>28</v>
      </c>
      <c r="E35" t="str">
        <f t="shared" si="0"/>
        <v>&lt;a href="https://www.eia.gov/outlooks/aeo/", target=_blank"&gt;Annual Energy Outlook Reference Case 2022. Energy Information Administration.&lt;/a&gt;</v>
      </c>
    </row>
    <row r="36" spans="1:5" x14ac:dyDescent="0.25">
      <c r="A36" t="s">
        <v>61</v>
      </c>
      <c r="B36" t="s">
        <v>120</v>
      </c>
      <c r="C36" t="s">
        <v>47</v>
      </c>
      <c r="D36" t="s">
        <v>28</v>
      </c>
      <c r="E36" t="str">
        <f t="shared" si="0"/>
        <v>&lt;a href="https://www.eia.gov/outlooks/aeo/", target=_blank"&gt;Annual Energy Outlook Reference Case 2023. Energy Information Administration.&lt;/a&gt;</v>
      </c>
    </row>
    <row r="37" spans="1:5" x14ac:dyDescent="0.25">
      <c r="A37" t="s">
        <v>62</v>
      </c>
      <c r="B37" t="s">
        <v>63</v>
      </c>
      <c r="C37" t="s">
        <v>47</v>
      </c>
      <c r="D37" t="s">
        <v>29</v>
      </c>
      <c r="E37" t="str">
        <f t="shared" si="0"/>
        <v>&lt;a href="https://afdc.energy.gov/data", target=_blank"&gt;Average Fuel Economy by Major Vehicle Category&lt;/a&gt;</v>
      </c>
    </row>
    <row r="38" spans="1:5" x14ac:dyDescent="0.25">
      <c r="A38" t="s">
        <v>62</v>
      </c>
      <c r="B38" t="s">
        <v>64</v>
      </c>
      <c r="C38" t="s">
        <v>47</v>
      </c>
      <c r="D38" t="s">
        <v>30</v>
      </c>
      <c r="E38" t="str">
        <f t="shared" si="0"/>
        <v>&lt;a href="https://afdc.energy.gov/tools", target=_blank"&gt;Fuel Properties Comparison&lt;/a&gt;</v>
      </c>
    </row>
    <row r="39" spans="1:5" x14ac:dyDescent="0.25">
      <c r="A39" t="s">
        <v>121</v>
      </c>
      <c r="B39" t="s">
        <v>122</v>
      </c>
      <c r="C39" t="s">
        <v>54</v>
      </c>
      <c r="D39" t="s">
        <v>31</v>
      </c>
      <c r="E39" t="str">
        <f t="shared" si="0"/>
        <v>&lt;a href="https://www.itskrs.its.dot.gov/its/benecost.nsf/ID/5551ecb16b1bc9698525725f007a75d0", target=_blank"&gt;The cost of retiming traffic signals in the Washington, DC area is about $3,500 per intersection. ITS Deployment Evaluation, Intelligent Transportation Systems Joint Program Office.&lt;/a&gt;</v>
      </c>
    </row>
    <row r="40" spans="1:5" x14ac:dyDescent="0.25">
      <c r="A40" t="s">
        <v>121</v>
      </c>
      <c r="B40" t="s">
        <v>123</v>
      </c>
      <c r="C40" t="s">
        <v>55</v>
      </c>
      <c r="D40" t="s">
        <v>32</v>
      </c>
      <c r="E40" t="str">
        <f t="shared" si="0"/>
        <v>&lt;a href="http://www.reconnectingamerica.org/assets/Uploads/DOTClimateChangeReport-April2010-Volume1and2.pdf", target=_blank"&gt;Transportation's Role in Reducing U.S. Greenhouse Gas Emissions.&lt;/a&gt;</v>
      </c>
    </row>
    <row r="41" spans="1:5" x14ac:dyDescent="0.25">
      <c r="A41" t="s">
        <v>124</v>
      </c>
      <c r="B41" t="s">
        <v>125</v>
      </c>
      <c r="C41" t="s">
        <v>47</v>
      </c>
      <c r="D41" t="s">
        <v>33</v>
      </c>
      <c r="E41" t="str">
        <f t="shared" si="0"/>
        <v>&lt;a href="https://www.epa.gov/climateleadership/ghg-emission-factors-hub", target=_blank"&gt;GHG Emission Factors Hub.&lt;/a&gt;</v>
      </c>
    </row>
    <row r="42" spans="1:5" x14ac:dyDescent="0.25">
      <c r="A42" t="s">
        <v>126</v>
      </c>
      <c r="B42" t="s">
        <v>127</v>
      </c>
      <c r="C42" t="s">
        <v>40</v>
      </c>
      <c r="D42" t="s">
        <v>34</v>
      </c>
      <c r="E42" t="str">
        <f t="shared" si="0"/>
        <v>&lt;a href="https://escholarship.org/uc/item/1hh9b9mf", target=_blank"&gt;Updating the Induced Travel Calculator. National Center for Sustainable Transportation and UC Davis.&lt;/a&gt;</v>
      </c>
    </row>
    <row r="43" spans="1:5" x14ac:dyDescent="0.25">
      <c r="A43" t="s">
        <v>128</v>
      </c>
      <c r="B43" t="s">
        <v>129</v>
      </c>
      <c r="C43" t="s">
        <v>45</v>
      </c>
      <c r="D43" t="s">
        <v>35</v>
      </c>
      <c r="E43" t="str">
        <f t="shared" si="0"/>
        <v>&lt;a href="https://demographics.coopercenter.org/population-data-all-overview", target=_blank"&gt;National Population Projections.&lt;/a&gt;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Adrienne Heller</dc:creator>
  <cp:lastModifiedBy>Adrienne Heller</cp:lastModifiedBy>
  <dcterms:created xsi:type="dcterms:W3CDTF">2023-10-14T06:24:47Z</dcterms:created>
  <dcterms:modified xsi:type="dcterms:W3CDTF">2023-12-13T22:31:09Z</dcterms:modified>
</cp:coreProperties>
</file>