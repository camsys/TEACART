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TEACART\"/>
    </mc:Choice>
  </mc:AlternateContent>
  <xr:revisionPtr revIDLastSave="0" documentId="13_ncr:1_{8226D20D-B399-4F20-8131-E6551AC72AC3}" xr6:coauthVersionLast="47" xr6:coauthVersionMax="47" xr10:uidLastSave="{00000000-0000-0000-0000-000000000000}"/>
  <bookViews>
    <workbookView xWindow="57480" yWindow="-120" windowWidth="29040" windowHeight="15840" tabRatio="643" activeTab="3" xr2:uid="{7ED227F8-E8D7-4F0B-9DDD-FC991517E453}"/>
  </bookViews>
  <sheets>
    <sheet name="References" sheetId="5" r:id="rId1"/>
    <sheet name="Key_Inputs" sheetId="6" r:id="rId2"/>
    <sheet name="Assumptions" sheetId="1" r:id="rId3"/>
    <sheet name="Capital_Project_Inputs" sheetId="2" r:id="rId4"/>
    <sheet name="Cost_Parameters" sheetId="3" r:id="rId5"/>
    <sheet name="Baseline_Parameters" sheetId="4" r:id="rId6"/>
  </sheets>
  <externalReferences>
    <externalReference r:id="rId7"/>
  </externalReferences>
  <definedNames>
    <definedName name="ExternalData_14" localSheetId="2" hidden="1">Assumptions!$A$1:$J$99</definedName>
    <definedName name="ExternalData_6" localSheetId="5" hidden="1">Baseline_Parameters!$A$1:$E$9</definedName>
    <definedName name="ExternalData_8" localSheetId="3" hidden="1">'Capital_Project_Inputs'!$A$1:$N$232</definedName>
    <definedName name="ExternalData_9" localSheetId="4" hidden="1">Cost_Parameters!$A$1:$J$137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2" l="1" a="1"/>
  <c r="P7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<sst xmlns="http://schemas.openxmlformats.org/spreadsheetml/2006/main" count="2228" uniqueCount="165">
  <si>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</si>
  <si>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</si>
  <si>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</si>
  <si>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</si>
  <si>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</si>
  <si>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</si>
  <si>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</si>
  <si>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</si>
  <si>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</si>
  <si>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Core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</si>
  <si>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</si>
  <si>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</si>
  <si>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</si>
  <si>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</si>
  <si>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</si>
  <si>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</si>
  <si>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</si>
  <si>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</si>
  <si>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</si>
  <si>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</si>
  <si>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</si>
  <si>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</si>
  <si>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</si>
  <si>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</si>
  <si>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</si>
  <si>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</si>
  <si>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</si>
  <si>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</si>
  <si>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</si>
  <si>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</si>
  <si>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</si>
  <si>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</si>
  <si>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</si>
  <si>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</si>
  <si>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</si>
  <si>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</si>
  <si>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</si>
  <si>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</si>
  <si>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</si>
  <si>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</si>
  <si>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</si>
  <si>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</si>
  <si>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</si>
  <si>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</si>
  <si>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</si>
  <si>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</si>
  <si>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</si>
  <si>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</si>
  <si>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</si>
  <si>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</si>
  <si>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</si>
  <si>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</si>
  <si>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</si>
  <si>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</si>
  <si>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</si>
  <si>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</si>
  <si>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</si>
  <si>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</si>
  <si>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</si>
  <si>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</si>
  <si>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</si>
  <si>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</si>
  <si>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Light rail/streetcar</t>
  </si>
  <si>
    <t>Heavy rail</t>
  </si>
  <si>
    <t>Commuter rail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</si>
  <si>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</si>
  <si>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</si>
  <si>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</si>
  <si>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</si>
  <si>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</si>
  <si>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</si>
  <si>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</si>
  <si>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</si>
  <si>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</si>
  <si>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</si>
  <si>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</si>
  <si>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new_miles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</si>
  <si>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</si>
  <si>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</si>
  <si>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</si>
  <si>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</si>
  <si>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</si>
  <si>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</si>
  <si>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</si>
  <si>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</si>
  <si>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</si>
  <si>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intermodal_ivestment</t>
  </si>
  <si>
    <t>Traffic Operations</t>
  </si>
  <si>
    <t>new_improvements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</si>
  <si>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</si>
  <si>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</si>
  <si>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</si>
  <si>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</si>
  <si>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</si>
  <si>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</si>
  <si>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</si>
  <si>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</si>
  <si>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</si>
  <si>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</si>
  <si>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</si>
  <si>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</si>
  <si>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</si>
  <si>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</si>
  <si>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</si>
  <si>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</si>
  <si>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</si>
  <si>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</si>
  <si>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</si>
  <si>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</si>
  <si>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</si>
  <si>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</si>
  <si>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</si>
  <si>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</si>
  <si>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</si>
  <si>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</si>
  <si>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Traffic Operations - Intersection</t>
  </si>
  <si>
    <t>New or retimed signal</t>
  </si>
  <si>
    <t>cost_per_employment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</si>
  <si>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</si>
  <si>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</si>
  <si>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</si>
  <si>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</si>
  <si>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</si>
  <si>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</si>
  <si>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</si>
  <si>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Car</t>
  </si>
  <si>
    <t>pct_phev_on_electricity</t>
  </si>
  <si>
    <t>Passenger Rail</t>
  </si>
  <si>
    <t>Amtrak</t>
  </si>
  <si>
    <t>average_trip_length_mi</t>
  </si>
  <si>
    <t>Electricity Grid Emissions</t>
  </si>
  <si>
    <t>net_zero_target_year</t>
  </si>
  <si>
    <t>Freight Rail</t>
  </si>
  <si>
    <t>growth_rate</t>
  </si>
  <si>
    <t>energy_intensity</t>
  </si>
  <si>
    <t>Field</t>
  </si>
  <si>
    <t>Description</t>
  </si>
  <si>
    <t>Units</t>
  </si>
  <si>
    <t>List of Possible Values (if primary key)</t>
  </si>
  <si>
    <t>field1_computer_name</t>
  </si>
  <si>
    <t>Field 1 Title Name</t>
  </si>
  <si>
    <t>state</t>
  </si>
  <si>
    <t>base_year</t>
  </si>
  <si>
    <t>horizong_year_1</t>
  </si>
  <si>
    <t>horizon_year_2</t>
  </si>
  <si>
    <t>horizon_year_3</t>
  </si>
  <si>
    <t>system_scope</t>
  </si>
  <si>
    <t>include_electricity</t>
  </si>
  <si>
    <t>include_upstream_fuels</t>
  </si>
  <si>
    <t>Maryland</t>
  </si>
  <si>
    <t>All Roadways</t>
  </si>
  <si>
    <t>display_unit</t>
  </si>
  <si>
    <t>Lane Miles of New Infrastructure</t>
  </si>
  <si>
    <t>Charging ports</t>
  </si>
  <si>
    <t>Vehicles replaced</t>
  </si>
  <si>
    <t>Freight Intermodal Facilities</t>
  </si>
  <si>
    <t>New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</si>
  <si>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</si>
  <si>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</si>
  <si>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</si>
  <si>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</si>
  <si>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</si>
  <si>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</si>
  <si>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</si>
  <si>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table 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</si>
</sst>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0" fontId="0" fillId="2" borderId="0" xfId="0" applyFill="1"/>
    <xf numFmtId="0" fontId="2" fillId="0" borderId="0" xfId="0" applyFont="1"/>
    <xf numFmtId="1" fontId="0" fillId="0" borderId="0" xfId="0" applyNumberFormat="1"/>
    <xf numFmtId="1" fontId="3" fillId="0" borderId="0" xfId="1" applyNumberFormat="1" applyFont="1"/>
  </cellXfs>
  <cellStyles count="2">
    <cellStyle name="Comma 2" xfId="1" xr:uid="{FD569F20-4BBB-467F-AADF-315D8A75F8BC}"/>
    <cellStyle name="Normal" xfId="0" builtinId="0"/>
  </cellStyles>
  <dxfs count="3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1">
    <queryTableFields count="10">
      <queryTableField id="1" name="category" tableColumnId="1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2" dataBound="0" tableColumnId="12"/>
      <queryTableField id="10" name="Attribute" tableColumnId="10"/>
      <queryTableField id="11" name="Value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1">
    <queryTableFields count="10">
      <queryTableField id="1" name="category" tableColumnId="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3" xr16:uid="{3BA7C270-3461-4D0A-B0EA-A473F5C97A93}" autoFormatId="16" applyNumberFormats="0" applyBorderFormats="0" applyFontFormats="0" applyPatternFormats="0" applyAlignmentFormats="0" applyWidthHeightFormats="0">
  <queryTableRefresh nextId="6">
    <queryTableFields count="5">
      <queryTableField id="1" name="category" tableColumnId="1"/>
      <queryTableField id="2" name="veh_type" tableColumnId="2"/>
      <queryTableField id="3" name="fuel_type" tableColumnId="3"/>
      <queryTableField id="4" name="Attribute" tableColumnId="4"/>
      <queryTableField id="5" name="Value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H2" totalsRowShown="0">
  <autoFilter ref="A1:H2" xr:uid="{4F426ABF-DCCB-4752-B294-FF261C891BC6}"/>
  <tableColumns count="8">
    <tableColumn id="1" xr3:uid="{BFA24F73-AFFC-4C68-924D-A7EFEBB93783}" name="state"/>
    <tableColumn id="2" xr3:uid="{86E029DC-C8AD-4B29-A751-FA18A1E32745}" name="base_year"/>
    <tableColumn id="7" xr3:uid="{C09662D7-AB21-4D0B-B9A8-985838C49C33}" name="horizong_year_1" dataDxfId="33"/>
    <tableColumn id="8" xr3:uid="{927D12FA-E6E4-40ED-AB5A-2B742A6ED84E}" name="horizon_year_2" dataDxfId="32"/>
    <tableColumn id="3" xr3:uid="{9BEACC32-3B49-40DA-9E88-0B4D191589E2}" name="horizon_year_3" dataDxfId="31"/>
    <tableColumn id="4" xr3:uid="{C62DCC36-03E0-418F-AE14-A35B95B38D48}" name="system_scope"/>
    <tableColumn id="5" xr3:uid="{9EFB240B-D07D-4429-8752-B7A96D3D7BFC}" name="include_electricity"/>
    <tableColumn id="6" xr3:uid="{2F26DC44-C0E0-42AC-9BF6-F8250946863C}" name="include_upstream_fuels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J99" tableType="queryTable" totalsRowShown="0">
  <autoFilter ref="A1:J99" xr:uid="{A297C3A8-46EE-44EB-9FBA-E6FC8F755E4E}"/>
  <tableColumns count="10">
    <tableColumn id="1" xr3:uid="{4BD1A21D-E3E5-4384-89EB-562B00E4DF63}" uniqueName="1" name="category" queryTableFieldId="1" dataDxfId="30"/>
    <tableColumn id="2" xr3:uid="{E543836E-F07B-43F7-95A1-AC11FA8DE3A2}" uniqueName="2" name="area_type" queryTableFieldId="2" dataDxfId="29"/>
    <tableColumn id="3" xr3:uid="{5BAE7A67-94B0-49B6-9459-27C6915F8CB9}" uniqueName="3" name="DCFC_level" queryTableFieldId="3" dataDxfId="28"/>
    <tableColumn id="4" xr3:uid="{6485FBC9-3EC7-4BCB-BC6E-9258C767FA56}" uniqueName="4" name="mode_type" queryTableFieldId="4" dataDxfId="27"/>
    <tableColumn id="5" xr3:uid="{8A7C5B7F-E699-49A1-8271-DB8397E82D07}" uniqueName="5" name="veh_type" queryTableFieldId="5" dataDxfId="26"/>
    <tableColumn id="6" xr3:uid="{4DF23E9A-124F-45BA-BE19-7AD648B3F71B}" uniqueName="6" name="road_class" queryTableFieldId="6" dataDxfId="25"/>
    <tableColumn id="7" xr3:uid="{DB5E30D1-BEA1-41DA-84F3-C92DDE82466A}" uniqueName="7" name="transit_mode" queryTableFieldId="7" dataDxfId="24"/>
    <tableColumn id="8" xr3:uid="{8F66E45A-BFB4-40A7-BBB4-A529260C81B4}" uniqueName="8" name="fuel_type" queryTableFieldId="8" dataDxfId="23"/>
    <tableColumn id="9" xr3:uid="{90422CDB-125C-4279-970D-BF19B95DE434}" uniqueName="9" name="field" queryTableFieldId="9" dataDxfId="22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N232" tableType="queryTable" totalsRowShown="0">
  <autoFilter ref="A1:N232" xr:uid="{68072E4F-E6E1-4BE3-86C3-20AEB7497CCB}"/>
  <tableColumns count="14">
    <tableColumn id="1" xr3:uid="{744B819E-05F1-41E4-A27E-6DECFD63BF86}" uniqueName="1" name="category" queryTableFieldId="1" dataDxfId="21"/>
    <tableColumn id="16" xr3:uid="{890BEFF7-A9A4-4CFF-A4F0-C90AF3CE3183}" uniqueName="16" name="table #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0"/>
    <tableColumn id="4" xr3:uid="{B620AAD0-B9A4-4177-8F0E-7C5D0A04C72C}" uniqueName="4" name="cap_proj_type" queryTableFieldId="4" dataDxfId="19"/>
    <tableColumn id="5" xr3:uid="{65B39EA0-1134-49BF-BFF6-CDF5BACD108C}" uniqueName="5" name="DCFC_level" queryTableFieldId="5" dataDxfId="18"/>
    <tableColumn id="6" xr3:uid="{D91B8D64-EE26-4F7F-B4D8-8621ACF6CD4E}" uniqueName="6" name="veh_type" queryTableFieldId="6" dataDxfId="17"/>
    <tableColumn id="7" xr3:uid="{EF16A9DF-60D7-403C-ABBD-748A320C6274}" uniqueName="7" name="fuel_type" queryTableFieldId="7" dataDxfId="16"/>
    <tableColumn id="8" xr3:uid="{00A1DE04-2630-431D-8192-A33FECA0793E}" uniqueName="8" name="road_class" queryTableFieldId="8" dataDxfId="15"/>
    <tableColumn id="9" xr3:uid="{96FECE33-0AB7-44CD-A867-E27AFFB4C993}" uniqueName="9" name="transit_mode" queryTableFieldId="9" dataDxfId="14"/>
    <tableColumn id="12" xr3:uid="{40DBB9FF-9A80-42E5-856D-4C40CD768358}" uniqueName="12" name="display_unit" queryTableFieldId="12"/>
    <tableColumn id="10" xr3:uid="{733DE83A-6E8B-4EA6-9AF5-EFE496246852}" uniqueName="10" name="field" queryTableFieldId="10" dataDxfId="1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_UNPIVOTED" displayName="Cost_Parameters_UNPIVOTED" ref="A1:J137" tableType="queryTable" totalsRowShown="0">
  <autoFilter ref="A1:J137" xr:uid="{99BBE325-1C6F-4C09-9176-7A99DAB4A822}"/>
  <tableColumns count="10">
    <tableColumn id="1" xr3:uid="{3DD42230-3709-454B-BD0B-FA6259CCBFFB}" uniqueName="1" name="category" queryTableFieldId="1" dataDxfId="12"/>
    <tableColumn id="2" xr3:uid="{C18D127F-55B0-4901-B4FB-0ECE3954A02D}" uniqueName="2" name="road_class" queryTableFieldId="2" dataDxfId="11"/>
    <tableColumn id="3" xr3:uid="{2C320ACC-55F9-4140-A2B2-DEDF98996BCA}" uniqueName="3" name="area_type" queryTableFieldId="3" dataDxfId="10"/>
    <tableColumn id="4" xr3:uid="{AC7F2C49-14CA-4996-8271-682F1343288D}" uniqueName="4" name="DCFC_level" queryTableFieldId="4" dataDxfId="9"/>
    <tableColumn id="5" xr3:uid="{6A8A0521-2C1E-4347-953A-D3775D7F1C43}" uniqueName="5" name="fuel_type" queryTableFieldId="5" dataDxfId="8"/>
    <tableColumn id="6" xr3:uid="{67D964C1-9292-43FF-AC61-B6E3E6E946BF}" uniqueName="6" name="veh_type" queryTableFieldId="6" dataDxfId="7"/>
    <tableColumn id="7" xr3:uid="{E4C68F3F-3359-4B87-8521-F20B6D03FC1D}" uniqueName="7" name="cap_proj_type" queryTableFieldId="7" dataDxfId="6"/>
    <tableColumn id="8" xr3:uid="{54747636-0341-4D9D-BAE4-FAB2EF045F9F}" uniqueName="8" name="transit_mode" queryTableFieldId="8" dataDxfId="5"/>
    <tableColumn id="9" xr3:uid="{54500AF0-1791-4CF6-B7C0-40335E914486}" uniqueName="9" name="field" queryTableFieldId="9" dataDxfId="4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3DB38E-928F-41C3-87BA-C2742460B78C}" name="Baseline_Parameters_UNPIVOTED" displayName="Baseline_Parameters_UNPIVOTED" ref="A1:E9" tableType="queryTable" totalsRowShown="0">
  <autoFilter ref="A1:E9" xr:uid="{573DB38E-928F-41C3-87BA-C2742460B78C}"/>
  <tableColumns count="5">
    <tableColumn id="1" xr3:uid="{E18F78C7-7A8E-43EC-8485-676D808D1AD9}" uniqueName="1" name="category" queryTableFieldId="1" dataDxfId="3"/>
    <tableColumn id="2" xr3:uid="{5D0A65C9-EC73-4E2C-A15E-8996FF004529}" uniqueName="2" name="veh_type" queryTableFieldId="2" dataDxfId="2"/>
    <tableColumn id="3" xr3:uid="{F2CCFA1B-1B52-4577-A140-FB39189B2602}" uniqueName="3" name="fuel_type" queryTableFieldId="3" dataDxfId="1"/>
    <tableColumn id="4" xr3:uid="{E4BC25DB-8593-42E9-9E98-A1CD7F7AB084}" uniqueName="4" name="field" queryTableFieldId="4" dataDxfId="0"/>
    <tableColumn id="5" xr3:uid="{88DF13A3-0CF3-4453-871D-45FEF12BF9D1}" uniqueName="5" name="value" queryTableFieldId="5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J4"/>
  <sheetViews>
    <sheetView workbookViewId="0">
      <selection activeCell="A3" sqref="A3"/>
    </sheetView>
  </sheetViews>
  <sheetFormatPr defaultRowHeight="15" x14ac:dyDescent="0.25"/>
  <cols>
    <col min="1" max="1" width="20.42578125" bestFit="1" customWidth="1"/>
    <col min="2" max="2" width="15.5703125" bestFit="1" customWidth="1"/>
    <col min="4" max="4" width="32.42578125" bestFit="1" customWidth="1"/>
    <col min="6" max="6" width="11.5703125" bestFit="1" customWidth="1"/>
    <col min="10" max="10" width="24.7109375" customWidth="1"/>
  </cols>
  <sheetData>
    <row r="1" spans="1:10" x14ac:dyDescent="0.25">
      <c r="A1" t="s">
        <v>135</v>
      </c>
      <c r="B1" t="s">
        <v>136</v>
      </c>
      <c r="C1" t="s">
        <v>137</v>
      </c>
      <c r="D1" t="s">
        <v>138</v>
      </c>
    </row>
    <row r="2" spans="1:10" x14ac:dyDescent="0.25">
      <c r="A2" t="s">
        <v>139</v>
      </c>
      <c r="B2" t="s">
        <v>140</v>
      </c>
    </row>
    <row r="4" spans="1:10" x14ac:dyDescent="0.25">
      <c r="J4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H2"/>
  <sheetViews>
    <sheetView workbookViewId="0">
      <selection activeCell="F17" sqref="F17"/>
    </sheetView>
  </sheetViews>
  <sheetFormatPr defaultColWidth="10.85546875" defaultRowHeight="15" x14ac:dyDescent="0.25"/>
  <cols>
    <col min="1" max="1" width="11" customWidth="1"/>
    <col min="2" max="4" width="14.7109375" customWidth="1"/>
    <col min="5" max="5" width="17.7109375" customWidth="1"/>
    <col min="6" max="6" width="14.7109375" customWidth="1"/>
    <col min="7" max="7" width="18.5703125" customWidth="1"/>
    <col min="8" max="8" width="23.42578125" customWidth="1"/>
  </cols>
  <sheetData>
    <row r="1" spans="1:8" x14ac:dyDescent="0.25">
      <c r="A1" t="s">
        <v>141</v>
      </c>
      <c r="B1" t="s">
        <v>142</v>
      </c>
      <c r="C1" t="s">
        <v>143</v>
      </c>
      <c r="D1" t="s">
        <v>144</v>
      </c>
      <c r="E1" t="s">
        <v>145</v>
      </c>
      <c r="F1" t="s">
        <v>146</v>
      </c>
      <c r="G1" t="s">
        <v>147</v>
      </c>
      <c r="H1" t="s">
        <v>148</v>
      </c>
    </row>
    <row r="2" spans="1:8" x14ac:dyDescent="0.25">
      <c r="A2" t="s">
        <v>149</v>
      </c>
      <c r="B2">
        <v>2021</v>
      </c>
      <c r="C2" s="3">
        <v>2025</v>
      </c>
      <c r="D2" s="3">
        <v>2030</v>
      </c>
      <c r="E2" s="4">
        <v>2050</v>
      </c>
      <c r="F2" t="s">
        <v>150</v>
      </c>
      <c r="G2" t="b">
        <v>1</v>
      </c>
      <c r="H2" t="b">
        <v>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J99"/>
  <sheetViews>
    <sheetView showGridLines="0" zoomScale="80" zoomScaleNormal="80" workbookViewId="0">
      <selection activeCell="I4" sqref="I4"/>
    </sheetView>
  </sheetViews>
  <sheetFormatPr defaultRowHeight="15" x14ac:dyDescent="0.25"/>
  <cols>
    <col min="1" max="1" width="39.5703125" bestFit="1" customWidth="1"/>
    <col min="2" max="2" width="11.5703125" bestFit="1" customWidth="1"/>
    <col min="3" max="3" width="30.5703125" bestFit="1" customWidth="1"/>
    <col min="4" max="4" width="12.5703125" bestFit="1" customWidth="1"/>
    <col min="5" max="5" width="17.42578125" bestFit="1" customWidth="1"/>
    <col min="6" max="6" width="14.5703125" bestFit="1" customWidth="1"/>
    <col min="7" max="7" width="16.42578125" bestFit="1" customWidth="1"/>
    <col min="8" max="8" width="11" bestFit="1" customWidth="1"/>
    <col min="9" max="9" width="30.140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101</v>
      </c>
      <c r="J1" t="s">
        <v>102</v>
      </c>
    </row>
    <row r="2" spans="1:10" x14ac:dyDescent="0.25">
      <c r="A2" t="s">
        <v>8</v>
      </c>
      <c r="B2" t="s">
        <v>9</v>
      </c>
      <c r="I2" t="s">
        <v>10</v>
      </c>
      <c r="J2">
        <v>0.47249999999999998</v>
      </c>
    </row>
    <row r="3" spans="1:10" x14ac:dyDescent="0.25">
      <c r="A3" t="s">
        <v>8</v>
      </c>
      <c r="B3" t="s">
        <v>11</v>
      </c>
      <c r="I3" t="s">
        <v>10</v>
      </c>
      <c r="J3">
        <v>0.59249999999999992</v>
      </c>
    </row>
    <row r="4" spans="1:10" x14ac:dyDescent="0.25">
      <c r="A4" t="s">
        <v>8</v>
      </c>
      <c r="B4" t="s">
        <v>12</v>
      </c>
      <c r="I4" t="s">
        <v>10</v>
      </c>
      <c r="J4">
        <v>0.6</v>
      </c>
    </row>
    <row r="5" spans="1:10" x14ac:dyDescent="0.25">
      <c r="A5" t="s">
        <v>8</v>
      </c>
      <c r="B5" t="s">
        <v>13</v>
      </c>
      <c r="I5" t="s">
        <v>10</v>
      </c>
      <c r="J5">
        <v>0.75</v>
      </c>
    </row>
    <row r="6" spans="1:10" x14ac:dyDescent="0.25">
      <c r="A6" t="s">
        <v>14</v>
      </c>
      <c r="C6" t="s">
        <v>15</v>
      </c>
      <c r="I6" t="s">
        <v>16</v>
      </c>
      <c r="J6">
        <v>1</v>
      </c>
    </row>
    <row r="7" spans="1:10" x14ac:dyDescent="0.25">
      <c r="A7" t="s">
        <v>14</v>
      </c>
      <c r="C7" t="s">
        <v>17</v>
      </c>
      <c r="I7" t="s">
        <v>16</v>
      </c>
      <c r="J7">
        <v>5</v>
      </c>
    </row>
    <row r="8" spans="1:10" x14ac:dyDescent="0.25">
      <c r="A8" t="s">
        <v>14</v>
      </c>
      <c r="C8" t="s">
        <v>18</v>
      </c>
      <c r="I8" t="s">
        <v>16</v>
      </c>
      <c r="J8">
        <v>5</v>
      </c>
    </row>
    <row r="9" spans="1:10" x14ac:dyDescent="0.25">
      <c r="A9" t="s">
        <v>14</v>
      </c>
      <c r="C9" t="s">
        <v>19</v>
      </c>
      <c r="I9" t="s">
        <v>16</v>
      </c>
      <c r="J9">
        <v>2</v>
      </c>
    </row>
    <row r="10" spans="1:10" x14ac:dyDescent="0.25">
      <c r="A10" t="s">
        <v>14</v>
      </c>
      <c r="C10" t="s">
        <v>20</v>
      </c>
      <c r="I10" t="s">
        <v>16</v>
      </c>
      <c r="J10">
        <v>2</v>
      </c>
    </row>
    <row r="11" spans="1:10" x14ac:dyDescent="0.25">
      <c r="A11" t="s">
        <v>21</v>
      </c>
      <c r="I11" t="s">
        <v>22</v>
      </c>
      <c r="J11">
        <v>0.25</v>
      </c>
    </row>
    <row r="12" spans="1:10" x14ac:dyDescent="0.25">
      <c r="A12" t="s">
        <v>23</v>
      </c>
      <c r="E12" t="s">
        <v>24</v>
      </c>
      <c r="I12" t="s">
        <v>25</v>
      </c>
      <c r="J12">
        <v>10332.716678401948</v>
      </c>
    </row>
    <row r="13" spans="1:10" x14ac:dyDescent="0.25">
      <c r="A13" t="s">
        <v>23</v>
      </c>
      <c r="E13" t="s">
        <v>26</v>
      </c>
      <c r="I13" t="s">
        <v>25</v>
      </c>
      <c r="J13">
        <v>15008.384525421716</v>
      </c>
    </row>
    <row r="14" spans="1:10" x14ac:dyDescent="0.25">
      <c r="A14" t="s">
        <v>23</v>
      </c>
      <c r="E14" t="s">
        <v>27</v>
      </c>
      <c r="I14" t="s">
        <v>25</v>
      </c>
      <c r="J14">
        <v>33694.611571910202</v>
      </c>
    </row>
    <row r="15" spans="1:10" x14ac:dyDescent="0.25">
      <c r="A15" t="s">
        <v>23</v>
      </c>
      <c r="E15" t="s">
        <v>28</v>
      </c>
      <c r="I15" t="s">
        <v>25</v>
      </c>
      <c r="J15">
        <v>12000</v>
      </c>
    </row>
    <row r="16" spans="1:10" x14ac:dyDescent="0.25">
      <c r="A16" t="s">
        <v>29</v>
      </c>
      <c r="B16" t="s">
        <v>11</v>
      </c>
      <c r="F16" t="s">
        <v>30</v>
      </c>
      <c r="I16" t="s">
        <v>31</v>
      </c>
      <c r="J16">
        <v>28835.152377985909</v>
      </c>
    </row>
    <row r="17" spans="1:10" x14ac:dyDescent="0.25">
      <c r="A17" t="s">
        <v>29</v>
      </c>
      <c r="B17" t="s">
        <v>11</v>
      </c>
      <c r="F17" t="s">
        <v>30</v>
      </c>
      <c r="I17" t="s">
        <v>32</v>
      </c>
      <c r="J17">
        <v>5454.1490292354583</v>
      </c>
    </row>
    <row r="18" spans="1:10" x14ac:dyDescent="0.25">
      <c r="A18" t="s">
        <v>29</v>
      </c>
      <c r="B18" t="s">
        <v>11</v>
      </c>
      <c r="F18" t="s">
        <v>30</v>
      </c>
      <c r="I18" t="s">
        <v>33</v>
      </c>
      <c r="J18">
        <v>43</v>
      </c>
    </row>
    <row r="19" spans="1:10" x14ac:dyDescent="0.25">
      <c r="A19" t="s">
        <v>29</v>
      </c>
      <c r="B19" t="s">
        <v>13</v>
      </c>
      <c r="F19" t="s">
        <v>30</v>
      </c>
      <c r="I19" t="s">
        <v>31</v>
      </c>
      <c r="J19">
        <v>17447.589560403594</v>
      </c>
    </row>
    <row r="20" spans="1:10" x14ac:dyDescent="0.25">
      <c r="A20" t="s">
        <v>29</v>
      </c>
      <c r="B20" t="s">
        <v>13</v>
      </c>
      <c r="F20" t="s">
        <v>30</v>
      </c>
      <c r="I20" t="s">
        <v>32</v>
      </c>
      <c r="J20">
        <v>2265.3440244453095</v>
      </c>
    </row>
    <row r="21" spans="1:10" x14ac:dyDescent="0.25">
      <c r="A21" t="s">
        <v>29</v>
      </c>
      <c r="B21" t="s">
        <v>13</v>
      </c>
      <c r="F21" t="s">
        <v>30</v>
      </c>
      <c r="I21" t="s">
        <v>33</v>
      </c>
      <c r="J21">
        <v>60</v>
      </c>
    </row>
    <row r="22" spans="1:10" x14ac:dyDescent="0.25">
      <c r="A22" t="s">
        <v>29</v>
      </c>
      <c r="B22" t="s">
        <v>34</v>
      </c>
      <c r="F22" t="s">
        <v>35</v>
      </c>
      <c r="I22" t="s">
        <v>36</v>
      </c>
      <c r="J22">
        <v>0.18</v>
      </c>
    </row>
    <row r="23" spans="1:10" x14ac:dyDescent="0.25">
      <c r="A23" t="s">
        <v>29</v>
      </c>
      <c r="B23" t="s">
        <v>34</v>
      </c>
      <c r="F23" t="s">
        <v>35</v>
      </c>
      <c r="I23" t="s">
        <v>37</v>
      </c>
      <c r="J23">
        <v>1</v>
      </c>
    </row>
    <row r="24" spans="1:10" x14ac:dyDescent="0.25">
      <c r="A24" t="s">
        <v>29</v>
      </c>
      <c r="B24" t="s">
        <v>34</v>
      </c>
      <c r="F24" t="s">
        <v>38</v>
      </c>
      <c r="I24" t="s">
        <v>36</v>
      </c>
      <c r="J24">
        <v>0.1</v>
      </c>
    </row>
    <row r="25" spans="1:10" x14ac:dyDescent="0.25">
      <c r="A25" t="s">
        <v>29</v>
      </c>
      <c r="B25" t="s">
        <v>34</v>
      </c>
      <c r="F25" t="s">
        <v>38</v>
      </c>
      <c r="I25" t="s">
        <v>37</v>
      </c>
      <c r="J25">
        <v>0.75</v>
      </c>
    </row>
    <row r="26" spans="1:10" x14ac:dyDescent="0.25">
      <c r="A26" t="s">
        <v>29</v>
      </c>
      <c r="B26" t="s">
        <v>11</v>
      </c>
      <c r="F26" t="s">
        <v>35</v>
      </c>
      <c r="I26" t="s">
        <v>32</v>
      </c>
      <c r="J26">
        <v>20213.868050974328</v>
      </c>
    </row>
    <row r="27" spans="1:10" x14ac:dyDescent="0.25">
      <c r="A27" t="s">
        <v>29</v>
      </c>
      <c r="B27" t="s">
        <v>11</v>
      </c>
      <c r="F27" t="s">
        <v>35</v>
      </c>
      <c r="I27" t="s">
        <v>33</v>
      </c>
      <c r="J27">
        <v>71</v>
      </c>
    </row>
    <row r="28" spans="1:10" x14ac:dyDescent="0.25">
      <c r="A28" t="s">
        <v>29</v>
      </c>
      <c r="B28" t="s">
        <v>13</v>
      </c>
      <c r="F28" t="s">
        <v>35</v>
      </c>
      <c r="I28" t="s">
        <v>32</v>
      </c>
      <c r="J28">
        <v>8617.6405996773447</v>
      </c>
    </row>
    <row r="29" spans="1:10" x14ac:dyDescent="0.25">
      <c r="A29" t="s">
        <v>29</v>
      </c>
      <c r="B29" t="s">
        <v>13</v>
      </c>
      <c r="F29" t="s">
        <v>35</v>
      </c>
      <c r="I29" t="s">
        <v>33</v>
      </c>
      <c r="J29">
        <v>72</v>
      </c>
    </row>
    <row r="30" spans="1:10" x14ac:dyDescent="0.25">
      <c r="A30" t="s">
        <v>29</v>
      </c>
      <c r="B30" t="s">
        <v>11</v>
      </c>
      <c r="F30" t="s">
        <v>34</v>
      </c>
      <c r="I30" t="s">
        <v>39</v>
      </c>
      <c r="J30">
        <v>-0.3</v>
      </c>
    </row>
    <row r="31" spans="1:10" x14ac:dyDescent="0.25">
      <c r="A31" t="s">
        <v>29</v>
      </c>
      <c r="B31" t="s">
        <v>13</v>
      </c>
      <c r="F31" t="s">
        <v>34</v>
      </c>
      <c r="I31" t="s">
        <v>39</v>
      </c>
      <c r="J31">
        <v>-0.3</v>
      </c>
    </row>
    <row r="32" spans="1:10" x14ac:dyDescent="0.25">
      <c r="A32" t="s">
        <v>40</v>
      </c>
      <c r="I32" t="s">
        <v>41</v>
      </c>
      <c r="J32">
        <v>1500</v>
      </c>
    </row>
    <row r="33" spans="1:10" x14ac:dyDescent="0.25">
      <c r="A33" t="s">
        <v>40</v>
      </c>
      <c r="I33" t="s">
        <v>42</v>
      </c>
      <c r="J33">
        <v>0.5</v>
      </c>
    </row>
    <row r="34" spans="1:10" x14ac:dyDescent="0.25">
      <c r="A34" t="s">
        <v>40</v>
      </c>
      <c r="I34" t="s">
        <v>43</v>
      </c>
      <c r="J34">
        <v>5.74</v>
      </c>
    </row>
    <row r="35" spans="1:10" x14ac:dyDescent="0.25">
      <c r="A35" t="s">
        <v>40</v>
      </c>
      <c r="I35" t="s">
        <v>44</v>
      </c>
      <c r="J35">
        <v>9.3000000000000007</v>
      </c>
    </row>
    <row r="36" spans="1:10" x14ac:dyDescent="0.25">
      <c r="A36" t="s">
        <v>40</v>
      </c>
      <c r="I36" t="s">
        <v>45</v>
      </c>
      <c r="J36">
        <v>0.27700000000000002</v>
      </c>
    </row>
    <row r="37" spans="1:10" x14ac:dyDescent="0.25">
      <c r="A37" t="s">
        <v>46</v>
      </c>
      <c r="I37" t="s">
        <v>47</v>
      </c>
      <c r="J37">
        <v>0.05</v>
      </c>
    </row>
    <row r="38" spans="1:10" x14ac:dyDescent="0.25">
      <c r="A38" t="s">
        <v>46</v>
      </c>
      <c r="I38" t="s">
        <v>48</v>
      </c>
      <c r="J38">
        <v>12.7</v>
      </c>
    </row>
    <row r="39" spans="1:10" x14ac:dyDescent="0.25">
      <c r="A39" t="s">
        <v>46</v>
      </c>
      <c r="I39" t="s">
        <v>49</v>
      </c>
      <c r="J39">
        <v>250</v>
      </c>
    </row>
    <row r="40" spans="1:10" x14ac:dyDescent="0.25">
      <c r="A40" t="s">
        <v>50</v>
      </c>
      <c r="I40" t="s">
        <v>51</v>
      </c>
      <c r="J40">
        <v>-0.1</v>
      </c>
    </row>
    <row r="41" spans="1:10" x14ac:dyDescent="0.25">
      <c r="A41" t="s">
        <v>50</v>
      </c>
      <c r="I41" t="s">
        <v>52</v>
      </c>
      <c r="J41">
        <v>-0.4</v>
      </c>
    </row>
    <row r="42" spans="1:10" x14ac:dyDescent="0.25">
      <c r="A42" t="s">
        <v>50</v>
      </c>
      <c r="I42" t="s">
        <v>53</v>
      </c>
      <c r="J42">
        <v>2</v>
      </c>
    </row>
    <row r="43" spans="1:10" x14ac:dyDescent="0.25">
      <c r="A43" t="s">
        <v>50</v>
      </c>
      <c r="I43" t="s">
        <v>54</v>
      </c>
      <c r="J43">
        <v>44</v>
      </c>
    </row>
    <row r="44" spans="1:10" x14ac:dyDescent="0.25">
      <c r="A44" t="s">
        <v>50</v>
      </c>
      <c r="I44" t="s">
        <v>55</v>
      </c>
      <c r="J44">
        <v>0.54545454545454541</v>
      </c>
    </row>
    <row r="45" spans="1:10" x14ac:dyDescent="0.25">
      <c r="A45" t="s">
        <v>50</v>
      </c>
      <c r="I45" t="s">
        <v>56</v>
      </c>
      <c r="J45">
        <v>250</v>
      </c>
    </row>
    <row r="46" spans="1:10" x14ac:dyDescent="0.25">
      <c r="A46" t="s">
        <v>50</v>
      </c>
      <c r="B46" t="s">
        <v>11</v>
      </c>
      <c r="G46" t="s">
        <v>57</v>
      </c>
      <c r="I46" t="s">
        <v>44</v>
      </c>
      <c r="J46">
        <v>4.1328553316289787</v>
      </c>
    </row>
    <row r="47" spans="1:10" x14ac:dyDescent="0.25">
      <c r="A47" t="s">
        <v>50</v>
      </c>
      <c r="B47" t="s">
        <v>11</v>
      </c>
      <c r="G47" t="s">
        <v>57</v>
      </c>
      <c r="I47" t="s">
        <v>45</v>
      </c>
      <c r="J47">
        <v>0.47</v>
      </c>
    </row>
    <row r="48" spans="1:10" x14ac:dyDescent="0.25">
      <c r="A48" t="s">
        <v>50</v>
      </c>
      <c r="B48" t="s">
        <v>11</v>
      </c>
      <c r="G48" t="s">
        <v>57</v>
      </c>
      <c r="I48" t="s">
        <v>58</v>
      </c>
      <c r="J48">
        <v>8.7064741214944306</v>
      </c>
    </row>
    <row r="49" spans="1:10" x14ac:dyDescent="0.25">
      <c r="A49" t="s">
        <v>50</v>
      </c>
      <c r="B49" t="s">
        <v>11</v>
      </c>
      <c r="G49" t="s">
        <v>57</v>
      </c>
      <c r="I49" t="s">
        <v>59</v>
      </c>
      <c r="J49">
        <v>39214.140781108086</v>
      </c>
    </row>
    <row r="50" spans="1:10" x14ac:dyDescent="0.25">
      <c r="A50" t="s">
        <v>50</v>
      </c>
      <c r="B50" t="s">
        <v>13</v>
      </c>
      <c r="G50" t="s">
        <v>57</v>
      </c>
      <c r="I50" t="s">
        <v>44</v>
      </c>
      <c r="J50">
        <v>4.1328553316289787</v>
      </c>
    </row>
    <row r="51" spans="1:10" x14ac:dyDescent="0.25">
      <c r="A51" t="s">
        <v>50</v>
      </c>
      <c r="B51" t="s">
        <v>13</v>
      </c>
      <c r="G51" t="s">
        <v>57</v>
      </c>
      <c r="I51" t="s">
        <v>45</v>
      </c>
      <c r="J51">
        <v>0.6</v>
      </c>
    </row>
    <row r="52" spans="1:10" x14ac:dyDescent="0.25">
      <c r="A52" t="s">
        <v>50</v>
      </c>
      <c r="B52" t="s">
        <v>13</v>
      </c>
      <c r="G52" t="s">
        <v>57</v>
      </c>
      <c r="I52" t="s">
        <v>58</v>
      </c>
      <c r="J52">
        <v>5.9971295125527684</v>
      </c>
    </row>
    <row r="53" spans="1:10" x14ac:dyDescent="0.25">
      <c r="A53" t="s">
        <v>50</v>
      </c>
      <c r="B53" t="s">
        <v>13</v>
      </c>
      <c r="G53" t="s">
        <v>57</v>
      </c>
      <c r="I53" t="s">
        <v>59</v>
      </c>
      <c r="J53">
        <v>20740.464285714286</v>
      </c>
    </row>
    <row r="54" spans="1:10" x14ac:dyDescent="0.25">
      <c r="A54" t="s">
        <v>50</v>
      </c>
      <c r="B54" t="s">
        <v>11</v>
      </c>
      <c r="G54" t="s">
        <v>60</v>
      </c>
      <c r="I54" t="s">
        <v>44</v>
      </c>
      <c r="J54">
        <v>9.937972153462713</v>
      </c>
    </row>
    <row r="55" spans="1:10" x14ac:dyDescent="0.25">
      <c r="A55" t="s">
        <v>50</v>
      </c>
      <c r="B55" t="s">
        <v>11</v>
      </c>
      <c r="G55" t="s">
        <v>60</v>
      </c>
      <c r="I55" t="s">
        <v>45</v>
      </c>
      <c r="J55">
        <v>0.47</v>
      </c>
    </row>
    <row r="56" spans="1:10" x14ac:dyDescent="0.25">
      <c r="A56" t="s">
        <v>50</v>
      </c>
      <c r="B56" t="s">
        <v>11</v>
      </c>
      <c r="G56" t="s">
        <v>60</v>
      </c>
      <c r="I56" t="s">
        <v>58</v>
      </c>
      <c r="J56">
        <v>1.1264220020975759</v>
      </c>
    </row>
    <row r="57" spans="1:10" x14ac:dyDescent="0.25">
      <c r="A57" t="s">
        <v>50</v>
      </c>
      <c r="B57" t="s">
        <v>11</v>
      </c>
      <c r="G57" t="s">
        <v>60</v>
      </c>
      <c r="I57" t="s">
        <v>59</v>
      </c>
      <c r="J57">
        <v>37760.397350993378</v>
      </c>
    </row>
    <row r="58" spans="1:10" x14ac:dyDescent="0.25">
      <c r="A58" t="s">
        <v>50</v>
      </c>
      <c r="B58" t="s">
        <v>13</v>
      </c>
      <c r="G58" t="s">
        <v>60</v>
      </c>
      <c r="I58" t="s">
        <v>44</v>
      </c>
      <c r="J58">
        <v>9.937972153462713</v>
      </c>
    </row>
    <row r="59" spans="1:10" x14ac:dyDescent="0.25">
      <c r="A59" t="s">
        <v>50</v>
      </c>
      <c r="B59" t="s">
        <v>13</v>
      </c>
      <c r="G59" t="s">
        <v>60</v>
      </c>
      <c r="I59" t="s">
        <v>45</v>
      </c>
      <c r="J59">
        <v>0.6</v>
      </c>
    </row>
    <row r="60" spans="1:10" x14ac:dyDescent="0.25">
      <c r="A60" t="s">
        <v>50</v>
      </c>
      <c r="B60" t="s">
        <v>13</v>
      </c>
      <c r="G60" t="s">
        <v>60</v>
      </c>
      <c r="I60" t="s">
        <v>58</v>
      </c>
      <c r="J60">
        <v>1.6007310428935415</v>
      </c>
    </row>
    <row r="61" spans="1:10" x14ac:dyDescent="0.25">
      <c r="A61" t="s">
        <v>50</v>
      </c>
      <c r="B61" t="s">
        <v>13</v>
      </c>
      <c r="G61" t="s">
        <v>60</v>
      </c>
      <c r="I61" t="s">
        <v>59</v>
      </c>
      <c r="J61">
        <v>14393.643564356436</v>
      </c>
    </row>
    <row r="62" spans="1:10" x14ac:dyDescent="0.25">
      <c r="A62" t="s">
        <v>50</v>
      </c>
      <c r="B62" t="s">
        <v>34</v>
      </c>
      <c r="G62" t="s">
        <v>61</v>
      </c>
      <c r="I62" t="s">
        <v>44</v>
      </c>
      <c r="J62">
        <v>28.751266631655319</v>
      </c>
    </row>
    <row r="63" spans="1:10" x14ac:dyDescent="0.25">
      <c r="A63" t="s">
        <v>50</v>
      </c>
      <c r="B63" t="s">
        <v>34</v>
      </c>
      <c r="G63" t="s">
        <v>61</v>
      </c>
      <c r="I63" t="s">
        <v>45</v>
      </c>
      <c r="J63">
        <v>0.8</v>
      </c>
    </row>
    <row r="64" spans="1:10" x14ac:dyDescent="0.25">
      <c r="A64" t="s">
        <v>50</v>
      </c>
      <c r="B64" t="s">
        <v>34</v>
      </c>
      <c r="G64" t="s">
        <v>61</v>
      </c>
      <c r="I64" t="s">
        <v>58</v>
      </c>
      <c r="J64">
        <v>15.699592556616064</v>
      </c>
    </row>
    <row r="65" spans="1:10" x14ac:dyDescent="0.25">
      <c r="A65" t="s">
        <v>50</v>
      </c>
      <c r="B65" t="s">
        <v>34</v>
      </c>
      <c r="G65" t="s">
        <v>61</v>
      </c>
      <c r="I65" t="s">
        <v>59</v>
      </c>
      <c r="J65">
        <v>23700.05</v>
      </c>
    </row>
    <row r="66" spans="1:10" x14ac:dyDescent="0.25">
      <c r="A66" t="s">
        <v>50</v>
      </c>
      <c r="B66" t="s">
        <v>34</v>
      </c>
      <c r="G66" t="s">
        <v>62</v>
      </c>
      <c r="I66" t="s">
        <v>44</v>
      </c>
      <c r="J66">
        <v>5.7158402899079999</v>
      </c>
    </row>
    <row r="67" spans="1:10" x14ac:dyDescent="0.25">
      <c r="A67" t="s">
        <v>50</v>
      </c>
      <c r="B67" t="s">
        <v>34</v>
      </c>
      <c r="G67" t="s">
        <v>62</v>
      </c>
      <c r="I67" t="s">
        <v>45</v>
      </c>
      <c r="J67">
        <v>0.47</v>
      </c>
    </row>
    <row r="68" spans="1:10" x14ac:dyDescent="0.25">
      <c r="A68" t="s">
        <v>50</v>
      </c>
      <c r="B68" t="s">
        <v>34</v>
      </c>
      <c r="G68" t="s">
        <v>62</v>
      </c>
      <c r="I68" t="s">
        <v>58</v>
      </c>
      <c r="J68">
        <v>13.186207999692673</v>
      </c>
    </row>
    <row r="69" spans="1:10" x14ac:dyDescent="0.25">
      <c r="A69" t="s">
        <v>50</v>
      </c>
      <c r="B69" t="s">
        <v>34</v>
      </c>
      <c r="G69" t="s">
        <v>62</v>
      </c>
      <c r="I69" t="s">
        <v>59</v>
      </c>
      <c r="J69">
        <v>79462.921052631573</v>
      </c>
    </row>
    <row r="70" spans="1:10" x14ac:dyDescent="0.25">
      <c r="A70" t="s">
        <v>50</v>
      </c>
      <c r="B70" t="s">
        <v>34</v>
      </c>
      <c r="G70" t="s">
        <v>63</v>
      </c>
      <c r="I70" t="s">
        <v>44</v>
      </c>
      <c r="J70">
        <v>4.5815735448855488</v>
      </c>
    </row>
    <row r="71" spans="1:10" x14ac:dyDescent="0.25">
      <c r="A71" t="s">
        <v>50</v>
      </c>
      <c r="B71" t="s">
        <v>34</v>
      </c>
      <c r="G71" t="s">
        <v>63</v>
      </c>
      <c r="I71" t="s">
        <v>45</v>
      </c>
      <c r="J71">
        <v>0.47</v>
      </c>
    </row>
    <row r="72" spans="1:10" x14ac:dyDescent="0.25">
      <c r="A72" t="s">
        <v>50</v>
      </c>
      <c r="B72" t="s">
        <v>34</v>
      </c>
      <c r="G72" t="s">
        <v>63</v>
      </c>
      <c r="I72" t="s">
        <v>58</v>
      </c>
      <c r="J72">
        <v>7.4129098007451137</v>
      </c>
    </row>
    <row r="73" spans="1:10" x14ac:dyDescent="0.25">
      <c r="A73" t="s">
        <v>50</v>
      </c>
      <c r="B73" t="s">
        <v>34</v>
      </c>
      <c r="G73" t="s">
        <v>63</v>
      </c>
      <c r="I73" t="s">
        <v>59</v>
      </c>
      <c r="J73">
        <v>81116.092592592599</v>
      </c>
    </row>
    <row r="74" spans="1:10" x14ac:dyDescent="0.25">
      <c r="A74" t="s">
        <v>50</v>
      </c>
      <c r="B74" t="s">
        <v>34</v>
      </c>
      <c r="G74" t="s">
        <v>64</v>
      </c>
      <c r="I74" t="s">
        <v>44</v>
      </c>
      <c r="J74">
        <v>29.528319416465337</v>
      </c>
    </row>
    <row r="75" spans="1:10" x14ac:dyDescent="0.25">
      <c r="A75" t="s">
        <v>50</v>
      </c>
      <c r="B75" t="s">
        <v>34</v>
      </c>
      <c r="G75" t="s">
        <v>64</v>
      </c>
      <c r="I75" t="s">
        <v>45</v>
      </c>
      <c r="J75">
        <v>0.75</v>
      </c>
    </row>
    <row r="76" spans="1:10" x14ac:dyDescent="0.25">
      <c r="A76" t="s">
        <v>50</v>
      </c>
      <c r="B76" t="s">
        <v>34</v>
      </c>
      <c r="G76" t="s">
        <v>64</v>
      </c>
      <c r="I76" t="s">
        <v>58</v>
      </c>
      <c r="J76">
        <v>40.797256605599621</v>
      </c>
    </row>
    <row r="77" spans="1:10" x14ac:dyDescent="0.25">
      <c r="A77" t="s">
        <v>50</v>
      </c>
      <c r="B77" t="s">
        <v>34</v>
      </c>
      <c r="G77" t="s">
        <v>64</v>
      </c>
      <c r="I77" t="s">
        <v>59</v>
      </c>
      <c r="J77">
        <v>44645.617449664431</v>
      </c>
    </row>
    <row r="78" spans="1:10" x14ac:dyDescent="0.25">
      <c r="A78" t="s">
        <v>50</v>
      </c>
      <c r="B78" t="s">
        <v>34</v>
      </c>
      <c r="G78" t="s">
        <v>65</v>
      </c>
      <c r="I78" t="s">
        <v>45</v>
      </c>
      <c r="J78">
        <v>0.75</v>
      </c>
    </row>
    <row r="79" spans="1:10" x14ac:dyDescent="0.25">
      <c r="A79" t="s">
        <v>50</v>
      </c>
      <c r="G79" t="s">
        <v>57</v>
      </c>
      <c r="H79" t="s">
        <v>66</v>
      </c>
      <c r="I79" t="s">
        <v>67</v>
      </c>
      <c r="J79">
        <v>4.9280000000000008</v>
      </c>
    </row>
    <row r="80" spans="1:10" x14ac:dyDescent="0.25">
      <c r="A80" t="s">
        <v>50</v>
      </c>
      <c r="G80" t="s">
        <v>57</v>
      </c>
      <c r="H80" t="s">
        <v>66</v>
      </c>
      <c r="I80" t="s">
        <v>68</v>
      </c>
      <c r="J80">
        <v>1</v>
      </c>
    </row>
    <row r="81" spans="1:10" x14ac:dyDescent="0.25">
      <c r="A81" t="s">
        <v>50</v>
      </c>
      <c r="G81" t="s">
        <v>57</v>
      </c>
      <c r="H81" t="s">
        <v>69</v>
      </c>
      <c r="I81" t="s">
        <v>67</v>
      </c>
      <c r="J81">
        <v>4.4352000000000009</v>
      </c>
    </row>
    <row r="82" spans="1:10" x14ac:dyDescent="0.25">
      <c r="A82" t="s">
        <v>50</v>
      </c>
      <c r="G82" t="s">
        <v>57</v>
      </c>
      <c r="H82" t="s">
        <v>69</v>
      </c>
      <c r="I82" t="s">
        <v>68</v>
      </c>
      <c r="J82">
        <v>0</v>
      </c>
    </row>
    <row r="83" spans="1:10" x14ac:dyDescent="0.25">
      <c r="A83" t="s">
        <v>50</v>
      </c>
      <c r="G83" t="s">
        <v>57</v>
      </c>
      <c r="H83" t="s">
        <v>70</v>
      </c>
      <c r="I83" t="s">
        <v>67</v>
      </c>
      <c r="J83">
        <v>17</v>
      </c>
    </row>
    <row r="84" spans="1:10" x14ac:dyDescent="0.25">
      <c r="A84" t="s">
        <v>50</v>
      </c>
      <c r="G84" t="s">
        <v>57</v>
      </c>
      <c r="H84" t="s">
        <v>70</v>
      </c>
      <c r="I84" t="s">
        <v>68</v>
      </c>
      <c r="J84">
        <v>0</v>
      </c>
    </row>
    <row r="85" spans="1:10" x14ac:dyDescent="0.25">
      <c r="A85" t="s">
        <v>50</v>
      </c>
      <c r="G85" t="s">
        <v>60</v>
      </c>
      <c r="H85" t="s">
        <v>71</v>
      </c>
      <c r="I85" t="s">
        <v>67</v>
      </c>
      <c r="J85">
        <v>4.9280000000000008</v>
      </c>
    </row>
    <row r="86" spans="1:10" x14ac:dyDescent="0.25">
      <c r="A86" t="s">
        <v>50</v>
      </c>
      <c r="G86" t="s">
        <v>60</v>
      </c>
      <c r="H86" t="s">
        <v>71</v>
      </c>
      <c r="I86" t="s">
        <v>68</v>
      </c>
      <c r="J86">
        <v>1</v>
      </c>
    </row>
    <row r="87" spans="1:10" x14ac:dyDescent="0.25">
      <c r="A87" t="s">
        <v>50</v>
      </c>
      <c r="G87" t="s">
        <v>60</v>
      </c>
      <c r="H87" t="s">
        <v>69</v>
      </c>
      <c r="I87" t="s">
        <v>67</v>
      </c>
      <c r="J87">
        <v>4.4352000000000009</v>
      </c>
    </row>
    <row r="88" spans="1:10" x14ac:dyDescent="0.25">
      <c r="A88" t="s">
        <v>50</v>
      </c>
      <c r="G88" t="s">
        <v>60</v>
      </c>
      <c r="H88" t="s">
        <v>69</v>
      </c>
      <c r="I88" t="s">
        <v>68</v>
      </c>
      <c r="J88">
        <v>0</v>
      </c>
    </row>
    <row r="89" spans="1:10" x14ac:dyDescent="0.25">
      <c r="A89" t="s">
        <v>50</v>
      </c>
      <c r="G89" t="s">
        <v>60</v>
      </c>
      <c r="H89" t="s">
        <v>70</v>
      </c>
      <c r="I89" t="s">
        <v>67</v>
      </c>
      <c r="J89">
        <v>17</v>
      </c>
    </row>
    <row r="90" spans="1:10" x14ac:dyDescent="0.25">
      <c r="A90" t="s">
        <v>50</v>
      </c>
      <c r="G90" t="s">
        <v>60</v>
      </c>
      <c r="H90" t="s">
        <v>70</v>
      </c>
      <c r="I90" t="s">
        <v>68</v>
      </c>
      <c r="J90">
        <v>0</v>
      </c>
    </row>
    <row r="91" spans="1:10" x14ac:dyDescent="0.25">
      <c r="A91" t="s">
        <v>50</v>
      </c>
      <c r="G91" t="s">
        <v>61</v>
      </c>
      <c r="H91" t="s">
        <v>66</v>
      </c>
      <c r="I91" t="s">
        <v>67</v>
      </c>
      <c r="J91">
        <v>7.5</v>
      </c>
    </row>
    <row r="92" spans="1:10" x14ac:dyDescent="0.25">
      <c r="A92" t="s">
        <v>50</v>
      </c>
      <c r="G92" t="s">
        <v>61</v>
      </c>
      <c r="H92" t="s">
        <v>66</v>
      </c>
      <c r="I92" t="s">
        <v>68</v>
      </c>
      <c r="J92">
        <v>1</v>
      </c>
    </row>
    <row r="93" spans="1:10" x14ac:dyDescent="0.25">
      <c r="A93" t="s">
        <v>50</v>
      </c>
      <c r="G93" t="s">
        <v>61</v>
      </c>
      <c r="H93" t="s">
        <v>69</v>
      </c>
      <c r="I93" t="s">
        <v>67</v>
      </c>
      <c r="J93">
        <v>6.75</v>
      </c>
    </row>
    <row r="94" spans="1:10" x14ac:dyDescent="0.25">
      <c r="A94" t="s">
        <v>50</v>
      </c>
      <c r="G94" t="s">
        <v>61</v>
      </c>
      <c r="H94" t="s">
        <v>69</v>
      </c>
      <c r="I94" t="s">
        <v>68</v>
      </c>
      <c r="J94">
        <v>0</v>
      </c>
    </row>
    <row r="95" spans="1:10" x14ac:dyDescent="0.25">
      <c r="A95" t="s">
        <v>50</v>
      </c>
      <c r="G95" t="s">
        <v>61</v>
      </c>
      <c r="H95" t="s">
        <v>70</v>
      </c>
      <c r="I95" t="s">
        <v>67</v>
      </c>
      <c r="J95">
        <v>17</v>
      </c>
    </row>
    <row r="96" spans="1:10" x14ac:dyDescent="0.25">
      <c r="A96" t="s">
        <v>50</v>
      </c>
      <c r="G96" t="s">
        <v>61</v>
      </c>
      <c r="H96" t="s">
        <v>70</v>
      </c>
      <c r="I96" t="s">
        <v>68</v>
      </c>
      <c r="J96">
        <v>0</v>
      </c>
    </row>
    <row r="97" spans="1:10" x14ac:dyDescent="0.25">
      <c r="A97" t="s">
        <v>8</v>
      </c>
      <c r="I97" t="s">
        <v>49</v>
      </c>
      <c r="J97">
        <v>365</v>
      </c>
    </row>
    <row r="98" spans="1:10" x14ac:dyDescent="0.25">
      <c r="A98" t="s">
        <v>8</v>
      </c>
      <c r="D98" t="s">
        <v>72</v>
      </c>
      <c r="I98" t="s">
        <v>44</v>
      </c>
      <c r="J98">
        <v>0.7</v>
      </c>
    </row>
    <row r="99" spans="1:10" x14ac:dyDescent="0.25">
      <c r="A99" t="s">
        <v>8</v>
      </c>
      <c r="D99" t="s">
        <v>73</v>
      </c>
      <c r="I99" t="s">
        <v>44</v>
      </c>
      <c r="J99">
        <v>2.2999999999999998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P232"/>
  <sheetViews>
    <sheetView showGridLines="0" tabSelected="1" topLeftCell="A196" zoomScale="80" zoomScaleNormal="80" workbookViewId="0">
      <selection activeCell="B225" sqref="B225"/>
    </sheetView>
  </sheetViews>
  <sheetFormatPr defaultRowHeight="15" x14ac:dyDescent="0.25"/>
  <cols>
    <col min="1" max="1" width="52.85546875" bestFit="1" customWidth="1"/>
    <col min="2" max="3" width="52.85546875" customWidth="1"/>
    <col min="4" max="4" width="6.7109375" customWidth="1"/>
    <col min="5" max="5" width="11.5703125" customWidth="1"/>
    <col min="6" max="6" width="28.42578125" customWidth="1"/>
    <col min="7" max="7" width="30.5703125" customWidth="1"/>
    <col min="8" max="8" width="17.42578125" customWidth="1"/>
    <col min="9" max="9" width="11" customWidth="1"/>
    <col min="10" max="10" width="11.85546875" customWidth="1"/>
    <col min="11" max="12" width="17.5703125" customWidth="1"/>
    <col min="13" max="13" width="19.42578125" bestFit="1" customWidth="1"/>
    <col min="14" max="14" width="47.5703125" customWidth="1"/>
  </cols>
  <sheetData>
    <row r="1" spans="1:16" x14ac:dyDescent="0.25">
      <c r="A1" s="1" t="s">
        <v>0</v>
      </c>
      <c r="B1" s="1" t="s">
        <v>164</v>
      </c>
      <c r="C1" s="1" t="s">
        <v>159</v>
      </c>
      <c r="D1" s="1" t="s">
        <v>103</v>
      </c>
      <c r="E1" s="1" t="s">
        <v>1</v>
      </c>
      <c r="F1" s="1" t="s">
        <v>104</v>
      </c>
      <c r="G1" s="1" t="s">
        <v>2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151</v>
      </c>
      <c r="M1" s="1" t="s">
        <v>101</v>
      </c>
      <c r="N1" t="s">
        <v>102</v>
      </c>
    </row>
    <row r="2" spans="1:16" x14ac:dyDescent="0.25">
      <c r="A2" t="s">
        <v>8</v>
      </c>
      <c r="B2">
        <v>1</v>
      </c>
      <c r="C2" t="s">
        <v>160</v>
      </c>
      <c r="D2">
        <v>2025</v>
      </c>
      <c r="E2" t="s">
        <v>74</v>
      </c>
      <c r="F2" t="s">
        <v>75</v>
      </c>
      <c r="L2" t="s">
        <v>152</v>
      </c>
      <c r="M2" t="s">
        <v>76</v>
      </c>
      <c r="N2">
        <v>4</v>
      </c>
    </row>
    <row r="3" spans="1:16" x14ac:dyDescent="0.25">
      <c r="A3" t="s">
        <v>8</v>
      </c>
      <c r="B3">
        <v>1</v>
      </c>
      <c r="C3" t="s">
        <v>160</v>
      </c>
      <c r="D3">
        <v>2025</v>
      </c>
      <c r="E3" t="s">
        <v>11</v>
      </c>
      <c r="F3" t="s">
        <v>75</v>
      </c>
      <c r="L3" t="s">
        <v>152</v>
      </c>
      <c r="M3" t="s">
        <v>76</v>
      </c>
      <c r="N3">
        <v>8</v>
      </c>
    </row>
    <row r="4" spans="1:16" x14ac:dyDescent="0.25">
      <c r="A4" t="s">
        <v>8</v>
      </c>
      <c r="B4">
        <v>1</v>
      </c>
      <c r="C4" t="s">
        <v>160</v>
      </c>
      <c r="D4">
        <v>2025</v>
      </c>
      <c r="E4" t="s">
        <v>12</v>
      </c>
      <c r="F4" t="s">
        <v>75</v>
      </c>
      <c r="L4" t="s">
        <v>152</v>
      </c>
      <c r="M4" t="s">
        <v>76</v>
      </c>
      <c r="N4">
        <v>7</v>
      </c>
    </row>
    <row r="5" spans="1:16" x14ac:dyDescent="0.25">
      <c r="A5" t="s">
        <v>8</v>
      </c>
      <c r="B5">
        <v>1</v>
      </c>
      <c r="C5" t="s">
        <v>160</v>
      </c>
      <c r="D5">
        <v>2025</v>
      </c>
      <c r="E5" t="s">
        <v>13</v>
      </c>
      <c r="F5" t="s">
        <v>75</v>
      </c>
      <c r="L5" t="s">
        <v>152</v>
      </c>
      <c r="M5" t="s">
        <v>76</v>
      </c>
      <c r="N5">
        <v>6</v>
      </c>
    </row>
    <row r="6" spans="1:16" x14ac:dyDescent="0.25">
      <c r="A6" t="s">
        <v>8</v>
      </c>
      <c r="B6">
        <v>1</v>
      </c>
      <c r="C6" t="s">
        <v>160</v>
      </c>
      <c r="D6">
        <v>2025</v>
      </c>
      <c r="E6" t="s">
        <v>74</v>
      </c>
      <c r="F6" t="s">
        <v>77</v>
      </c>
      <c r="L6" t="s">
        <v>152</v>
      </c>
      <c r="M6" t="s">
        <v>76</v>
      </c>
      <c r="N6">
        <v>8</v>
      </c>
    </row>
    <row r="7" spans="1:16" x14ac:dyDescent="0.25">
      <c r="A7" t="s">
        <v>8</v>
      </c>
      <c r="B7">
        <v>1</v>
      </c>
      <c r="C7" t="s">
        <v>160</v>
      </c>
      <c r="D7">
        <v>2025</v>
      </c>
      <c r="E7" t="s">
        <v>11</v>
      </c>
      <c r="F7" t="s">
        <v>77</v>
      </c>
      <c r="L7" t="s">
        <v>152</v>
      </c>
      <c r="M7" t="s">
        <v>76</v>
      </c>
      <c r="N7">
        <v>7</v>
      </c>
      <c r="P7" t="str" cm="1">
        <f t="array" ref="P7:P15">_xlfn.UNIQUE(Capital_Project_Inputs[category])</f>
        <v>Bicycle and Pedestrian</v>
      </c>
    </row>
    <row r="8" spans="1:16" x14ac:dyDescent="0.25">
      <c r="A8" t="s">
        <v>8</v>
      </c>
      <c r="B8">
        <v>1</v>
      </c>
      <c r="C8" t="s">
        <v>160</v>
      </c>
      <c r="D8">
        <v>2025</v>
      </c>
      <c r="E8" t="s">
        <v>12</v>
      </c>
      <c r="F8" t="s">
        <v>77</v>
      </c>
      <c r="L8" t="s">
        <v>152</v>
      </c>
      <c r="M8" t="s">
        <v>76</v>
      </c>
      <c r="N8">
        <v>6</v>
      </c>
      <c r="P8" t="str">
        <v>EV Charging Infrastructure</v>
      </c>
    </row>
    <row r="9" spans="1:16" x14ac:dyDescent="0.25">
      <c r="A9" t="s">
        <v>8</v>
      </c>
      <c r="B9">
        <v>1</v>
      </c>
      <c r="C9" t="s">
        <v>160</v>
      </c>
      <c r="D9">
        <v>2025</v>
      </c>
      <c r="E9" t="s">
        <v>13</v>
      </c>
      <c r="F9" t="s">
        <v>77</v>
      </c>
      <c r="L9" t="s">
        <v>152</v>
      </c>
      <c r="M9" t="s">
        <v>76</v>
      </c>
      <c r="N9">
        <v>8</v>
      </c>
      <c r="P9" t="str">
        <v>Medium and Heavy Duty Vehicle Replacement</v>
      </c>
    </row>
    <row r="10" spans="1:16" x14ac:dyDescent="0.25">
      <c r="A10" t="s">
        <v>8</v>
      </c>
      <c r="B10">
        <v>1</v>
      </c>
      <c r="C10" t="s">
        <v>160</v>
      </c>
      <c r="D10">
        <v>2025</v>
      </c>
      <c r="E10" t="s">
        <v>74</v>
      </c>
      <c r="F10" t="s">
        <v>78</v>
      </c>
      <c r="L10" t="s">
        <v>152</v>
      </c>
      <c r="M10" t="s">
        <v>76</v>
      </c>
      <c r="N10">
        <v>8</v>
      </c>
      <c r="P10" t="str">
        <v>Bus Priority Treatment</v>
      </c>
    </row>
    <row r="11" spans="1:16" x14ac:dyDescent="0.25">
      <c r="A11" t="s">
        <v>8</v>
      </c>
      <c r="B11">
        <v>1</v>
      </c>
      <c r="C11" t="s">
        <v>160</v>
      </c>
      <c r="D11">
        <v>2025</v>
      </c>
      <c r="E11" t="s">
        <v>11</v>
      </c>
      <c r="F11" t="s">
        <v>78</v>
      </c>
      <c r="L11" t="s">
        <v>152</v>
      </c>
      <c r="M11" t="s">
        <v>76</v>
      </c>
      <c r="N11">
        <v>14</v>
      </c>
      <c r="P11" t="str">
        <v>Freight Intermodal Facilities</v>
      </c>
    </row>
    <row r="12" spans="1:16" x14ac:dyDescent="0.25">
      <c r="A12" t="s">
        <v>8</v>
      </c>
      <c r="B12">
        <v>1</v>
      </c>
      <c r="C12" t="s">
        <v>160</v>
      </c>
      <c r="D12">
        <v>2025</v>
      </c>
      <c r="E12" t="s">
        <v>12</v>
      </c>
      <c r="F12" t="s">
        <v>78</v>
      </c>
      <c r="L12" t="s">
        <v>152</v>
      </c>
      <c r="M12" t="s">
        <v>76</v>
      </c>
      <c r="N12">
        <v>45</v>
      </c>
      <c r="P12" t="str">
        <v>Traffic Operations</v>
      </c>
    </row>
    <row r="13" spans="1:16" x14ac:dyDescent="0.25">
      <c r="A13" t="s">
        <v>8</v>
      </c>
      <c r="B13">
        <v>1</v>
      </c>
      <c r="C13" t="s">
        <v>160</v>
      </c>
      <c r="D13">
        <v>2025</v>
      </c>
      <c r="E13" t="s">
        <v>13</v>
      </c>
      <c r="F13" t="s">
        <v>78</v>
      </c>
      <c r="L13" t="s">
        <v>152</v>
      </c>
      <c r="M13" t="s">
        <v>76</v>
      </c>
      <c r="N13">
        <v>44</v>
      </c>
      <c r="P13" t="str">
        <v>Transit: Increased Fixed Route Service</v>
      </c>
    </row>
    <row r="14" spans="1:16" x14ac:dyDescent="0.25">
      <c r="A14" t="s">
        <v>8</v>
      </c>
      <c r="B14">
        <v>1</v>
      </c>
      <c r="C14" t="s">
        <v>160</v>
      </c>
      <c r="D14">
        <v>2025</v>
      </c>
      <c r="E14" t="s">
        <v>74</v>
      </c>
      <c r="F14" t="s">
        <v>79</v>
      </c>
      <c r="L14" t="s">
        <v>152</v>
      </c>
      <c r="M14" t="s">
        <v>76</v>
      </c>
      <c r="N14">
        <v>12</v>
      </c>
      <c r="P14" t="str">
        <v>Transit: Increased Demand Response Service</v>
      </c>
    </row>
    <row r="15" spans="1:16" x14ac:dyDescent="0.25">
      <c r="A15" t="s">
        <v>8</v>
      </c>
      <c r="B15">
        <v>1</v>
      </c>
      <c r="C15" t="s">
        <v>160</v>
      </c>
      <c r="D15">
        <v>2025</v>
      </c>
      <c r="E15" t="s">
        <v>11</v>
      </c>
      <c r="F15" t="s">
        <v>79</v>
      </c>
      <c r="L15" t="s">
        <v>152</v>
      </c>
      <c r="M15" t="s">
        <v>76</v>
      </c>
      <c r="N15">
        <v>35</v>
      </c>
      <c r="P15" t="str">
        <v>Public Transportation: Rail</v>
      </c>
    </row>
    <row r="16" spans="1:16" x14ac:dyDescent="0.25">
      <c r="A16" t="s">
        <v>8</v>
      </c>
      <c r="B16">
        <v>1</v>
      </c>
      <c r="C16" t="s">
        <v>160</v>
      </c>
      <c r="D16">
        <v>2025</v>
      </c>
      <c r="E16" t="s">
        <v>12</v>
      </c>
      <c r="F16" t="s">
        <v>79</v>
      </c>
      <c r="L16" t="s">
        <v>152</v>
      </c>
      <c r="M16" t="s">
        <v>76</v>
      </c>
      <c r="N16">
        <v>98</v>
      </c>
    </row>
    <row r="17" spans="1:14" x14ac:dyDescent="0.25">
      <c r="A17" t="s">
        <v>8</v>
      </c>
      <c r="B17">
        <v>1</v>
      </c>
      <c r="C17" t="s">
        <v>160</v>
      </c>
      <c r="D17">
        <v>2025</v>
      </c>
      <c r="E17" t="s">
        <v>13</v>
      </c>
      <c r="F17" t="s">
        <v>79</v>
      </c>
      <c r="L17" t="s">
        <v>152</v>
      </c>
      <c r="M17" t="s">
        <v>76</v>
      </c>
      <c r="N17">
        <v>48</v>
      </c>
    </row>
    <row r="18" spans="1:14" x14ac:dyDescent="0.25">
      <c r="A18" t="s">
        <v>8</v>
      </c>
      <c r="B18">
        <v>1</v>
      </c>
      <c r="C18" t="s">
        <v>160</v>
      </c>
      <c r="D18">
        <v>2025</v>
      </c>
      <c r="E18" t="s">
        <v>74</v>
      </c>
      <c r="F18" t="s">
        <v>80</v>
      </c>
      <c r="L18" t="s">
        <v>152</v>
      </c>
      <c r="M18" t="s">
        <v>76</v>
      </c>
      <c r="N18">
        <v>89</v>
      </c>
    </row>
    <row r="19" spans="1:14" x14ac:dyDescent="0.25">
      <c r="A19" t="s">
        <v>8</v>
      </c>
      <c r="B19">
        <v>1</v>
      </c>
      <c r="C19" t="s">
        <v>160</v>
      </c>
      <c r="D19">
        <v>2025</v>
      </c>
      <c r="E19" t="s">
        <v>11</v>
      </c>
      <c r="F19" t="s">
        <v>80</v>
      </c>
      <c r="L19" t="s">
        <v>152</v>
      </c>
      <c r="M19" t="s">
        <v>76</v>
      </c>
      <c r="N19">
        <v>44</v>
      </c>
    </row>
    <row r="20" spans="1:14" x14ac:dyDescent="0.25">
      <c r="A20" t="s">
        <v>8</v>
      </c>
      <c r="B20">
        <v>1</v>
      </c>
      <c r="C20" t="s">
        <v>160</v>
      </c>
      <c r="D20">
        <v>2025</v>
      </c>
      <c r="E20" t="s">
        <v>12</v>
      </c>
      <c r="F20" t="s">
        <v>80</v>
      </c>
      <c r="L20" t="s">
        <v>152</v>
      </c>
      <c r="M20" t="s">
        <v>76</v>
      </c>
      <c r="N20">
        <v>11</v>
      </c>
    </row>
    <row r="21" spans="1:14" x14ac:dyDescent="0.25">
      <c r="A21" t="s">
        <v>8</v>
      </c>
      <c r="B21">
        <v>1</v>
      </c>
      <c r="C21" t="s">
        <v>160</v>
      </c>
      <c r="D21">
        <v>2025</v>
      </c>
      <c r="E21" t="s">
        <v>12</v>
      </c>
      <c r="F21" t="s">
        <v>81</v>
      </c>
      <c r="L21" t="s">
        <v>152</v>
      </c>
      <c r="M21" t="s">
        <v>76</v>
      </c>
      <c r="N21">
        <v>12</v>
      </c>
    </row>
    <row r="22" spans="1:14" x14ac:dyDescent="0.25">
      <c r="A22" t="s">
        <v>8</v>
      </c>
      <c r="B22">
        <v>1</v>
      </c>
      <c r="C22" t="s">
        <v>160</v>
      </c>
      <c r="D22">
        <v>2025</v>
      </c>
      <c r="E22" t="s">
        <v>13</v>
      </c>
      <c r="F22" t="s">
        <v>81</v>
      </c>
      <c r="L22" t="s">
        <v>152</v>
      </c>
      <c r="M22" t="s">
        <v>76</v>
      </c>
      <c r="N22">
        <v>7</v>
      </c>
    </row>
    <row r="23" spans="1:14" x14ac:dyDescent="0.25">
      <c r="A23" t="s">
        <v>8</v>
      </c>
      <c r="B23">
        <v>1</v>
      </c>
      <c r="C23" t="s">
        <v>160</v>
      </c>
      <c r="D23">
        <v>2030</v>
      </c>
      <c r="E23" t="s">
        <v>74</v>
      </c>
      <c r="F23" t="s">
        <v>75</v>
      </c>
      <c r="L23" t="s">
        <v>152</v>
      </c>
      <c r="M23" t="s">
        <v>76</v>
      </c>
      <c r="N23">
        <v>3</v>
      </c>
    </row>
    <row r="24" spans="1:14" x14ac:dyDescent="0.25">
      <c r="A24" t="s">
        <v>8</v>
      </c>
      <c r="B24">
        <v>1</v>
      </c>
      <c r="C24" t="s">
        <v>160</v>
      </c>
      <c r="D24">
        <v>2030</v>
      </c>
      <c r="E24" t="s">
        <v>11</v>
      </c>
      <c r="F24" t="s">
        <v>75</v>
      </c>
      <c r="L24" t="s">
        <v>152</v>
      </c>
      <c r="M24" t="s">
        <v>76</v>
      </c>
      <c r="N24">
        <v>55</v>
      </c>
    </row>
    <row r="25" spans="1:14" x14ac:dyDescent="0.25">
      <c r="A25" t="s">
        <v>8</v>
      </c>
      <c r="B25">
        <v>1</v>
      </c>
      <c r="C25" t="s">
        <v>160</v>
      </c>
      <c r="D25">
        <v>2030</v>
      </c>
      <c r="E25" t="s">
        <v>12</v>
      </c>
      <c r="F25" t="s">
        <v>75</v>
      </c>
      <c r="L25" t="s">
        <v>152</v>
      </c>
      <c r="M25" t="s">
        <v>76</v>
      </c>
      <c r="N25">
        <v>10</v>
      </c>
    </row>
    <row r="26" spans="1:14" x14ac:dyDescent="0.25">
      <c r="A26" t="s">
        <v>8</v>
      </c>
      <c r="B26">
        <v>1</v>
      </c>
      <c r="C26" t="s">
        <v>160</v>
      </c>
      <c r="D26">
        <v>2030</v>
      </c>
      <c r="E26" t="s">
        <v>13</v>
      </c>
      <c r="F26" t="s">
        <v>75</v>
      </c>
      <c r="L26" t="s">
        <v>152</v>
      </c>
      <c r="M26" t="s">
        <v>76</v>
      </c>
      <c r="N26">
        <v>23</v>
      </c>
    </row>
    <row r="27" spans="1:14" x14ac:dyDescent="0.25">
      <c r="A27" t="s">
        <v>8</v>
      </c>
      <c r="B27">
        <v>1</v>
      </c>
      <c r="C27" t="s">
        <v>160</v>
      </c>
      <c r="D27">
        <v>2030</v>
      </c>
      <c r="E27" t="s">
        <v>74</v>
      </c>
      <c r="F27" t="s">
        <v>77</v>
      </c>
      <c r="L27" t="s">
        <v>152</v>
      </c>
      <c r="M27" t="s">
        <v>76</v>
      </c>
      <c r="N27">
        <v>11</v>
      </c>
    </row>
    <row r="28" spans="1:14" x14ac:dyDescent="0.25">
      <c r="A28" t="s">
        <v>8</v>
      </c>
      <c r="B28">
        <v>1</v>
      </c>
      <c r="C28" t="s">
        <v>160</v>
      </c>
      <c r="D28">
        <v>2030</v>
      </c>
      <c r="E28" t="s">
        <v>11</v>
      </c>
      <c r="F28" t="s">
        <v>77</v>
      </c>
      <c r="L28" t="s">
        <v>152</v>
      </c>
      <c r="M28" t="s">
        <v>76</v>
      </c>
      <c r="N28">
        <v>10</v>
      </c>
    </row>
    <row r="29" spans="1:14" x14ac:dyDescent="0.25">
      <c r="A29" t="s">
        <v>8</v>
      </c>
      <c r="B29">
        <v>1</v>
      </c>
      <c r="C29" t="s">
        <v>160</v>
      </c>
      <c r="D29">
        <v>2030</v>
      </c>
      <c r="E29" t="s">
        <v>12</v>
      </c>
      <c r="F29" t="s">
        <v>77</v>
      </c>
      <c r="L29" t="s">
        <v>152</v>
      </c>
      <c r="M29" t="s">
        <v>76</v>
      </c>
      <c r="N29">
        <v>11</v>
      </c>
    </row>
    <row r="30" spans="1:14" x14ac:dyDescent="0.25">
      <c r="A30" t="s">
        <v>8</v>
      </c>
      <c r="B30">
        <v>1</v>
      </c>
      <c r="C30" t="s">
        <v>160</v>
      </c>
      <c r="D30">
        <v>2030</v>
      </c>
      <c r="E30" t="s">
        <v>13</v>
      </c>
      <c r="F30" t="s">
        <v>77</v>
      </c>
      <c r="L30" t="s">
        <v>152</v>
      </c>
      <c r="M30" t="s">
        <v>76</v>
      </c>
      <c r="N30">
        <v>13</v>
      </c>
    </row>
    <row r="31" spans="1:14" x14ac:dyDescent="0.25">
      <c r="A31" t="s">
        <v>8</v>
      </c>
      <c r="B31">
        <v>1</v>
      </c>
      <c r="C31" t="s">
        <v>160</v>
      </c>
      <c r="D31">
        <v>2030</v>
      </c>
      <c r="E31" t="s">
        <v>74</v>
      </c>
      <c r="F31" t="s">
        <v>78</v>
      </c>
      <c r="L31" t="s">
        <v>152</v>
      </c>
      <c r="M31" t="s">
        <v>76</v>
      </c>
      <c r="N31">
        <v>14</v>
      </c>
    </row>
    <row r="32" spans="1:14" x14ac:dyDescent="0.25">
      <c r="A32" t="s">
        <v>8</v>
      </c>
      <c r="B32">
        <v>1</v>
      </c>
      <c r="C32" t="s">
        <v>160</v>
      </c>
      <c r="D32">
        <v>2030</v>
      </c>
      <c r="E32" t="s">
        <v>11</v>
      </c>
      <c r="F32" t="s">
        <v>78</v>
      </c>
      <c r="L32" t="s">
        <v>152</v>
      </c>
      <c r="M32" t="s">
        <v>76</v>
      </c>
      <c r="N32">
        <v>72</v>
      </c>
    </row>
    <row r="33" spans="1:14" x14ac:dyDescent="0.25">
      <c r="A33" t="s">
        <v>8</v>
      </c>
      <c r="B33">
        <v>1</v>
      </c>
      <c r="C33" t="s">
        <v>160</v>
      </c>
      <c r="D33">
        <v>2030</v>
      </c>
      <c r="E33" t="s">
        <v>12</v>
      </c>
      <c r="F33" t="s">
        <v>78</v>
      </c>
      <c r="L33" t="s">
        <v>152</v>
      </c>
      <c r="M33" t="s">
        <v>76</v>
      </c>
      <c r="N33">
        <v>14</v>
      </c>
    </row>
    <row r="34" spans="1:14" x14ac:dyDescent="0.25">
      <c r="A34" t="s">
        <v>8</v>
      </c>
      <c r="B34">
        <v>1</v>
      </c>
      <c r="C34" t="s">
        <v>160</v>
      </c>
      <c r="D34">
        <v>2030</v>
      </c>
      <c r="E34" t="s">
        <v>13</v>
      </c>
      <c r="F34" t="s">
        <v>78</v>
      </c>
      <c r="L34" t="s">
        <v>152</v>
      </c>
      <c r="M34" t="s">
        <v>76</v>
      </c>
      <c r="N34">
        <v>45</v>
      </c>
    </row>
    <row r="35" spans="1:14" x14ac:dyDescent="0.25">
      <c r="A35" t="s">
        <v>8</v>
      </c>
      <c r="B35">
        <v>1</v>
      </c>
      <c r="C35" t="s">
        <v>160</v>
      </c>
      <c r="D35">
        <v>2030</v>
      </c>
      <c r="E35" t="s">
        <v>74</v>
      </c>
      <c r="F35" t="s">
        <v>79</v>
      </c>
      <c r="L35" t="s">
        <v>152</v>
      </c>
      <c r="M35" t="s">
        <v>76</v>
      </c>
      <c r="N35">
        <v>44</v>
      </c>
    </row>
    <row r="36" spans="1:14" x14ac:dyDescent="0.25">
      <c r="A36" t="s">
        <v>8</v>
      </c>
      <c r="B36">
        <v>1</v>
      </c>
      <c r="C36" t="s">
        <v>160</v>
      </c>
      <c r="D36">
        <v>2030</v>
      </c>
      <c r="E36" t="s">
        <v>11</v>
      </c>
      <c r="F36" t="s">
        <v>79</v>
      </c>
      <c r="L36" t="s">
        <v>152</v>
      </c>
      <c r="M36" t="s">
        <v>76</v>
      </c>
      <c r="N36">
        <v>12</v>
      </c>
    </row>
    <row r="37" spans="1:14" x14ac:dyDescent="0.25">
      <c r="A37" t="s">
        <v>8</v>
      </c>
      <c r="B37">
        <v>1</v>
      </c>
      <c r="C37" t="s">
        <v>160</v>
      </c>
      <c r="D37">
        <v>2030</v>
      </c>
      <c r="E37" t="s">
        <v>12</v>
      </c>
      <c r="F37" t="s">
        <v>79</v>
      </c>
      <c r="L37" t="s">
        <v>152</v>
      </c>
      <c r="M37" t="s">
        <v>76</v>
      </c>
      <c r="N37">
        <v>35</v>
      </c>
    </row>
    <row r="38" spans="1:14" x14ac:dyDescent="0.25">
      <c r="A38" t="s">
        <v>8</v>
      </c>
      <c r="B38">
        <v>1</v>
      </c>
      <c r="C38" t="s">
        <v>160</v>
      </c>
      <c r="D38">
        <v>2030</v>
      </c>
      <c r="E38" t="s">
        <v>13</v>
      </c>
      <c r="F38" t="s">
        <v>79</v>
      </c>
      <c r="L38" t="s">
        <v>152</v>
      </c>
      <c r="M38" t="s">
        <v>76</v>
      </c>
      <c r="N38">
        <v>98</v>
      </c>
    </row>
    <row r="39" spans="1:14" x14ac:dyDescent="0.25">
      <c r="A39" t="s">
        <v>8</v>
      </c>
      <c r="B39">
        <v>1</v>
      </c>
      <c r="C39" t="s">
        <v>160</v>
      </c>
      <c r="D39">
        <v>2030</v>
      </c>
      <c r="E39" t="s">
        <v>74</v>
      </c>
      <c r="F39" t="s">
        <v>80</v>
      </c>
      <c r="L39" t="s">
        <v>152</v>
      </c>
      <c r="M39" t="s">
        <v>76</v>
      </c>
      <c r="N39">
        <v>48</v>
      </c>
    </row>
    <row r="40" spans="1:14" x14ac:dyDescent="0.25">
      <c r="A40" t="s">
        <v>8</v>
      </c>
      <c r="B40">
        <v>1</v>
      </c>
      <c r="C40" t="s">
        <v>160</v>
      </c>
      <c r="D40">
        <v>2030</v>
      </c>
      <c r="E40" t="s">
        <v>11</v>
      </c>
      <c r="F40" t="s">
        <v>80</v>
      </c>
      <c r="L40" t="s">
        <v>152</v>
      </c>
      <c r="M40" t="s">
        <v>76</v>
      </c>
      <c r="N40">
        <v>89</v>
      </c>
    </row>
    <row r="41" spans="1:14" x14ac:dyDescent="0.25">
      <c r="A41" t="s">
        <v>8</v>
      </c>
      <c r="B41">
        <v>1</v>
      </c>
      <c r="C41" t="s">
        <v>160</v>
      </c>
      <c r="D41">
        <v>2030</v>
      </c>
      <c r="E41" t="s">
        <v>12</v>
      </c>
      <c r="F41" t="s">
        <v>80</v>
      </c>
      <c r="L41" t="s">
        <v>152</v>
      </c>
      <c r="M41" t="s">
        <v>76</v>
      </c>
      <c r="N41">
        <v>44</v>
      </c>
    </row>
    <row r="42" spans="1:14" x14ac:dyDescent="0.25">
      <c r="A42" t="s">
        <v>8</v>
      </c>
      <c r="B42">
        <v>1</v>
      </c>
      <c r="C42" t="s">
        <v>160</v>
      </c>
      <c r="D42">
        <v>2030</v>
      </c>
      <c r="E42" t="s">
        <v>12</v>
      </c>
      <c r="F42" t="s">
        <v>81</v>
      </c>
      <c r="L42" t="s">
        <v>152</v>
      </c>
      <c r="M42" t="s">
        <v>76</v>
      </c>
      <c r="N42">
        <v>11</v>
      </c>
    </row>
    <row r="43" spans="1:14" x14ac:dyDescent="0.25">
      <c r="A43" t="s">
        <v>8</v>
      </c>
      <c r="B43">
        <v>1</v>
      </c>
      <c r="C43" t="s">
        <v>160</v>
      </c>
      <c r="D43">
        <v>2030</v>
      </c>
      <c r="E43" t="s">
        <v>13</v>
      </c>
      <c r="F43" t="s">
        <v>81</v>
      </c>
      <c r="L43" t="s">
        <v>152</v>
      </c>
      <c r="M43" t="s">
        <v>76</v>
      </c>
      <c r="N43">
        <v>12</v>
      </c>
    </row>
    <row r="44" spans="1:14" x14ac:dyDescent="0.25">
      <c r="A44" t="s">
        <v>8</v>
      </c>
      <c r="B44">
        <v>1</v>
      </c>
      <c r="C44" t="s">
        <v>160</v>
      </c>
      <c r="D44">
        <v>2050</v>
      </c>
      <c r="E44" t="s">
        <v>74</v>
      </c>
      <c r="F44" t="s">
        <v>75</v>
      </c>
      <c r="L44" t="s">
        <v>152</v>
      </c>
      <c r="M44" t="s">
        <v>76</v>
      </c>
      <c r="N44">
        <v>7</v>
      </c>
    </row>
    <row r="45" spans="1:14" x14ac:dyDescent="0.25">
      <c r="A45" t="s">
        <v>8</v>
      </c>
      <c r="B45">
        <v>1</v>
      </c>
      <c r="C45" t="s">
        <v>160</v>
      </c>
      <c r="D45">
        <v>2050</v>
      </c>
      <c r="E45" t="s">
        <v>11</v>
      </c>
      <c r="F45" t="s">
        <v>75</v>
      </c>
      <c r="L45" t="s">
        <v>152</v>
      </c>
      <c r="M45" t="s">
        <v>76</v>
      </c>
      <c r="N45">
        <v>3</v>
      </c>
    </row>
    <row r="46" spans="1:14" x14ac:dyDescent="0.25">
      <c r="A46" t="s">
        <v>8</v>
      </c>
      <c r="B46">
        <v>1</v>
      </c>
      <c r="C46" t="s">
        <v>160</v>
      </c>
      <c r="D46">
        <v>2050</v>
      </c>
      <c r="E46" t="s">
        <v>12</v>
      </c>
      <c r="F46" t="s">
        <v>75</v>
      </c>
      <c r="L46" t="s">
        <v>152</v>
      </c>
      <c r="M46" t="s">
        <v>76</v>
      </c>
      <c r="N46">
        <v>55</v>
      </c>
    </row>
    <row r="47" spans="1:14" x14ac:dyDescent="0.25">
      <c r="A47" t="s">
        <v>8</v>
      </c>
      <c r="B47">
        <v>1</v>
      </c>
      <c r="C47" t="s">
        <v>160</v>
      </c>
      <c r="D47">
        <v>2050</v>
      </c>
      <c r="E47" t="s">
        <v>13</v>
      </c>
      <c r="F47" t="s">
        <v>75</v>
      </c>
      <c r="L47" t="s">
        <v>152</v>
      </c>
      <c r="M47" t="s">
        <v>76</v>
      </c>
      <c r="N47">
        <v>10</v>
      </c>
    </row>
    <row r="48" spans="1:14" x14ac:dyDescent="0.25">
      <c r="A48" t="s">
        <v>8</v>
      </c>
      <c r="B48">
        <v>1</v>
      </c>
      <c r="C48" t="s">
        <v>160</v>
      </c>
      <c r="D48">
        <v>2050</v>
      </c>
      <c r="E48" t="s">
        <v>74</v>
      </c>
      <c r="F48" t="s">
        <v>77</v>
      </c>
      <c r="L48" t="s">
        <v>152</v>
      </c>
      <c r="M48" t="s">
        <v>76</v>
      </c>
      <c r="N48">
        <v>23</v>
      </c>
    </row>
    <row r="49" spans="1:14" x14ac:dyDescent="0.25">
      <c r="A49" t="s">
        <v>8</v>
      </c>
      <c r="B49">
        <v>1</v>
      </c>
      <c r="C49" t="s">
        <v>160</v>
      </c>
      <c r="D49">
        <v>2050</v>
      </c>
      <c r="E49" t="s">
        <v>11</v>
      </c>
      <c r="F49" t="s">
        <v>77</v>
      </c>
      <c r="L49" t="s">
        <v>152</v>
      </c>
      <c r="M49" t="s">
        <v>76</v>
      </c>
      <c r="N49">
        <v>12</v>
      </c>
    </row>
    <row r="50" spans="1:14" x14ac:dyDescent="0.25">
      <c r="A50" t="s">
        <v>8</v>
      </c>
      <c r="B50">
        <v>1</v>
      </c>
      <c r="C50" t="s">
        <v>160</v>
      </c>
      <c r="D50">
        <v>2050</v>
      </c>
      <c r="E50" t="s">
        <v>12</v>
      </c>
      <c r="F50" t="s">
        <v>77</v>
      </c>
      <c r="L50" t="s">
        <v>152</v>
      </c>
      <c r="M50" t="s">
        <v>76</v>
      </c>
      <c r="N50">
        <v>7</v>
      </c>
    </row>
    <row r="51" spans="1:14" x14ac:dyDescent="0.25">
      <c r="A51" t="s">
        <v>8</v>
      </c>
      <c r="B51">
        <v>1</v>
      </c>
      <c r="C51" t="s">
        <v>160</v>
      </c>
      <c r="D51">
        <v>2050</v>
      </c>
      <c r="E51" t="s">
        <v>13</v>
      </c>
      <c r="F51" t="s">
        <v>77</v>
      </c>
      <c r="L51" t="s">
        <v>152</v>
      </c>
      <c r="M51" t="s">
        <v>76</v>
      </c>
      <c r="N51">
        <v>3</v>
      </c>
    </row>
    <row r="52" spans="1:14" x14ac:dyDescent="0.25">
      <c r="A52" t="s">
        <v>8</v>
      </c>
      <c r="B52">
        <v>1</v>
      </c>
      <c r="C52" t="s">
        <v>160</v>
      </c>
      <c r="D52">
        <v>2050</v>
      </c>
      <c r="E52" t="s">
        <v>74</v>
      </c>
      <c r="F52" t="s">
        <v>78</v>
      </c>
      <c r="L52" t="s">
        <v>152</v>
      </c>
      <c r="M52" t="s">
        <v>76</v>
      </c>
      <c r="N52">
        <v>55</v>
      </c>
    </row>
    <row r="53" spans="1:14" x14ac:dyDescent="0.25">
      <c r="A53" t="s">
        <v>8</v>
      </c>
      <c r="B53">
        <v>1</v>
      </c>
      <c r="C53" t="s">
        <v>160</v>
      </c>
      <c r="D53">
        <v>2050</v>
      </c>
      <c r="E53" t="s">
        <v>11</v>
      </c>
      <c r="F53" t="s">
        <v>78</v>
      </c>
      <c r="L53" t="s">
        <v>152</v>
      </c>
      <c r="M53" t="s">
        <v>76</v>
      </c>
      <c r="N53">
        <v>10</v>
      </c>
    </row>
    <row r="54" spans="1:14" x14ac:dyDescent="0.25">
      <c r="A54" t="s">
        <v>8</v>
      </c>
      <c r="B54">
        <v>1</v>
      </c>
      <c r="C54" t="s">
        <v>160</v>
      </c>
      <c r="D54">
        <v>2050</v>
      </c>
      <c r="E54" t="s">
        <v>12</v>
      </c>
      <c r="F54" t="s">
        <v>78</v>
      </c>
      <c r="L54" t="s">
        <v>152</v>
      </c>
      <c r="M54" t="s">
        <v>76</v>
      </c>
      <c r="N54">
        <v>23</v>
      </c>
    </row>
    <row r="55" spans="1:14" x14ac:dyDescent="0.25">
      <c r="A55" t="s">
        <v>8</v>
      </c>
      <c r="B55">
        <v>1</v>
      </c>
      <c r="C55" t="s">
        <v>160</v>
      </c>
      <c r="D55">
        <v>2050</v>
      </c>
      <c r="E55" t="s">
        <v>13</v>
      </c>
      <c r="F55" t="s">
        <v>78</v>
      </c>
      <c r="L55" t="s">
        <v>152</v>
      </c>
      <c r="M55" t="s">
        <v>76</v>
      </c>
      <c r="N55">
        <v>47</v>
      </c>
    </row>
    <row r="56" spans="1:14" x14ac:dyDescent="0.25">
      <c r="A56" t="s">
        <v>8</v>
      </c>
      <c r="B56">
        <v>1</v>
      </c>
      <c r="C56" t="s">
        <v>160</v>
      </c>
      <c r="D56">
        <v>2050</v>
      </c>
      <c r="E56" t="s">
        <v>74</v>
      </c>
      <c r="F56" t="s">
        <v>79</v>
      </c>
      <c r="L56" t="s">
        <v>152</v>
      </c>
      <c r="M56" t="s">
        <v>76</v>
      </c>
      <c r="N56">
        <v>52</v>
      </c>
    </row>
    <row r="57" spans="1:14" x14ac:dyDescent="0.25">
      <c r="A57" t="s">
        <v>8</v>
      </c>
      <c r="B57">
        <v>1</v>
      </c>
      <c r="C57" t="s">
        <v>160</v>
      </c>
      <c r="D57">
        <v>2050</v>
      </c>
      <c r="E57" t="s">
        <v>11</v>
      </c>
      <c r="F57" t="s">
        <v>79</v>
      </c>
      <c r="L57" t="s">
        <v>152</v>
      </c>
      <c r="M57" t="s">
        <v>76</v>
      </c>
      <c r="N57">
        <v>11</v>
      </c>
    </row>
    <row r="58" spans="1:14" x14ac:dyDescent="0.25">
      <c r="A58" t="s">
        <v>8</v>
      </c>
      <c r="B58">
        <v>1</v>
      </c>
      <c r="C58" t="s">
        <v>160</v>
      </c>
      <c r="D58">
        <v>2050</v>
      </c>
      <c r="E58" t="s">
        <v>12</v>
      </c>
      <c r="F58" t="s">
        <v>79</v>
      </c>
      <c r="L58" t="s">
        <v>152</v>
      </c>
      <c r="M58" t="s">
        <v>76</v>
      </c>
      <c r="N58">
        <v>42</v>
      </c>
    </row>
    <row r="59" spans="1:14" x14ac:dyDescent="0.25">
      <c r="A59" t="s">
        <v>8</v>
      </c>
      <c r="B59">
        <v>1</v>
      </c>
      <c r="C59" t="s">
        <v>160</v>
      </c>
      <c r="D59">
        <v>2050</v>
      </c>
      <c r="E59" t="s">
        <v>13</v>
      </c>
      <c r="F59" t="s">
        <v>79</v>
      </c>
      <c r="L59" t="s">
        <v>152</v>
      </c>
      <c r="M59" t="s">
        <v>76</v>
      </c>
      <c r="N59">
        <v>14</v>
      </c>
    </row>
    <row r="60" spans="1:14" x14ac:dyDescent="0.25">
      <c r="A60" t="s">
        <v>8</v>
      </c>
      <c r="B60">
        <v>1</v>
      </c>
      <c r="C60" t="s">
        <v>160</v>
      </c>
      <c r="D60">
        <v>2050</v>
      </c>
      <c r="E60" t="s">
        <v>74</v>
      </c>
      <c r="F60" t="s">
        <v>80</v>
      </c>
      <c r="L60" t="s">
        <v>152</v>
      </c>
      <c r="M60" t="s">
        <v>76</v>
      </c>
      <c r="N60">
        <v>24</v>
      </c>
    </row>
    <row r="61" spans="1:14" x14ac:dyDescent="0.25">
      <c r="A61" t="s">
        <v>8</v>
      </c>
      <c r="B61">
        <v>1</v>
      </c>
      <c r="C61" t="s">
        <v>160</v>
      </c>
      <c r="D61">
        <v>2050</v>
      </c>
      <c r="E61" t="s">
        <v>11</v>
      </c>
      <c r="F61" t="s">
        <v>80</v>
      </c>
      <c r="L61" t="s">
        <v>152</v>
      </c>
      <c r="M61" t="s">
        <v>76</v>
      </c>
      <c r="N61">
        <v>18</v>
      </c>
    </row>
    <row r="62" spans="1:14" x14ac:dyDescent="0.25">
      <c r="A62" t="s">
        <v>8</v>
      </c>
      <c r="B62">
        <v>1</v>
      </c>
      <c r="C62" t="s">
        <v>160</v>
      </c>
      <c r="D62">
        <v>2050</v>
      </c>
      <c r="E62" t="s">
        <v>12</v>
      </c>
      <c r="F62" t="s">
        <v>80</v>
      </c>
      <c r="L62" t="s">
        <v>152</v>
      </c>
      <c r="M62" t="s">
        <v>76</v>
      </c>
      <c r="N62">
        <v>40</v>
      </c>
    </row>
    <row r="63" spans="1:14" x14ac:dyDescent="0.25">
      <c r="A63" t="s">
        <v>8</v>
      </c>
      <c r="B63">
        <v>1</v>
      </c>
      <c r="C63" t="s">
        <v>160</v>
      </c>
      <c r="D63">
        <v>2050</v>
      </c>
      <c r="E63" t="s">
        <v>12</v>
      </c>
      <c r="F63" t="s">
        <v>81</v>
      </c>
      <c r="L63" t="s">
        <v>152</v>
      </c>
      <c r="M63" t="s">
        <v>76</v>
      </c>
      <c r="N63">
        <v>12</v>
      </c>
    </row>
    <row r="64" spans="1:14" x14ac:dyDescent="0.25">
      <c r="A64" t="s">
        <v>8</v>
      </c>
      <c r="B64">
        <v>1</v>
      </c>
      <c r="C64" t="s">
        <v>160</v>
      </c>
      <c r="D64">
        <v>2050</v>
      </c>
      <c r="E64" t="s">
        <v>13</v>
      </c>
      <c r="F64" t="s">
        <v>81</v>
      </c>
      <c r="L64" t="s">
        <v>152</v>
      </c>
      <c r="M64" t="s">
        <v>76</v>
      </c>
      <c r="N64">
        <v>13</v>
      </c>
    </row>
    <row r="65" spans="1:14" x14ac:dyDescent="0.25">
      <c r="A65" t="s">
        <v>82</v>
      </c>
      <c r="C65" t="s">
        <v>82</v>
      </c>
      <c r="D65">
        <v>2025</v>
      </c>
      <c r="G65" t="s">
        <v>15</v>
      </c>
      <c r="L65" t="s">
        <v>153</v>
      </c>
      <c r="M65" t="s">
        <v>83</v>
      </c>
      <c r="N65">
        <v>44</v>
      </c>
    </row>
    <row r="66" spans="1:14" x14ac:dyDescent="0.25">
      <c r="A66" t="s">
        <v>82</v>
      </c>
      <c r="C66" t="s">
        <v>82</v>
      </c>
      <c r="D66">
        <v>2025</v>
      </c>
      <c r="G66" t="s">
        <v>17</v>
      </c>
      <c r="L66" t="s">
        <v>153</v>
      </c>
      <c r="M66" t="s">
        <v>83</v>
      </c>
      <c r="N66">
        <v>78</v>
      </c>
    </row>
    <row r="67" spans="1:14" x14ac:dyDescent="0.25">
      <c r="A67" t="s">
        <v>82</v>
      </c>
      <c r="C67" t="s">
        <v>82</v>
      </c>
      <c r="D67">
        <v>2025</v>
      </c>
      <c r="G67" t="s">
        <v>18</v>
      </c>
      <c r="L67" t="s">
        <v>153</v>
      </c>
      <c r="M67" t="s">
        <v>83</v>
      </c>
      <c r="N67">
        <v>14</v>
      </c>
    </row>
    <row r="68" spans="1:14" x14ac:dyDescent="0.25">
      <c r="A68" t="s">
        <v>82</v>
      </c>
      <c r="C68" t="s">
        <v>82</v>
      </c>
      <c r="D68">
        <v>2025</v>
      </c>
      <c r="G68" t="s">
        <v>19</v>
      </c>
      <c r="L68" t="s">
        <v>153</v>
      </c>
      <c r="M68" t="s">
        <v>83</v>
      </c>
      <c r="N68">
        <v>70</v>
      </c>
    </row>
    <row r="69" spans="1:14" x14ac:dyDescent="0.25">
      <c r="A69" t="s">
        <v>82</v>
      </c>
      <c r="C69" t="s">
        <v>82</v>
      </c>
      <c r="D69">
        <v>2025</v>
      </c>
      <c r="G69" t="s">
        <v>20</v>
      </c>
      <c r="L69" t="s">
        <v>153</v>
      </c>
      <c r="M69" t="s">
        <v>83</v>
      </c>
      <c r="N69">
        <v>45</v>
      </c>
    </row>
    <row r="70" spans="1:14" x14ac:dyDescent="0.25">
      <c r="A70" t="s">
        <v>82</v>
      </c>
      <c r="C70" t="s">
        <v>82</v>
      </c>
      <c r="D70">
        <v>2030</v>
      </c>
      <c r="G70" t="s">
        <v>15</v>
      </c>
      <c r="L70" t="s">
        <v>153</v>
      </c>
      <c r="M70" t="s">
        <v>83</v>
      </c>
      <c r="N70">
        <v>44</v>
      </c>
    </row>
    <row r="71" spans="1:14" x14ac:dyDescent="0.25">
      <c r="A71" t="s">
        <v>82</v>
      </c>
      <c r="C71" t="s">
        <v>82</v>
      </c>
      <c r="D71">
        <v>2030</v>
      </c>
      <c r="G71" t="s">
        <v>17</v>
      </c>
      <c r="L71" t="s">
        <v>153</v>
      </c>
      <c r="M71" t="s">
        <v>83</v>
      </c>
      <c r="N71">
        <v>78</v>
      </c>
    </row>
    <row r="72" spans="1:14" x14ac:dyDescent="0.25">
      <c r="A72" t="s">
        <v>82</v>
      </c>
      <c r="C72" t="s">
        <v>82</v>
      </c>
      <c r="D72">
        <v>2030</v>
      </c>
      <c r="G72" t="s">
        <v>18</v>
      </c>
      <c r="L72" t="s">
        <v>153</v>
      </c>
      <c r="M72" t="s">
        <v>83</v>
      </c>
      <c r="N72">
        <v>14</v>
      </c>
    </row>
    <row r="73" spans="1:14" x14ac:dyDescent="0.25">
      <c r="A73" t="s">
        <v>82</v>
      </c>
      <c r="C73" t="s">
        <v>82</v>
      </c>
      <c r="D73">
        <v>2030</v>
      </c>
      <c r="G73" t="s">
        <v>19</v>
      </c>
      <c r="L73" t="s">
        <v>153</v>
      </c>
      <c r="M73" t="s">
        <v>83</v>
      </c>
      <c r="N73">
        <v>70</v>
      </c>
    </row>
    <row r="74" spans="1:14" x14ac:dyDescent="0.25">
      <c r="A74" t="s">
        <v>82</v>
      </c>
      <c r="C74" t="s">
        <v>82</v>
      </c>
      <c r="D74">
        <v>2030</v>
      </c>
      <c r="G74" t="s">
        <v>20</v>
      </c>
      <c r="L74" t="s">
        <v>153</v>
      </c>
      <c r="M74" t="s">
        <v>83</v>
      </c>
      <c r="N74">
        <v>45</v>
      </c>
    </row>
    <row r="75" spans="1:14" x14ac:dyDescent="0.25">
      <c r="A75" t="s">
        <v>82</v>
      </c>
      <c r="C75" t="s">
        <v>82</v>
      </c>
      <c r="D75">
        <v>2050</v>
      </c>
      <c r="G75" t="s">
        <v>15</v>
      </c>
      <c r="L75" t="s">
        <v>153</v>
      </c>
      <c r="M75" t="s">
        <v>83</v>
      </c>
      <c r="N75">
        <v>44</v>
      </c>
    </row>
    <row r="76" spans="1:14" x14ac:dyDescent="0.25">
      <c r="A76" t="s">
        <v>82</v>
      </c>
      <c r="C76" t="s">
        <v>82</v>
      </c>
      <c r="D76">
        <v>2050</v>
      </c>
      <c r="G76" t="s">
        <v>17</v>
      </c>
      <c r="L76" t="s">
        <v>153</v>
      </c>
      <c r="M76" t="s">
        <v>83</v>
      </c>
      <c r="N76">
        <v>78</v>
      </c>
    </row>
    <row r="77" spans="1:14" x14ac:dyDescent="0.25">
      <c r="A77" t="s">
        <v>82</v>
      </c>
      <c r="C77" t="s">
        <v>82</v>
      </c>
      <c r="D77">
        <v>2050</v>
      </c>
      <c r="G77" t="s">
        <v>18</v>
      </c>
      <c r="L77" t="s">
        <v>153</v>
      </c>
      <c r="M77" t="s">
        <v>83</v>
      </c>
      <c r="N77">
        <v>14</v>
      </c>
    </row>
    <row r="78" spans="1:14" x14ac:dyDescent="0.25">
      <c r="A78" t="s">
        <v>82</v>
      </c>
      <c r="C78" t="s">
        <v>82</v>
      </c>
      <c r="D78">
        <v>2050</v>
      </c>
      <c r="G78" t="s">
        <v>19</v>
      </c>
      <c r="L78" t="s">
        <v>153</v>
      </c>
      <c r="M78" t="s">
        <v>83</v>
      </c>
      <c r="N78">
        <v>70</v>
      </c>
    </row>
    <row r="79" spans="1:14" x14ac:dyDescent="0.25">
      <c r="A79" t="s">
        <v>82</v>
      </c>
      <c r="C79" t="s">
        <v>82</v>
      </c>
      <c r="D79">
        <v>2050</v>
      </c>
      <c r="G79" t="s">
        <v>20</v>
      </c>
      <c r="L79" t="s">
        <v>153</v>
      </c>
      <c r="M79" t="s">
        <v>83</v>
      </c>
      <c r="N79">
        <v>45</v>
      </c>
    </row>
    <row r="80" spans="1:14" x14ac:dyDescent="0.25">
      <c r="A80" t="s">
        <v>23</v>
      </c>
      <c r="C80" t="s">
        <v>23</v>
      </c>
      <c r="D80">
        <v>2025</v>
      </c>
      <c r="H80" t="s">
        <v>24</v>
      </c>
      <c r="I80" t="s">
        <v>71</v>
      </c>
      <c r="L80" t="s">
        <v>154</v>
      </c>
      <c r="M80" t="s">
        <v>84</v>
      </c>
      <c r="N80">
        <v>105</v>
      </c>
    </row>
    <row r="81" spans="1:14" x14ac:dyDescent="0.25">
      <c r="A81" t="s">
        <v>23</v>
      </c>
      <c r="C81" t="s">
        <v>23</v>
      </c>
      <c r="D81">
        <v>2025</v>
      </c>
      <c r="H81" t="s">
        <v>26</v>
      </c>
      <c r="I81" t="s">
        <v>71</v>
      </c>
      <c r="L81" t="s">
        <v>154</v>
      </c>
      <c r="M81" t="s">
        <v>84</v>
      </c>
      <c r="N81">
        <v>156</v>
      </c>
    </row>
    <row r="82" spans="1:14" x14ac:dyDescent="0.25">
      <c r="A82" t="s">
        <v>23</v>
      </c>
      <c r="C82" t="s">
        <v>23</v>
      </c>
      <c r="D82">
        <v>2025</v>
      </c>
      <c r="H82" t="s">
        <v>26</v>
      </c>
      <c r="I82" t="s">
        <v>66</v>
      </c>
      <c r="L82" t="s">
        <v>154</v>
      </c>
      <c r="M82" t="s">
        <v>84</v>
      </c>
      <c r="N82">
        <v>50</v>
      </c>
    </row>
    <row r="83" spans="1:14" x14ac:dyDescent="0.25">
      <c r="A83" t="s">
        <v>23</v>
      </c>
      <c r="C83" t="s">
        <v>23</v>
      </c>
      <c r="D83">
        <v>2025</v>
      </c>
      <c r="H83" t="s">
        <v>27</v>
      </c>
      <c r="I83" t="s">
        <v>66</v>
      </c>
      <c r="L83" t="s">
        <v>154</v>
      </c>
      <c r="M83" t="s">
        <v>84</v>
      </c>
      <c r="N83">
        <v>11</v>
      </c>
    </row>
    <row r="84" spans="1:14" x14ac:dyDescent="0.25">
      <c r="A84" t="s">
        <v>23</v>
      </c>
      <c r="C84" t="s">
        <v>23</v>
      </c>
      <c r="D84">
        <v>2025</v>
      </c>
      <c r="H84" t="s">
        <v>28</v>
      </c>
      <c r="I84" t="s">
        <v>66</v>
      </c>
      <c r="L84" t="s">
        <v>154</v>
      </c>
      <c r="M84" t="s">
        <v>84</v>
      </c>
      <c r="N84">
        <v>222</v>
      </c>
    </row>
    <row r="85" spans="1:14" x14ac:dyDescent="0.25">
      <c r="A85" t="s">
        <v>23</v>
      </c>
      <c r="C85" t="s">
        <v>23</v>
      </c>
      <c r="D85">
        <v>2030</v>
      </c>
      <c r="H85" t="s">
        <v>24</v>
      </c>
      <c r="I85" t="s">
        <v>71</v>
      </c>
      <c r="L85" t="s">
        <v>154</v>
      </c>
      <c r="M85" t="s">
        <v>84</v>
      </c>
      <c r="N85">
        <v>105</v>
      </c>
    </row>
    <row r="86" spans="1:14" x14ac:dyDescent="0.25">
      <c r="A86" t="s">
        <v>23</v>
      </c>
      <c r="C86" t="s">
        <v>23</v>
      </c>
      <c r="D86">
        <v>2030</v>
      </c>
      <c r="H86" t="s">
        <v>26</v>
      </c>
      <c r="I86" t="s">
        <v>71</v>
      </c>
      <c r="L86" t="s">
        <v>154</v>
      </c>
      <c r="M86" t="s">
        <v>84</v>
      </c>
      <c r="N86">
        <v>156</v>
      </c>
    </row>
    <row r="87" spans="1:14" x14ac:dyDescent="0.25">
      <c r="A87" t="s">
        <v>23</v>
      </c>
      <c r="C87" t="s">
        <v>23</v>
      </c>
      <c r="D87">
        <v>2030</v>
      </c>
      <c r="H87" t="s">
        <v>26</v>
      </c>
      <c r="I87" t="s">
        <v>66</v>
      </c>
      <c r="L87" t="s">
        <v>154</v>
      </c>
      <c r="M87" t="s">
        <v>84</v>
      </c>
      <c r="N87">
        <v>50</v>
      </c>
    </row>
    <row r="88" spans="1:14" x14ac:dyDescent="0.25">
      <c r="A88" t="s">
        <v>23</v>
      </c>
      <c r="C88" t="s">
        <v>23</v>
      </c>
      <c r="D88">
        <v>2030</v>
      </c>
      <c r="H88" t="s">
        <v>27</v>
      </c>
      <c r="I88" t="s">
        <v>66</v>
      </c>
      <c r="L88" t="s">
        <v>154</v>
      </c>
      <c r="M88" t="s">
        <v>84</v>
      </c>
      <c r="N88">
        <v>11</v>
      </c>
    </row>
    <row r="89" spans="1:14" x14ac:dyDescent="0.25">
      <c r="A89" t="s">
        <v>23</v>
      </c>
      <c r="C89" t="s">
        <v>23</v>
      </c>
      <c r="D89">
        <v>2030</v>
      </c>
      <c r="H89" t="s">
        <v>28</v>
      </c>
      <c r="I89" t="s">
        <v>66</v>
      </c>
      <c r="L89" t="s">
        <v>154</v>
      </c>
      <c r="M89" t="s">
        <v>84</v>
      </c>
      <c r="N89">
        <v>222</v>
      </c>
    </row>
    <row r="90" spans="1:14" x14ac:dyDescent="0.25">
      <c r="A90" t="s">
        <v>23</v>
      </c>
      <c r="C90" t="s">
        <v>23</v>
      </c>
      <c r="D90">
        <v>2050</v>
      </c>
      <c r="H90" t="s">
        <v>24</v>
      </c>
      <c r="I90" t="s">
        <v>71</v>
      </c>
      <c r="L90" t="s">
        <v>154</v>
      </c>
      <c r="M90" t="s">
        <v>84</v>
      </c>
      <c r="N90">
        <v>105</v>
      </c>
    </row>
    <row r="91" spans="1:14" x14ac:dyDescent="0.25">
      <c r="A91" t="s">
        <v>23</v>
      </c>
      <c r="C91" t="s">
        <v>23</v>
      </c>
      <c r="D91">
        <v>2050</v>
      </c>
      <c r="H91" t="s">
        <v>26</v>
      </c>
      <c r="I91" t="s">
        <v>71</v>
      </c>
      <c r="L91" t="s">
        <v>154</v>
      </c>
      <c r="M91" t="s">
        <v>84</v>
      </c>
      <c r="N91">
        <v>156</v>
      </c>
    </row>
    <row r="92" spans="1:14" x14ac:dyDescent="0.25">
      <c r="A92" t="s">
        <v>23</v>
      </c>
      <c r="C92" t="s">
        <v>23</v>
      </c>
      <c r="D92">
        <v>2050</v>
      </c>
      <c r="H92" t="s">
        <v>26</v>
      </c>
      <c r="I92" t="s">
        <v>66</v>
      </c>
      <c r="L92" t="s">
        <v>154</v>
      </c>
      <c r="M92" t="s">
        <v>84</v>
      </c>
      <c r="N92">
        <v>50</v>
      </c>
    </row>
    <row r="93" spans="1:14" x14ac:dyDescent="0.25">
      <c r="A93" t="s">
        <v>23</v>
      </c>
      <c r="C93" t="s">
        <v>23</v>
      </c>
      <c r="D93">
        <v>2050</v>
      </c>
      <c r="H93" t="s">
        <v>27</v>
      </c>
      <c r="I93" t="s">
        <v>66</v>
      </c>
      <c r="L93" t="s">
        <v>154</v>
      </c>
      <c r="M93" t="s">
        <v>84</v>
      </c>
      <c r="N93">
        <v>11</v>
      </c>
    </row>
    <row r="94" spans="1:14" x14ac:dyDescent="0.25">
      <c r="A94" t="s">
        <v>23</v>
      </c>
      <c r="C94" t="s">
        <v>23</v>
      </c>
      <c r="D94">
        <v>2050</v>
      </c>
      <c r="H94" t="s">
        <v>28</v>
      </c>
      <c r="I94" t="s">
        <v>66</v>
      </c>
      <c r="L94" t="s">
        <v>154</v>
      </c>
      <c r="M94" t="s">
        <v>84</v>
      </c>
      <c r="N94">
        <v>222</v>
      </c>
    </row>
    <row r="95" spans="1:14" x14ac:dyDescent="0.25">
      <c r="A95" t="s">
        <v>158</v>
      </c>
      <c r="C95" t="s">
        <v>161</v>
      </c>
      <c r="D95">
        <v>2025</v>
      </c>
      <c r="M95" t="s">
        <v>85</v>
      </c>
      <c r="N95">
        <v>200</v>
      </c>
    </row>
    <row r="96" spans="1:14" x14ac:dyDescent="0.25">
      <c r="A96" t="s">
        <v>155</v>
      </c>
      <c r="C96" t="s">
        <v>155</v>
      </c>
      <c r="D96">
        <v>2025</v>
      </c>
      <c r="L96" t="s">
        <v>156</v>
      </c>
      <c r="M96" t="s">
        <v>86</v>
      </c>
      <c r="N96">
        <v>42</v>
      </c>
    </row>
    <row r="97" spans="1:14" x14ac:dyDescent="0.25">
      <c r="A97" t="s">
        <v>158</v>
      </c>
      <c r="C97" t="s">
        <v>161</v>
      </c>
      <c r="D97">
        <v>2030</v>
      </c>
      <c r="M97" t="s">
        <v>85</v>
      </c>
      <c r="N97">
        <v>200</v>
      </c>
    </row>
    <row r="98" spans="1:14" x14ac:dyDescent="0.25">
      <c r="A98" t="s">
        <v>155</v>
      </c>
      <c r="C98" t="s">
        <v>155</v>
      </c>
      <c r="D98">
        <v>2030</v>
      </c>
      <c r="L98" t="s">
        <v>156</v>
      </c>
      <c r="M98" t="s">
        <v>86</v>
      </c>
      <c r="N98">
        <v>43</v>
      </c>
    </row>
    <row r="99" spans="1:14" x14ac:dyDescent="0.25">
      <c r="A99" t="s">
        <v>158</v>
      </c>
      <c r="C99" t="s">
        <v>161</v>
      </c>
      <c r="D99">
        <v>2050</v>
      </c>
      <c r="M99" t="s">
        <v>85</v>
      </c>
      <c r="N99">
        <v>200</v>
      </c>
    </row>
    <row r="100" spans="1:14" x14ac:dyDescent="0.25">
      <c r="A100" t="s">
        <v>155</v>
      </c>
      <c r="C100" t="s">
        <v>155</v>
      </c>
      <c r="D100">
        <v>2050</v>
      </c>
      <c r="L100" t="s">
        <v>156</v>
      </c>
      <c r="M100" t="s">
        <v>86</v>
      </c>
      <c r="N100">
        <v>44</v>
      </c>
    </row>
    <row r="101" spans="1:14" x14ac:dyDescent="0.25">
      <c r="A101" t="s">
        <v>87</v>
      </c>
      <c r="C101" t="s">
        <v>162</v>
      </c>
      <c r="D101">
        <v>2025</v>
      </c>
      <c r="E101" t="s">
        <v>11</v>
      </c>
      <c r="J101" t="s">
        <v>38</v>
      </c>
      <c r="M101" t="s">
        <v>88</v>
      </c>
      <c r="N101">
        <v>100</v>
      </c>
    </row>
    <row r="102" spans="1:14" x14ac:dyDescent="0.25">
      <c r="A102" t="s">
        <v>87</v>
      </c>
      <c r="D102">
        <v>2025</v>
      </c>
      <c r="E102" t="s">
        <v>11</v>
      </c>
      <c r="J102" t="s">
        <v>38</v>
      </c>
      <c r="M102" t="s">
        <v>89</v>
      </c>
      <c r="N102">
        <v>20</v>
      </c>
    </row>
    <row r="103" spans="1:14" x14ac:dyDescent="0.25">
      <c r="A103" t="s">
        <v>87</v>
      </c>
      <c r="C103" t="s">
        <v>162</v>
      </c>
      <c r="D103">
        <v>2025</v>
      </c>
      <c r="E103" t="s">
        <v>13</v>
      </c>
      <c r="J103" t="s">
        <v>38</v>
      </c>
      <c r="M103" t="s">
        <v>88</v>
      </c>
      <c r="N103">
        <v>100</v>
      </c>
    </row>
    <row r="104" spans="1:14" x14ac:dyDescent="0.25">
      <c r="A104" t="s">
        <v>87</v>
      </c>
      <c r="D104">
        <v>2025</v>
      </c>
      <c r="E104" t="s">
        <v>13</v>
      </c>
      <c r="J104" t="s">
        <v>38</v>
      </c>
      <c r="M104" t="s">
        <v>89</v>
      </c>
      <c r="N104">
        <v>20</v>
      </c>
    </row>
    <row r="105" spans="1:14" x14ac:dyDescent="0.25">
      <c r="A105" t="s">
        <v>87</v>
      </c>
      <c r="C105" t="s">
        <v>162</v>
      </c>
      <c r="D105">
        <v>2025</v>
      </c>
      <c r="E105" t="s">
        <v>11</v>
      </c>
      <c r="J105" t="s">
        <v>38</v>
      </c>
      <c r="M105" t="s">
        <v>88</v>
      </c>
      <c r="N105">
        <v>100</v>
      </c>
    </row>
    <row r="106" spans="1:14" x14ac:dyDescent="0.25">
      <c r="A106" t="s">
        <v>87</v>
      </c>
      <c r="D106">
        <v>2025</v>
      </c>
      <c r="E106" t="s">
        <v>11</v>
      </c>
      <c r="J106" t="s">
        <v>38</v>
      </c>
      <c r="M106" t="s">
        <v>89</v>
      </c>
      <c r="N106">
        <v>20</v>
      </c>
    </row>
    <row r="107" spans="1:14" x14ac:dyDescent="0.25">
      <c r="A107" t="s">
        <v>87</v>
      </c>
      <c r="C107" t="s">
        <v>162</v>
      </c>
      <c r="D107">
        <v>2025</v>
      </c>
      <c r="E107" t="s">
        <v>13</v>
      </c>
      <c r="J107" t="s">
        <v>38</v>
      </c>
      <c r="M107" t="s">
        <v>88</v>
      </c>
      <c r="N107">
        <v>100</v>
      </c>
    </row>
    <row r="108" spans="1:14" x14ac:dyDescent="0.25">
      <c r="A108" t="s">
        <v>87</v>
      </c>
      <c r="D108">
        <v>2025</v>
      </c>
      <c r="E108" t="s">
        <v>13</v>
      </c>
      <c r="J108" t="s">
        <v>38</v>
      </c>
      <c r="M108" t="s">
        <v>89</v>
      </c>
      <c r="N108">
        <v>20</v>
      </c>
    </row>
    <row r="109" spans="1:14" x14ac:dyDescent="0.25">
      <c r="A109" t="s">
        <v>87</v>
      </c>
      <c r="C109" t="s">
        <v>162</v>
      </c>
      <c r="D109">
        <v>2030</v>
      </c>
      <c r="E109" t="s">
        <v>11</v>
      </c>
      <c r="J109" t="s">
        <v>38</v>
      </c>
      <c r="M109" t="s">
        <v>88</v>
      </c>
      <c r="N109">
        <v>100</v>
      </c>
    </row>
    <row r="110" spans="1:14" x14ac:dyDescent="0.25">
      <c r="A110" t="s">
        <v>87</v>
      </c>
      <c r="D110">
        <v>2030</v>
      </c>
      <c r="E110" t="s">
        <v>11</v>
      </c>
      <c r="J110" t="s">
        <v>38</v>
      </c>
      <c r="M110" t="s">
        <v>89</v>
      </c>
      <c r="N110">
        <v>20</v>
      </c>
    </row>
    <row r="111" spans="1:14" x14ac:dyDescent="0.25">
      <c r="A111" t="s">
        <v>87</v>
      </c>
      <c r="C111" t="s">
        <v>162</v>
      </c>
      <c r="D111">
        <v>2030</v>
      </c>
      <c r="E111" t="s">
        <v>13</v>
      </c>
      <c r="J111" t="s">
        <v>38</v>
      </c>
      <c r="M111" t="s">
        <v>88</v>
      </c>
      <c r="N111">
        <v>100</v>
      </c>
    </row>
    <row r="112" spans="1:14" x14ac:dyDescent="0.25">
      <c r="A112" t="s">
        <v>87</v>
      </c>
      <c r="D112">
        <v>2030</v>
      </c>
      <c r="E112" t="s">
        <v>13</v>
      </c>
      <c r="J112" t="s">
        <v>38</v>
      </c>
      <c r="M112" t="s">
        <v>89</v>
      </c>
      <c r="N112">
        <v>20</v>
      </c>
    </row>
    <row r="113" spans="1:14" x14ac:dyDescent="0.25">
      <c r="A113" t="s">
        <v>87</v>
      </c>
      <c r="C113" t="s">
        <v>162</v>
      </c>
      <c r="D113">
        <v>2030</v>
      </c>
      <c r="E113" t="s">
        <v>11</v>
      </c>
      <c r="J113" t="s">
        <v>38</v>
      </c>
      <c r="M113" t="s">
        <v>88</v>
      </c>
      <c r="N113">
        <v>100</v>
      </c>
    </row>
    <row r="114" spans="1:14" x14ac:dyDescent="0.25">
      <c r="A114" t="s">
        <v>87</v>
      </c>
      <c r="D114">
        <v>2030</v>
      </c>
      <c r="E114" t="s">
        <v>11</v>
      </c>
      <c r="J114" t="s">
        <v>38</v>
      </c>
      <c r="M114" t="s">
        <v>89</v>
      </c>
      <c r="N114">
        <v>20</v>
      </c>
    </row>
    <row r="115" spans="1:14" x14ac:dyDescent="0.25">
      <c r="A115" t="s">
        <v>87</v>
      </c>
      <c r="C115" t="s">
        <v>162</v>
      </c>
      <c r="D115">
        <v>2030</v>
      </c>
      <c r="E115" t="s">
        <v>13</v>
      </c>
      <c r="J115" t="s">
        <v>38</v>
      </c>
      <c r="M115" t="s">
        <v>88</v>
      </c>
      <c r="N115">
        <v>100</v>
      </c>
    </row>
    <row r="116" spans="1:14" x14ac:dyDescent="0.25">
      <c r="A116" t="s">
        <v>87</v>
      </c>
      <c r="D116">
        <v>2030</v>
      </c>
      <c r="E116" t="s">
        <v>13</v>
      </c>
      <c r="J116" t="s">
        <v>38</v>
      </c>
      <c r="M116" t="s">
        <v>89</v>
      </c>
      <c r="N116">
        <v>20</v>
      </c>
    </row>
    <row r="117" spans="1:14" x14ac:dyDescent="0.25">
      <c r="A117" t="s">
        <v>87</v>
      </c>
      <c r="C117" t="s">
        <v>162</v>
      </c>
      <c r="D117">
        <v>2050</v>
      </c>
      <c r="E117" t="s">
        <v>11</v>
      </c>
      <c r="J117" t="s">
        <v>38</v>
      </c>
      <c r="M117" t="s">
        <v>88</v>
      </c>
      <c r="N117">
        <v>100</v>
      </c>
    </row>
    <row r="118" spans="1:14" x14ac:dyDescent="0.25">
      <c r="A118" t="s">
        <v>87</v>
      </c>
      <c r="D118">
        <v>2050</v>
      </c>
      <c r="E118" t="s">
        <v>11</v>
      </c>
      <c r="J118" t="s">
        <v>38</v>
      </c>
      <c r="M118" t="s">
        <v>89</v>
      </c>
      <c r="N118">
        <v>20</v>
      </c>
    </row>
    <row r="119" spans="1:14" x14ac:dyDescent="0.25">
      <c r="A119" t="s">
        <v>87</v>
      </c>
      <c r="C119" t="s">
        <v>162</v>
      </c>
      <c r="D119">
        <v>2050</v>
      </c>
      <c r="E119" t="s">
        <v>13</v>
      </c>
      <c r="J119" t="s">
        <v>38</v>
      </c>
      <c r="M119" t="s">
        <v>88</v>
      </c>
      <c r="N119">
        <v>100</v>
      </c>
    </row>
    <row r="120" spans="1:14" x14ac:dyDescent="0.25">
      <c r="A120" t="s">
        <v>87</v>
      </c>
      <c r="D120">
        <v>2050</v>
      </c>
      <c r="E120" t="s">
        <v>13</v>
      </c>
      <c r="J120" t="s">
        <v>38</v>
      </c>
      <c r="M120" t="s">
        <v>89</v>
      </c>
      <c r="N120">
        <v>20</v>
      </c>
    </row>
    <row r="121" spans="1:14" x14ac:dyDescent="0.25">
      <c r="A121" t="s">
        <v>87</v>
      </c>
      <c r="C121" t="s">
        <v>162</v>
      </c>
      <c r="D121">
        <v>2050</v>
      </c>
      <c r="E121" t="s">
        <v>11</v>
      </c>
      <c r="J121" t="s">
        <v>38</v>
      </c>
      <c r="M121" t="s">
        <v>88</v>
      </c>
      <c r="N121">
        <v>100</v>
      </c>
    </row>
    <row r="122" spans="1:14" x14ac:dyDescent="0.25">
      <c r="A122" t="s">
        <v>87</v>
      </c>
      <c r="D122">
        <v>2050</v>
      </c>
      <c r="E122" t="s">
        <v>11</v>
      </c>
      <c r="J122" t="s">
        <v>38</v>
      </c>
      <c r="M122" t="s">
        <v>89</v>
      </c>
      <c r="N122">
        <v>20</v>
      </c>
    </row>
    <row r="123" spans="1:14" x14ac:dyDescent="0.25">
      <c r="A123" t="s">
        <v>87</v>
      </c>
      <c r="C123" t="s">
        <v>162</v>
      </c>
      <c r="D123">
        <v>2050</v>
      </c>
      <c r="E123" t="s">
        <v>13</v>
      </c>
      <c r="J123" t="s">
        <v>38</v>
      </c>
      <c r="M123" t="s">
        <v>88</v>
      </c>
      <c r="N123">
        <v>100</v>
      </c>
    </row>
    <row r="124" spans="1:14" x14ac:dyDescent="0.25">
      <c r="A124" t="s">
        <v>87</v>
      </c>
      <c r="D124">
        <v>2050</v>
      </c>
      <c r="E124" t="s">
        <v>13</v>
      </c>
      <c r="J124" t="s">
        <v>38</v>
      </c>
      <c r="M124" t="s">
        <v>89</v>
      </c>
      <c r="N124">
        <v>20</v>
      </c>
    </row>
    <row r="125" spans="1:14" x14ac:dyDescent="0.25">
      <c r="A125" t="s">
        <v>87</v>
      </c>
      <c r="C125" t="s">
        <v>162</v>
      </c>
      <c r="D125">
        <v>2025</v>
      </c>
      <c r="E125" t="s">
        <v>11</v>
      </c>
      <c r="J125" t="s">
        <v>35</v>
      </c>
      <c r="M125" t="s">
        <v>88</v>
      </c>
      <c r="N125">
        <v>100</v>
      </c>
    </row>
    <row r="126" spans="1:14" x14ac:dyDescent="0.25">
      <c r="A126" t="s">
        <v>87</v>
      </c>
      <c r="D126">
        <v>2025</v>
      </c>
      <c r="E126" t="s">
        <v>11</v>
      </c>
      <c r="J126" t="s">
        <v>35</v>
      </c>
      <c r="M126" t="s">
        <v>89</v>
      </c>
      <c r="N126">
        <v>20</v>
      </c>
    </row>
    <row r="127" spans="1:14" x14ac:dyDescent="0.25">
      <c r="A127" t="s">
        <v>87</v>
      </c>
      <c r="C127" t="s">
        <v>162</v>
      </c>
      <c r="D127">
        <v>2025</v>
      </c>
      <c r="E127" t="s">
        <v>13</v>
      </c>
      <c r="J127" t="s">
        <v>35</v>
      </c>
      <c r="M127" t="s">
        <v>88</v>
      </c>
      <c r="N127">
        <v>100</v>
      </c>
    </row>
    <row r="128" spans="1:14" x14ac:dyDescent="0.25">
      <c r="A128" t="s">
        <v>87</v>
      </c>
      <c r="D128">
        <v>2025</v>
      </c>
      <c r="E128" t="s">
        <v>13</v>
      </c>
      <c r="J128" t="s">
        <v>35</v>
      </c>
      <c r="M128" t="s">
        <v>89</v>
      </c>
      <c r="N128">
        <v>20</v>
      </c>
    </row>
    <row r="129" spans="1:14" x14ac:dyDescent="0.25">
      <c r="A129" t="s">
        <v>87</v>
      </c>
      <c r="C129" t="s">
        <v>162</v>
      </c>
      <c r="D129">
        <v>2025</v>
      </c>
      <c r="E129" t="s">
        <v>11</v>
      </c>
      <c r="J129" t="s">
        <v>35</v>
      </c>
      <c r="M129" t="s">
        <v>88</v>
      </c>
      <c r="N129">
        <v>100</v>
      </c>
    </row>
    <row r="130" spans="1:14" x14ac:dyDescent="0.25">
      <c r="A130" t="s">
        <v>87</v>
      </c>
      <c r="D130">
        <v>2025</v>
      </c>
      <c r="E130" t="s">
        <v>11</v>
      </c>
      <c r="J130" t="s">
        <v>35</v>
      </c>
      <c r="M130" t="s">
        <v>89</v>
      </c>
      <c r="N130">
        <v>20</v>
      </c>
    </row>
    <row r="131" spans="1:14" x14ac:dyDescent="0.25">
      <c r="A131" t="s">
        <v>87</v>
      </c>
      <c r="C131" t="s">
        <v>162</v>
      </c>
      <c r="D131">
        <v>2025</v>
      </c>
      <c r="E131" t="s">
        <v>13</v>
      </c>
      <c r="J131" t="s">
        <v>35</v>
      </c>
      <c r="M131" t="s">
        <v>88</v>
      </c>
      <c r="N131">
        <v>100</v>
      </c>
    </row>
    <row r="132" spans="1:14" x14ac:dyDescent="0.25">
      <c r="A132" t="s">
        <v>87</v>
      </c>
      <c r="D132">
        <v>2025</v>
      </c>
      <c r="E132" t="s">
        <v>13</v>
      </c>
      <c r="J132" t="s">
        <v>35</v>
      </c>
      <c r="M132" t="s">
        <v>89</v>
      </c>
      <c r="N132">
        <v>20</v>
      </c>
    </row>
    <row r="133" spans="1:14" x14ac:dyDescent="0.25">
      <c r="A133" t="s">
        <v>87</v>
      </c>
      <c r="C133" t="s">
        <v>162</v>
      </c>
      <c r="D133">
        <v>2030</v>
      </c>
      <c r="E133" t="s">
        <v>11</v>
      </c>
      <c r="J133" t="s">
        <v>35</v>
      </c>
      <c r="M133" t="s">
        <v>88</v>
      </c>
      <c r="N133">
        <v>100</v>
      </c>
    </row>
    <row r="134" spans="1:14" x14ac:dyDescent="0.25">
      <c r="A134" t="s">
        <v>87</v>
      </c>
      <c r="D134">
        <v>2030</v>
      </c>
      <c r="E134" t="s">
        <v>11</v>
      </c>
      <c r="J134" t="s">
        <v>35</v>
      </c>
      <c r="M134" t="s">
        <v>89</v>
      </c>
      <c r="N134">
        <v>20</v>
      </c>
    </row>
    <row r="135" spans="1:14" x14ac:dyDescent="0.25">
      <c r="A135" t="s">
        <v>87</v>
      </c>
      <c r="C135" t="s">
        <v>162</v>
      </c>
      <c r="D135">
        <v>2030</v>
      </c>
      <c r="E135" t="s">
        <v>13</v>
      </c>
      <c r="J135" t="s">
        <v>35</v>
      </c>
      <c r="M135" t="s">
        <v>88</v>
      </c>
      <c r="N135">
        <v>100</v>
      </c>
    </row>
    <row r="136" spans="1:14" x14ac:dyDescent="0.25">
      <c r="A136" t="s">
        <v>87</v>
      </c>
      <c r="D136">
        <v>2030</v>
      </c>
      <c r="E136" t="s">
        <v>13</v>
      </c>
      <c r="J136" t="s">
        <v>35</v>
      </c>
      <c r="M136" t="s">
        <v>89</v>
      </c>
      <c r="N136">
        <v>20</v>
      </c>
    </row>
    <row r="137" spans="1:14" x14ac:dyDescent="0.25">
      <c r="A137" t="s">
        <v>87</v>
      </c>
      <c r="C137" t="s">
        <v>162</v>
      </c>
      <c r="D137">
        <v>2030</v>
      </c>
      <c r="E137" t="s">
        <v>11</v>
      </c>
      <c r="J137" t="s">
        <v>35</v>
      </c>
      <c r="M137" t="s">
        <v>88</v>
      </c>
      <c r="N137">
        <v>100</v>
      </c>
    </row>
    <row r="138" spans="1:14" x14ac:dyDescent="0.25">
      <c r="A138" t="s">
        <v>87</v>
      </c>
      <c r="D138">
        <v>2030</v>
      </c>
      <c r="E138" t="s">
        <v>11</v>
      </c>
      <c r="J138" t="s">
        <v>35</v>
      </c>
      <c r="M138" t="s">
        <v>89</v>
      </c>
      <c r="N138">
        <v>20</v>
      </c>
    </row>
    <row r="139" spans="1:14" x14ac:dyDescent="0.25">
      <c r="A139" t="s">
        <v>87</v>
      </c>
      <c r="C139" t="s">
        <v>162</v>
      </c>
      <c r="D139">
        <v>2030</v>
      </c>
      <c r="E139" t="s">
        <v>13</v>
      </c>
      <c r="J139" t="s">
        <v>35</v>
      </c>
      <c r="M139" t="s">
        <v>88</v>
      </c>
      <c r="N139">
        <v>100</v>
      </c>
    </row>
    <row r="140" spans="1:14" x14ac:dyDescent="0.25">
      <c r="A140" t="s">
        <v>87</v>
      </c>
      <c r="D140">
        <v>2030</v>
      </c>
      <c r="E140" t="s">
        <v>13</v>
      </c>
      <c r="J140" t="s">
        <v>35</v>
      </c>
      <c r="M140" t="s">
        <v>89</v>
      </c>
      <c r="N140">
        <v>20</v>
      </c>
    </row>
    <row r="141" spans="1:14" x14ac:dyDescent="0.25">
      <c r="A141" t="s">
        <v>87</v>
      </c>
      <c r="C141" t="s">
        <v>162</v>
      </c>
      <c r="D141">
        <v>2050</v>
      </c>
      <c r="E141" t="s">
        <v>11</v>
      </c>
      <c r="J141" t="s">
        <v>35</v>
      </c>
      <c r="M141" t="s">
        <v>88</v>
      </c>
      <c r="N141">
        <v>100</v>
      </c>
    </row>
    <row r="142" spans="1:14" x14ac:dyDescent="0.25">
      <c r="A142" t="s">
        <v>87</v>
      </c>
      <c r="D142">
        <v>2050</v>
      </c>
      <c r="E142" t="s">
        <v>11</v>
      </c>
      <c r="J142" t="s">
        <v>35</v>
      </c>
      <c r="M142" t="s">
        <v>89</v>
      </c>
      <c r="N142">
        <v>20</v>
      </c>
    </row>
    <row r="143" spans="1:14" x14ac:dyDescent="0.25">
      <c r="A143" t="s">
        <v>87</v>
      </c>
      <c r="C143" t="s">
        <v>162</v>
      </c>
      <c r="D143">
        <v>2050</v>
      </c>
      <c r="E143" t="s">
        <v>13</v>
      </c>
      <c r="J143" t="s">
        <v>35</v>
      </c>
      <c r="M143" t="s">
        <v>88</v>
      </c>
      <c r="N143">
        <v>100</v>
      </c>
    </row>
    <row r="144" spans="1:14" x14ac:dyDescent="0.25">
      <c r="A144" t="s">
        <v>87</v>
      </c>
      <c r="D144">
        <v>2050</v>
      </c>
      <c r="E144" t="s">
        <v>13</v>
      </c>
      <c r="J144" t="s">
        <v>35</v>
      </c>
      <c r="M144" t="s">
        <v>89</v>
      </c>
      <c r="N144">
        <v>20</v>
      </c>
    </row>
    <row r="145" spans="1:14" x14ac:dyDescent="0.25">
      <c r="A145" t="s">
        <v>87</v>
      </c>
      <c r="C145" t="s">
        <v>162</v>
      </c>
      <c r="D145">
        <v>2050</v>
      </c>
      <c r="E145" t="s">
        <v>11</v>
      </c>
      <c r="J145" t="s">
        <v>35</v>
      </c>
      <c r="M145" t="s">
        <v>88</v>
      </c>
      <c r="N145">
        <v>100</v>
      </c>
    </row>
    <row r="146" spans="1:14" x14ac:dyDescent="0.25">
      <c r="A146" t="s">
        <v>87</v>
      </c>
      <c r="D146">
        <v>2050</v>
      </c>
      <c r="E146" t="s">
        <v>11</v>
      </c>
      <c r="J146" t="s">
        <v>35</v>
      </c>
      <c r="M146" t="s">
        <v>89</v>
      </c>
      <c r="N146">
        <v>20</v>
      </c>
    </row>
    <row r="147" spans="1:14" x14ac:dyDescent="0.25">
      <c r="A147" t="s">
        <v>87</v>
      </c>
      <c r="C147" t="s">
        <v>162</v>
      </c>
      <c r="D147">
        <v>2050</v>
      </c>
      <c r="E147" t="s">
        <v>13</v>
      </c>
      <c r="J147" t="s">
        <v>35</v>
      </c>
      <c r="M147" t="s">
        <v>88</v>
      </c>
      <c r="N147">
        <v>100</v>
      </c>
    </row>
    <row r="148" spans="1:14" x14ac:dyDescent="0.25">
      <c r="A148" t="s">
        <v>87</v>
      </c>
      <c r="D148">
        <v>2050</v>
      </c>
      <c r="E148" t="s">
        <v>13</v>
      </c>
      <c r="J148" t="s">
        <v>35</v>
      </c>
      <c r="M148" t="s">
        <v>89</v>
      </c>
      <c r="N148">
        <v>20</v>
      </c>
    </row>
    <row r="149" spans="1:14" x14ac:dyDescent="0.25">
      <c r="A149" t="s">
        <v>90</v>
      </c>
      <c r="B149">
        <v>2</v>
      </c>
      <c r="C149" t="s">
        <v>163</v>
      </c>
      <c r="D149">
        <v>2025</v>
      </c>
      <c r="E149" t="s">
        <v>11</v>
      </c>
      <c r="I149" t="s">
        <v>91</v>
      </c>
      <c r="K149" t="s">
        <v>57</v>
      </c>
      <c r="M149" t="s">
        <v>92</v>
      </c>
      <c r="N149">
        <v>44</v>
      </c>
    </row>
    <row r="150" spans="1:14" x14ac:dyDescent="0.25">
      <c r="A150" t="s">
        <v>90</v>
      </c>
      <c r="D150">
        <v>2025</v>
      </c>
      <c r="E150" t="s">
        <v>11</v>
      </c>
      <c r="I150" t="s">
        <v>91</v>
      </c>
      <c r="K150" t="s">
        <v>57</v>
      </c>
      <c r="M150" t="s">
        <v>84</v>
      </c>
      <c r="N150">
        <v>50</v>
      </c>
    </row>
    <row r="151" spans="1:14" x14ac:dyDescent="0.25">
      <c r="A151" t="s">
        <v>90</v>
      </c>
      <c r="B151">
        <v>2</v>
      </c>
      <c r="C151" t="s">
        <v>163</v>
      </c>
      <c r="D151">
        <v>2025</v>
      </c>
      <c r="E151" t="s">
        <v>13</v>
      </c>
      <c r="I151" t="s">
        <v>91</v>
      </c>
      <c r="K151" t="s">
        <v>57</v>
      </c>
      <c r="M151" t="s">
        <v>92</v>
      </c>
      <c r="N151">
        <v>55</v>
      </c>
    </row>
    <row r="152" spans="1:14" x14ac:dyDescent="0.25">
      <c r="A152" t="s">
        <v>90</v>
      </c>
      <c r="D152">
        <v>2025</v>
      </c>
      <c r="E152" t="s">
        <v>13</v>
      </c>
      <c r="I152" t="s">
        <v>91</v>
      </c>
      <c r="K152" t="s">
        <v>57</v>
      </c>
      <c r="M152" t="s">
        <v>84</v>
      </c>
      <c r="N152">
        <v>50</v>
      </c>
    </row>
    <row r="153" spans="1:14" x14ac:dyDescent="0.25">
      <c r="A153" t="s">
        <v>90</v>
      </c>
      <c r="B153">
        <v>2</v>
      </c>
      <c r="C153" t="s">
        <v>163</v>
      </c>
      <c r="D153">
        <v>2030</v>
      </c>
      <c r="E153" t="s">
        <v>11</v>
      </c>
      <c r="I153" t="s">
        <v>91</v>
      </c>
      <c r="K153" t="s">
        <v>57</v>
      </c>
      <c r="M153" t="s">
        <v>92</v>
      </c>
      <c r="N153">
        <v>88</v>
      </c>
    </row>
    <row r="154" spans="1:14" x14ac:dyDescent="0.25">
      <c r="A154" t="s">
        <v>90</v>
      </c>
      <c r="D154">
        <v>2030</v>
      </c>
      <c r="E154" t="s">
        <v>11</v>
      </c>
      <c r="I154" t="s">
        <v>91</v>
      </c>
      <c r="K154" t="s">
        <v>57</v>
      </c>
      <c r="M154" t="s">
        <v>84</v>
      </c>
      <c r="N154">
        <v>50</v>
      </c>
    </row>
    <row r="155" spans="1:14" x14ac:dyDescent="0.25">
      <c r="A155" t="s">
        <v>90</v>
      </c>
      <c r="B155">
        <v>2</v>
      </c>
      <c r="C155" t="s">
        <v>163</v>
      </c>
      <c r="D155">
        <v>2030</v>
      </c>
      <c r="E155" t="s">
        <v>13</v>
      </c>
      <c r="I155" t="s">
        <v>91</v>
      </c>
      <c r="K155" t="s">
        <v>57</v>
      </c>
      <c r="M155" t="s">
        <v>92</v>
      </c>
      <c r="N155">
        <v>77</v>
      </c>
    </row>
    <row r="156" spans="1:14" x14ac:dyDescent="0.25">
      <c r="A156" t="s">
        <v>90</v>
      </c>
      <c r="D156">
        <v>2030</v>
      </c>
      <c r="E156" t="s">
        <v>13</v>
      </c>
      <c r="I156" t="s">
        <v>91</v>
      </c>
      <c r="K156" t="s">
        <v>57</v>
      </c>
      <c r="M156" t="s">
        <v>84</v>
      </c>
      <c r="N156">
        <v>50</v>
      </c>
    </row>
    <row r="157" spans="1:14" x14ac:dyDescent="0.25">
      <c r="A157" t="s">
        <v>90</v>
      </c>
      <c r="B157">
        <v>2</v>
      </c>
      <c r="C157" t="s">
        <v>163</v>
      </c>
      <c r="D157">
        <v>2050</v>
      </c>
      <c r="E157" t="s">
        <v>11</v>
      </c>
      <c r="I157" t="s">
        <v>91</v>
      </c>
      <c r="K157" t="s">
        <v>57</v>
      </c>
      <c r="M157" t="s">
        <v>92</v>
      </c>
      <c r="N157">
        <v>99</v>
      </c>
    </row>
    <row r="158" spans="1:14" x14ac:dyDescent="0.25">
      <c r="A158" t="s">
        <v>90</v>
      </c>
      <c r="D158">
        <v>2050</v>
      </c>
      <c r="E158" t="s">
        <v>11</v>
      </c>
      <c r="I158" t="s">
        <v>91</v>
      </c>
      <c r="K158" t="s">
        <v>57</v>
      </c>
      <c r="M158" t="s">
        <v>84</v>
      </c>
      <c r="N158">
        <v>50</v>
      </c>
    </row>
    <row r="159" spans="1:14" x14ac:dyDescent="0.25">
      <c r="A159" t="s">
        <v>90</v>
      </c>
      <c r="B159">
        <v>2</v>
      </c>
      <c r="C159" t="s">
        <v>163</v>
      </c>
      <c r="D159">
        <v>2050</v>
      </c>
      <c r="E159" t="s">
        <v>13</v>
      </c>
      <c r="I159" t="s">
        <v>91</v>
      </c>
      <c r="K159" t="s">
        <v>57</v>
      </c>
      <c r="M159" t="s">
        <v>92</v>
      </c>
      <c r="N159">
        <v>56</v>
      </c>
    </row>
    <row r="160" spans="1:14" x14ac:dyDescent="0.25">
      <c r="A160" t="s">
        <v>90</v>
      </c>
      <c r="D160">
        <v>2050</v>
      </c>
      <c r="E160" t="s">
        <v>13</v>
      </c>
      <c r="I160" t="s">
        <v>91</v>
      </c>
      <c r="K160" t="s">
        <v>57</v>
      </c>
      <c r="M160" t="s">
        <v>84</v>
      </c>
      <c r="N160">
        <v>50</v>
      </c>
    </row>
    <row r="161" spans="1:14" x14ac:dyDescent="0.25">
      <c r="A161" t="s">
        <v>90</v>
      </c>
      <c r="B161">
        <v>2</v>
      </c>
      <c r="C161" t="s">
        <v>163</v>
      </c>
      <c r="D161">
        <v>2025</v>
      </c>
      <c r="E161" t="s">
        <v>11</v>
      </c>
      <c r="I161" t="s">
        <v>93</v>
      </c>
      <c r="K161" t="s">
        <v>57</v>
      </c>
      <c r="M161" t="s">
        <v>92</v>
      </c>
      <c r="N161">
        <v>45</v>
      </c>
    </row>
    <row r="162" spans="1:14" x14ac:dyDescent="0.25">
      <c r="A162" t="s">
        <v>90</v>
      </c>
      <c r="D162">
        <v>2025</v>
      </c>
      <c r="E162" t="s">
        <v>11</v>
      </c>
      <c r="I162" t="s">
        <v>93</v>
      </c>
      <c r="K162" t="s">
        <v>57</v>
      </c>
      <c r="M162" t="s">
        <v>84</v>
      </c>
      <c r="N162">
        <v>50</v>
      </c>
    </row>
    <row r="163" spans="1:14" x14ac:dyDescent="0.25">
      <c r="A163" t="s">
        <v>90</v>
      </c>
      <c r="B163">
        <v>2</v>
      </c>
      <c r="C163" t="s">
        <v>163</v>
      </c>
      <c r="D163">
        <v>2025</v>
      </c>
      <c r="E163" t="s">
        <v>13</v>
      </c>
      <c r="I163" t="s">
        <v>93</v>
      </c>
      <c r="K163" t="s">
        <v>57</v>
      </c>
      <c r="M163" t="s">
        <v>92</v>
      </c>
      <c r="N163">
        <v>66</v>
      </c>
    </row>
    <row r="164" spans="1:14" x14ac:dyDescent="0.25">
      <c r="A164" t="s">
        <v>90</v>
      </c>
      <c r="D164">
        <v>2025</v>
      </c>
      <c r="E164" t="s">
        <v>13</v>
      </c>
      <c r="I164" t="s">
        <v>93</v>
      </c>
      <c r="K164" t="s">
        <v>57</v>
      </c>
      <c r="M164" t="s">
        <v>84</v>
      </c>
      <c r="N164">
        <v>50</v>
      </c>
    </row>
    <row r="165" spans="1:14" x14ac:dyDescent="0.25">
      <c r="A165" t="s">
        <v>90</v>
      </c>
      <c r="B165">
        <v>2</v>
      </c>
      <c r="C165" t="s">
        <v>163</v>
      </c>
      <c r="D165">
        <v>2030</v>
      </c>
      <c r="E165" t="s">
        <v>11</v>
      </c>
      <c r="I165" t="s">
        <v>93</v>
      </c>
      <c r="K165" t="s">
        <v>57</v>
      </c>
      <c r="M165" t="s">
        <v>92</v>
      </c>
      <c r="N165">
        <v>99</v>
      </c>
    </row>
    <row r="166" spans="1:14" x14ac:dyDescent="0.25">
      <c r="A166" t="s">
        <v>90</v>
      </c>
      <c r="D166">
        <v>2030</v>
      </c>
      <c r="E166" t="s">
        <v>11</v>
      </c>
      <c r="I166" t="s">
        <v>93</v>
      </c>
      <c r="K166" t="s">
        <v>57</v>
      </c>
      <c r="M166" t="s">
        <v>84</v>
      </c>
      <c r="N166">
        <v>50</v>
      </c>
    </row>
    <row r="167" spans="1:14" x14ac:dyDescent="0.25">
      <c r="A167" t="s">
        <v>90</v>
      </c>
      <c r="B167">
        <v>2</v>
      </c>
      <c r="C167" t="s">
        <v>163</v>
      </c>
      <c r="D167">
        <v>2030</v>
      </c>
      <c r="E167" t="s">
        <v>13</v>
      </c>
      <c r="I167" t="s">
        <v>93</v>
      </c>
      <c r="K167" t="s">
        <v>57</v>
      </c>
      <c r="M167" t="s">
        <v>92</v>
      </c>
      <c r="N167">
        <v>79</v>
      </c>
    </row>
    <row r="168" spans="1:14" x14ac:dyDescent="0.25">
      <c r="A168" t="s">
        <v>90</v>
      </c>
      <c r="D168">
        <v>2030</v>
      </c>
      <c r="E168" t="s">
        <v>13</v>
      </c>
      <c r="I168" t="s">
        <v>93</v>
      </c>
      <c r="K168" t="s">
        <v>57</v>
      </c>
      <c r="M168" t="s">
        <v>84</v>
      </c>
      <c r="N168">
        <v>50</v>
      </c>
    </row>
    <row r="169" spans="1:14" x14ac:dyDescent="0.25">
      <c r="A169" t="s">
        <v>90</v>
      </c>
      <c r="B169">
        <v>2</v>
      </c>
      <c r="C169" t="s">
        <v>163</v>
      </c>
      <c r="D169">
        <v>2050</v>
      </c>
      <c r="E169" t="s">
        <v>11</v>
      </c>
      <c r="I169" t="s">
        <v>93</v>
      </c>
      <c r="K169" t="s">
        <v>57</v>
      </c>
      <c r="M169" t="s">
        <v>92</v>
      </c>
      <c r="N169">
        <v>89</v>
      </c>
    </row>
    <row r="170" spans="1:14" x14ac:dyDescent="0.25">
      <c r="A170" t="s">
        <v>90</v>
      </c>
      <c r="D170">
        <v>2050</v>
      </c>
      <c r="E170" t="s">
        <v>11</v>
      </c>
      <c r="I170" t="s">
        <v>93</v>
      </c>
      <c r="K170" t="s">
        <v>57</v>
      </c>
      <c r="M170" t="s">
        <v>84</v>
      </c>
      <c r="N170">
        <v>50</v>
      </c>
    </row>
    <row r="171" spans="1:14" x14ac:dyDescent="0.25">
      <c r="A171" t="s">
        <v>90</v>
      </c>
      <c r="B171">
        <v>2</v>
      </c>
      <c r="C171" t="s">
        <v>163</v>
      </c>
      <c r="D171">
        <v>2050</v>
      </c>
      <c r="E171" t="s">
        <v>13</v>
      </c>
      <c r="I171" t="s">
        <v>93</v>
      </c>
      <c r="K171" t="s">
        <v>57</v>
      </c>
      <c r="M171" t="s">
        <v>92</v>
      </c>
      <c r="N171">
        <v>77</v>
      </c>
    </row>
    <row r="172" spans="1:14" x14ac:dyDescent="0.25">
      <c r="A172" t="s">
        <v>90</v>
      </c>
      <c r="D172">
        <v>2050</v>
      </c>
      <c r="E172" t="s">
        <v>13</v>
      </c>
      <c r="I172" t="s">
        <v>93</v>
      </c>
      <c r="K172" t="s">
        <v>57</v>
      </c>
      <c r="M172" t="s">
        <v>84</v>
      </c>
      <c r="N172">
        <v>50</v>
      </c>
    </row>
    <row r="173" spans="1:14" x14ac:dyDescent="0.25">
      <c r="A173" t="s">
        <v>94</v>
      </c>
      <c r="B173">
        <v>3</v>
      </c>
      <c r="C173" t="s">
        <v>157</v>
      </c>
      <c r="D173">
        <v>2025</v>
      </c>
      <c r="E173" t="s">
        <v>11</v>
      </c>
      <c r="I173" t="s">
        <v>93</v>
      </c>
      <c r="K173" t="s">
        <v>60</v>
      </c>
      <c r="M173" t="s">
        <v>92</v>
      </c>
      <c r="N173">
        <v>45</v>
      </c>
    </row>
    <row r="174" spans="1:14" x14ac:dyDescent="0.25">
      <c r="A174" t="s">
        <v>94</v>
      </c>
      <c r="D174">
        <v>2025</v>
      </c>
      <c r="E174" t="s">
        <v>11</v>
      </c>
      <c r="I174" t="s">
        <v>93</v>
      </c>
      <c r="K174" t="s">
        <v>60</v>
      </c>
      <c r="M174" t="s">
        <v>84</v>
      </c>
      <c r="N174">
        <v>50</v>
      </c>
    </row>
    <row r="175" spans="1:14" x14ac:dyDescent="0.25">
      <c r="A175" t="s">
        <v>94</v>
      </c>
      <c r="B175">
        <v>3</v>
      </c>
      <c r="C175" t="s">
        <v>157</v>
      </c>
      <c r="D175">
        <v>2025</v>
      </c>
      <c r="E175" t="s">
        <v>13</v>
      </c>
      <c r="I175" t="s">
        <v>93</v>
      </c>
      <c r="K175" t="s">
        <v>60</v>
      </c>
      <c r="M175" t="s">
        <v>92</v>
      </c>
      <c r="N175">
        <v>66</v>
      </c>
    </row>
    <row r="176" spans="1:14" x14ac:dyDescent="0.25">
      <c r="A176" t="s">
        <v>94</v>
      </c>
      <c r="D176">
        <v>2025</v>
      </c>
      <c r="E176" t="s">
        <v>13</v>
      </c>
      <c r="I176" t="s">
        <v>93</v>
      </c>
      <c r="K176" t="s">
        <v>60</v>
      </c>
      <c r="M176" t="s">
        <v>84</v>
      </c>
      <c r="N176">
        <v>50</v>
      </c>
    </row>
    <row r="177" spans="1:14" x14ac:dyDescent="0.25">
      <c r="A177" t="s">
        <v>94</v>
      </c>
      <c r="B177">
        <v>3</v>
      </c>
      <c r="C177" t="s">
        <v>157</v>
      </c>
      <c r="D177">
        <v>2030</v>
      </c>
      <c r="E177" t="s">
        <v>11</v>
      </c>
      <c r="I177" t="s">
        <v>93</v>
      </c>
      <c r="K177" t="s">
        <v>60</v>
      </c>
      <c r="M177" t="s">
        <v>92</v>
      </c>
      <c r="N177">
        <v>99</v>
      </c>
    </row>
    <row r="178" spans="1:14" x14ac:dyDescent="0.25">
      <c r="A178" t="s">
        <v>94</v>
      </c>
      <c r="D178">
        <v>2030</v>
      </c>
      <c r="E178" t="s">
        <v>11</v>
      </c>
      <c r="I178" t="s">
        <v>93</v>
      </c>
      <c r="K178" t="s">
        <v>60</v>
      </c>
      <c r="M178" t="s">
        <v>84</v>
      </c>
      <c r="N178">
        <v>50</v>
      </c>
    </row>
    <row r="179" spans="1:14" x14ac:dyDescent="0.25">
      <c r="A179" t="s">
        <v>94</v>
      </c>
      <c r="B179">
        <v>3</v>
      </c>
      <c r="C179" t="s">
        <v>157</v>
      </c>
      <c r="D179">
        <v>2030</v>
      </c>
      <c r="E179" t="s">
        <v>13</v>
      </c>
      <c r="I179" t="s">
        <v>93</v>
      </c>
      <c r="K179" t="s">
        <v>60</v>
      </c>
      <c r="M179" t="s">
        <v>92</v>
      </c>
      <c r="N179">
        <v>79</v>
      </c>
    </row>
    <row r="180" spans="1:14" x14ac:dyDescent="0.25">
      <c r="A180" t="s">
        <v>94</v>
      </c>
      <c r="D180">
        <v>2030</v>
      </c>
      <c r="E180" t="s">
        <v>13</v>
      </c>
      <c r="I180" t="s">
        <v>93</v>
      </c>
      <c r="K180" t="s">
        <v>60</v>
      </c>
      <c r="M180" t="s">
        <v>84</v>
      </c>
      <c r="N180">
        <v>50</v>
      </c>
    </row>
    <row r="181" spans="1:14" x14ac:dyDescent="0.25">
      <c r="A181" t="s">
        <v>94</v>
      </c>
      <c r="B181">
        <v>3</v>
      </c>
      <c r="C181" t="s">
        <v>157</v>
      </c>
      <c r="D181">
        <v>2050</v>
      </c>
      <c r="E181" t="s">
        <v>11</v>
      </c>
      <c r="I181" t="s">
        <v>93</v>
      </c>
      <c r="K181" t="s">
        <v>60</v>
      </c>
      <c r="M181" t="s">
        <v>92</v>
      </c>
      <c r="N181">
        <v>56</v>
      </c>
    </row>
    <row r="182" spans="1:14" x14ac:dyDescent="0.25">
      <c r="A182" t="s">
        <v>94</v>
      </c>
      <c r="D182">
        <v>2050</v>
      </c>
      <c r="E182" t="s">
        <v>11</v>
      </c>
      <c r="I182" t="s">
        <v>93</v>
      </c>
      <c r="K182" t="s">
        <v>60</v>
      </c>
      <c r="M182" t="s">
        <v>84</v>
      </c>
      <c r="N182">
        <v>50</v>
      </c>
    </row>
    <row r="183" spans="1:14" x14ac:dyDescent="0.25">
      <c r="A183" t="s">
        <v>94</v>
      </c>
      <c r="B183">
        <v>3</v>
      </c>
      <c r="C183" t="s">
        <v>157</v>
      </c>
      <c r="D183">
        <v>2050</v>
      </c>
      <c r="E183" t="s">
        <v>13</v>
      </c>
      <c r="I183" t="s">
        <v>93</v>
      </c>
      <c r="K183" t="s">
        <v>60</v>
      </c>
      <c r="M183" t="s">
        <v>92</v>
      </c>
      <c r="N183">
        <v>99</v>
      </c>
    </row>
    <row r="184" spans="1:14" x14ac:dyDescent="0.25">
      <c r="A184" t="s">
        <v>94</v>
      </c>
      <c r="D184">
        <v>2050</v>
      </c>
      <c r="E184" t="s">
        <v>13</v>
      </c>
      <c r="I184" t="s">
        <v>93</v>
      </c>
      <c r="K184" t="s">
        <v>60</v>
      </c>
      <c r="M184" t="s">
        <v>84</v>
      </c>
      <c r="N184">
        <v>50</v>
      </c>
    </row>
    <row r="185" spans="1:14" x14ac:dyDescent="0.25">
      <c r="A185" t="s">
        <v>90</v>
      </c>
      <c r="B185">
        <v>2</v>
      </c>
      <c r="C185" t="s">
        <v>163</v>
      </c>
      <c r="D185">
        <v>2025</v>
      </c>
      <c r="E185" t="s">
        <v>11</v>
      </c>
      <c r="I185" t="s">
        <v>95</v>
      </c>
      <c r="K185" t="s">
        <v>57</v>
      </c>
      <c r="M185" t="s">
        <v>92</v>
      </c>
      <c r="N185">
        <v>94</v>
      </c>
    </row>
    <row r="186" spans="1:14" x14ac:dyDescent="0.25">
      <c r="A186" t="s">
        <v>90</v>
      </c>
      <c r="B186">
        <v>2</v>
      </c>
      <c r="C186" t="s">
        <v>163</v>
      </c>
      <c r="D186">
        <v>2025</v>
      </c>
      <c r="E186" t="s">
        <v>13</v>
      </c>
      <c r="I186" t="s">
        <v>95</v>
      </c>
      <c r="K186" t="s">
        <v>57</v>
      </c>
      <c r="M186" t="s">
        <v>92</v>
      </c>
      <c r="N186">
        <v>56</v>
      </c>
    </row>
    <row r="187" spans="1:14" x14ac:dyDescent="0.25">
      <c r="A187" t="s">
        <v>90</v>
      </c>
      <c r="B187">
        <v>2</v>
      </c>
      <c r="C187" t="s">
        <v>163</v>
      </c>
      <c r="D187">
        <v>2030</v>
      </c>
      <c r="E187" t="s">
        <v>11</v>
      </c>
      <c r="I187" t="s">
        <v>95</v>
      </c>
      <c r="K187" t="s">
        <v>57</v>
      </c>
      <c r="M187" t="s">
        <v>92</v>
      </c>
      <c r="N187">
        <v>45</v>
      </c>
    </row>
    <row r="188" spans="1:14" x14ac:dyDescent="0.25">
      <c r="A188" t="s">
        <v>90</v>
      </c>
      <c r="B188">
        <v>2</v>
      </c>
      <c r="C188" t="s">
        <v>163</v>
      </c>
      <c r="D188">
        <v>2030</v>
      </c>
      <c r="E188" t="s">
        <v>13</v>
      </c>
      <c r="I188" t="s">
        <v>95</v>
      </c>
      <c r="K188" t="s">
        <v>57</v>
      </c>
      <c r="M188" t="s">
        <v>92</v>
      </c>
      <c r="N188">
        <v>66</v>
      </c>
    </row>
    <row r="189" spans="1:14" x14ac:dyDescent="0.25">
      <c r="A189" t="s">
        <v>90</v>
      </c>
      <c r="B189">
        <v>2</v>
      </c>
      <c r="C189" t="s">
        <v>163</v>
      </c>
      <c r="D189">
        <v>2050</v>
      </c>
      <c r="E189" t="s">
        <v>11</v>
      </c>
      <c r="I189" t="s">
        <v>95</v>
      </c>
      <c r="K189" t="s">
        <v>57</v>
      </c>
      <c r="M189" t="s">
        <v>92</v>
      </c>
      <c r="N189">
        <v>99</v>
      </c>
    </row>
    <row r="190" spans="1:14" x14ac:dyDescent="0.25">
      <c r="A190" t="s">
        <v>90</v>
      </c>
      <c r="B190">
        <v>2</v>
      </c>
      <c r="C190" t="s">
        <v>163</v>
      </c>
      <c r="D190">
        <v>2050</v>
      </c>
      <c r="E190" t="s">
        <v>13</v>
      </c>
      <c r="I190" t="s">
        <v>95</v>
      </c>
      <c r="K190" t="s">
        <v>57</v>
      </c>
      <c r="M190" t="s">
        <v>92</v>
      </c>
      <c r="N190">
        <v>79</v>
      </c>
    </row>
    <row r="191" spans="1:14" x14ac:dyDescent="0.25">
      <c r="A191" t="s">
        <v>94</v>
      </c>
      <c r="B191">
        <v>3</v>
      </c>
      <c r="C191" t="s">
        <v>157</v>
      </c>
      <c r="D191">
        <v>2025</v>
      </c>
      <c r="E191" t="s">
        <v>11</v>
      </c>
      <c r="I191" t="s">
        <v>95</v>
      </c>
      <c r="K191" t="s">
        <v>60</v>
      </c>
      <c r="M191" t="s">
        <v>92</v>
      </c>
      <c r="N191">
        <v>89</v>
      </c>
    </row>
    <row r="192" spans="1:14" x14ac:dyDescent="0.25">
      <c r="A192" t="s">
        <v>94</v>
      </c>
      <c r="B192">
        <v>3</v>
      </c>
      <c r="C192" t="s">
        <v>157</v>
      </c>
      <c r="D192">
        <v>2025</v>
      </c>
      <c r="E192" t="s">
        <v>13</v>
      </c>
      <c r="I192" t="s">
        <v>95</v>
      </c>
      <c r="K192" t="s">
        <v>60</v>
      </c>
      <c r="M192" t="s">
        <v>92</v>
      </c>
      <c r="N192">
        <v>77</v>
      </c>
    </row>
    <row r="193" spans="1:14" x14ac:dyDescent="0.25">
      <c r="A193" t="s">
        <v>94</v>
      </c>
      <c r="B193">
        <v>3</v>
      </c>
      <c r="C193" t="s">
        <v>157</v>
      </c>
      <c r="D193">
        <v>2030</v>
      </c>
      <c r="E193" t="s">
        <v>11</v>
      </c>
      <c r="I193" t="s">
        <v>95</v>
      </c>
      <c r="K193" t="s">
        <v>60</v>
      </c>
      <c r="M193" t="s">
        <v>92</v>
      </c>
      <c r="N193">
        <v>89</v>
      </c>
    </row>
    <row r="194" spans="1:14" x14ac:dyDescent="0.25">
      <c r="A194" t="s">
        <v>94</v>
      </c>
      <c r="B194">
        <v>3</v>
      </c>
      <c r="C194" t="s">
        <v>157</v>
      </c>
      <c r="D194">
        <v>2030</v>
      </c>
      <c r="E194" t="s">
        <v>13</v>
      </c>
      <c r="I194" t="s">
        <v>95</v>
      </c>
      <c r="K194" t="s">
        <v>60</v>
      </c>
      <c r="M194" t="s">
        <v>92</v>
      </c>
      <c r="N194">
        <v>46</v>
      </c>
    </row>
    <row r="195" spans="1:14" x14ac:dyDescent="0.25">
      <c r="A195" t="s">
        <v>94</v>
      </c>
      <c r="B195">
        <v>3</v>
      </c>
      <c r="C195" t="s">
        <v>157</v>
      </c>
      <c r="D195">
        <v>2050</v>
      </c>
      <c r="E195" t="s">
        <v>11</v>
      </c>
      <c r="I195" t="s">
        <v>95</v>
      </c>
      <c r="K195" t="s">
        <v>60</v>
      </c>
      <c r="M195" t="s">
        <v>92</v>
      </c>
      <c r="N195">
        <v>79</v>
      </c>
    </row>
    <row r="196" spans="1:14" x14ac:dyDescent="0.25">
      <c r="A196" t="s">
        <v>94</v>
      </c>
      <c r="B196">
        <v>3</v>
      </c>
      <c r="C196" t="s">
        <v>157</v>
      </c>
      <c r="D196">
        <v>2050</v>
      </c>
      <c r="E196" t="s">
        <v>13</v>
      </c>
      <c r="I196" t="s">
        <v>95</v>
      </c>
      <c r="K196" t="s">
        <v>60</v>
      </c>
      <c r="M196" t="s">
        <v>92</v>
      </c>
      <c r="N196">
        <v>89</v>
      </c>
    </row>
    <row r="197" spans="1:14" x14ac:dyDescent="0.25">
      <c r="A197" t="s">
        <v>94</v>
      </c>
      <c r="B197">
        <v>3</v>
      </c>
      <c r="C197" t="s">
        <v>157</v>
      </c>
      <c r="D197">
        <v>2025</v>
      </c>
      <c r="E197" t="s">
        <v>11</v>
      </c>
      <c r="I197" t="s">
        <v>96</v>
      </c>
      <c r="K197" t="s">
        <v>60</v>
      </c>
      <c r="M197" t="s">
        <v>92</v>
      </c>
      <c r="N197">
        <v>89</v>
      </c>
    </row>
    <row r="198" spans="1:14" x14ac:dyDescent="0.25">
      <c r="A198" t="s">
        <v>94</v>
      </c>
      <c r="D198">
        <v>2025</v>
      </c>
      <c r="E198" t="s">
        <v>11</v>
      </c>
      <c r="I198" t="s">
        <v>96</v>
      </c>
      <c r="K198" t="s">
        <v>60</v>
      </c>
      <c r="M198" t="s">
        <v>84</v>
      </c>
      <c r="N198">
        <v>50</v>
      </c>
    </row>
    <row r="199" spans="1:14" x14ac:dyDescent="0.25">
      <c r="A199" t="s">
        <v>94</v>
      </c>
      <c r="B199">
        <v>3</v>
      </c>
      <c r="C199" t="s">
        <v>157</v>
      </c>
      <c r="D199">
        <v>2025</v>
      </c>
      <c r="E199" t="s">
        <v>13</v>
      </c>
      <c r="I199" t="s">
        <v>96</v>
      </c>
      <c r="K199" t="s">
        <v>60</v>
      </c>
      <c r="M199" t="s">
        <v>92</v>
      </c>
      <c r="N199">
        <v>46</v>
      </c>
    </row>
    <row r="200" spans="1:14" x14ac:dyDescent="0.25">
      <c r="A200" t="s">
        <v>94</v>
      </c>
      <c r="D200">
        <v>2025</v>
      </c>
      <c r="E200" t="s">
        <v>13</v>
      </c>
      <c r="I200" t="s">
        <v>96</v>
      </c>
      <c r="K200" t="s">
        <v>60</v>
      </c>
      <c r="M200" t="s">
        <v>84</v>
      </c>
      <c r="N200">
        <v>50</v>
      </c>
    </row>
    <row r="201" spans="1:14" x14ac:dyDescent="0.25">
      <c r="A201" t="s">
        <v>94</v>
      </c>
      <c r="B201">
        <v>3</v>
      </c>
      <c r="C201" t="s">
        <v>157</v>
      </c>
      <c r="D201">
        <v>2030</v>
      </c>
      <c r="E201" t="s">
        <v>11</v>
      </c>
      <c r="I201" t="s">
        <v>96</v>
      </c>
      <c r="K201" t="s">
        <v>60</v>
      </c>
      <c r="M201" t="s">
        <v>92</v>
      </c>
      <c r="N201">
        <v>94</v>
      </c>
    </row>
    <row r="202" spans="1:14" x14ac:dyDescent="0.25">
      <c r="A202" t="s">
        <v>94</v>
      </c>
      <c r="D202">
        <v>2030</v>
      </c>
      <c r="E202" t="s">
        <v>11</v>
      </c>
      <c r="I202" t="s">
        <v>96</v>
      </c>
      <c r="K202" t="s">
        <v>60</v>
      </c>
      <c r="M202" t="s">
        <v>84</v>
      </c>
      <c r="N202">
        <v>50</v>
      </c>
    </row>
    <row r="203" spans="1:14" x14ac:dyDescent="0.25">
      <c r="A203" t="s">
        <v>94</v>
      </c>
      <c r="B203">
        <v>3</v>
      </c>
      <c r="C203" t="s">
        <v>157</v>
      </c>
      <c r="D203">
        <v>2030</v>
      </c>
      <c r="E203" t="s">
        <v>13</v>
      </c>
      <c r="I203" t="s">
        <v>96</v>
      </c>
      <c r="K203" t="s">
        <v>60</v>
      </c>
      <c r="M203" t="s">
        <v>92</v>
      </c>
      <c r="N203">
        <v>56</v>
      </c>
    </row>
    <row r="204" spans="1:14" x14ac:dyDescent="0.25">
      <c r="A204" t="s">
        <v>94</v>
      </c>
      <c r="D204">
        <v>2030</v>
      </c>
      <c r="E204" t="s">
        <v>13</v>
      </c>
      <c r="I204" t="s">
        <v>96</v>
      </c>
      <c r="K204" t="s">
        <v>60</v>
      </c>
      <c r="M204" t="s">
        <v>84</v>
      </c>
      <c r="N204">
        <v>50</v>
      </c>
    </row>
    <row r="205" spans="1:14" x14ac:dyDescent="0.25">
      <c r="A205" t="s">
        <v>94</v>
      </c>
      <c r="B205">
        <v>3</v>
      </c>
      <c r="C205" t="s">
        <v>157</v>
      </c>
      <c r="D205">
        <v>2050</v>
      </c>
      <c r="E205" t="s">
        <v>11</v>
      </c>
      <c r="I205" t="s">
        <v>96</v>
      </c>
      <c r="K205" t="s">
        <v>60</v>
      </c>
      <c r="M205" t="s">
        <v>92</v>
      </c>
      <c r="N205">
        <v>77</v>
      </c>
    </row>
    <row r="206" spans="1:14" x14ac:dyDescent="0.25">
      <c r="A206" t="s">
        <v>94</v>
      </c>
      <c r="D206">
        <v>2050</v>
      </c>
      <c r="E206" t="s">
        <v>11</v>
      </c>
      <c r="I206" t="s">
        <v>96</v>
      </c>
      <c r="K206" t="s">
        <v>60</v>
      </c>
      <c r="M206" t="s">
        <v>84</v>
      </c>
      <c r="N206">
        <v>50</v>
      </c>
    </row>
    <row r="207" spans="1:14" x14ac:dyDescent="0.25">
      <c r="A207" t="s">
        <v>94</v>
      </c>
      <c r="B207">
        <v>3</v>
      </c>
      <c r="C207" t="s">
        <v>157</v>
      </c>
      <c r="D207">
        <v>2050</v>
      </c>
      <c r="E207" t="s">
        <v>13</v>
      </c>
      <c r="I207" t="s">
        <v>96</v>
      </c>
      <c r="K207" t="s">
        <v>60</v>
      </c>
      <c r="M207" t="s">
        <v>92</v>
      </c>
      <c r="N207">
        <v>94</v>
      </c>
    </row>
    <row r="208" spans="1:14" x14ac:dyDescent="0.25">
      <c r="A208" t="s">
        <v>94</v>
      </c>
      <c r="D208">
        <v>2050</v>
      </c>
      <c r="E208" t="s">
        <v>13</v>
      </c>
      <c r="I208" t="s">
        <v>96</v>
      </c>
      <c r="K208" t="s">
        <v>60</v>
      </c>
      <c r="M208" t="s">
        <v>84</v>
      </c>
      <c r="N208">
        <v>50</v>
      </c>
    </row>
    <row r="209" spans="1:14" x14ac:dyDescent="0.25">
      <c r="A209" t="s">
        <v>97</v>
      </c>
      <c r="D209">
        <v>2025</v>
      </c>
      <c r="E209" t="s">
        <v>34</v>
      </c>
      <c r="I209" t="s">
        <v>70</v>
      </c>
      <c r="K209" t="s">
        <v>98</v>
      </c>
      <c r="M209" t="s">
        <v>92</v>
      </c>
      <c r="N209">
        <v>75</v>
      </c>
    </row>
    <row r="210" spans="1:14" x14ac:dyDescent="0.25">
      <c r="A210" t="s">
        <v>97</v>
      </c>
      <c r="D210">
        <v>2025</v>
      </c>
      <c r="E210" t="s">
        <v>34</v>
      </c>
      <c r="I210" t="s">
        <v>70</v>
      </c>
      <c r="K210" t="s">
        <v>98</v>
      </c>
      <c r="M210" t="s">
        <v>84</v>
      </c>
      <c r="N210">
        <v>10</v>
      </c>
    </row>
    <row r="211" spans="1:14" x14ac:dyDescent="0.25">
      <c r="A211" t="s">
        <v>97</v>
      </c>
      <c r="D211">
        <v>2025</v>
      </c>
      <c r="E211" t="s">
        <v>34</v>
      </c>
      <c r="I211" t="s">
        <v>70</v>
      </c>
      <c r="K211" t="s">
        <v>99</v>
      </c>
      <c r="M211" t="s">
        <v>92</v>
      </c>
      <c r="N211">
        <v>9</v>
      </c>
    </row>
    <row r="212" spans="1:14" x14ac:dyDescent="0.25">
      <c r="A212" t="s">
        <v>97</v>
      </c>
      <c r="D212">
        <v>2025</v>
      </c>
      <c r="E212" t="s">
        <v>34</v>
      </c>
      <c r="I212" t="s">
        <v>70</v>
      </c>
      <c r="K212" t="s">
        <v>99</v>
      </c>
      <c r="M212" t="s">
        <v>84</v>
      </c>
      <c r="N212">
        <v>12</v>
      </c>
    </row>
    <row r="213" spans="1:14" x14ac:dyDescent="0.25">
      <c r="A213" t="s">
        <v>97</v>
      </c>
      <c r="D213">
        <v>2025</v>
      </c>
      <c r="E213" t="s">
        <v>34</v>
      </c>
      <c r="I213" t="s">
        <v>66</v>
      </c>
      <c r="K213" t="s">
        <v>100</v>
      </c>
      <c r="M213" t="s">
        <v>92</v>
      </c>
      <c r="N213">
        <v>18</v>
      </c>
    </row>
    <row r="214" spans="1:14" x14ac:dyDescent="0.25">
      <c r="A214" t="s">
        <v>97</v>
      </c>
      <c r="D214">
        <v>2025</v>
      </c>
      <c r="E214" t="s">
        <v>34</v>
      </c>
      <c r="I214" t="s">
        <v>66</v>
      </c>
      <c r="K214" t="s">
        <v>100</v>
      </c>
      <c r="M214" t="s">
        <v>84</v>
      </c>
      <c r="N214">
        <v>14</v>
      </c>
    </row>
    <row r="215" spans="1:14" x14ac:dyDescent="0.25">
      <c r="A215" t="s">
        <v>97</v>
      </c>
      <c r="D215">
        <v>2025</v>
      </c>
      <c r="E215" t="s">
        <v>34</v>
      </c>
      <c r="I215" t="s">
        <v>70</v>
      </c>
      <c r="K215" t="s">
        <v>100</v>
      </c>
      <c r="M215" t="s">
        <v>92</v>
      </c>
      <c r="N215">
        <v>56</v>
      </c>
    </row>
    <row r="216" spans="1:14" x14ac:dyDescent="0.25">
      <c r="A216" t="s">
        <v>97</v>
      </c>
      <c r="D216">
        <v>2025</v>
      </c>
      <c r="E216" t="s">
        <v>34</v>
      </c>
      <c r="I216" t="s">
        <v>70</v>
      </c>
      <c r="K216" t="s">
        <v>100</v>
      </c>
      <c r="M216" t="s">
        <v>84</v>
      </c>
      <c r="N216">
        <v>16</v>
      </c>
    </row>
    <row r="217" spans="1:14" x14ac:dyDescent="0.25">
      <c r="A217" t="s">
        <v>97</v>
      </c>
      <c r="D217">
        <v>2030</v>
      </c>
      <c r="E217" t="s">
        <v>34</v>
      </c>
      <c r="I217" t="s">
        <v>70</v>
      </c>
      <c r="K217" t="s">
        <v>98</v>
      </c>
      <c r="M217" t="s">
        <v>92</v>
      </c>
      <c r="N217">
        <v>46</v>
      </c>
    </row>
    <row r="218" spans="1:14" x14ac:dyDescent="0.25">
      <c r="A218" t="s">
        <v>97</v>
      </c>
      <c r="D218">
        <v>2030</v>
      </c>
      <c r="E218" t="s">
        <v>34</v>
      </c>
      <c r="I218" t="s">
        <v>70</v>
      </c>
      <c r="K218" t="s">
        <v>98</v>
      </c>
      <c r="M218" t="s">
        <v>84</v>
      </c>
      <c r="N218">
        <v>18</v>
      </c>
    </row>
    <row r="219" spans="1:14" x14ac:dyDescent="0.25">
      <c r="A219" t="s">
        <v>97</v>
      </c>
      <c r="D219">
        <v>2030</v>
      </c>
      <c r="E219" t="s">
        <v>34</v>
      </c>
      <c r="I219" t="s">
        <v>70</v>
      </c>
      <c r="K219" t="s">
        <v>99</v>
      </c>
      <c r="M219" t="s">
        <v>92</v>
      </c>
      <c r="N219">
        <v>33</v>
      </c>
    </row>
    <row r="220" spans="1:14" x14ac:dyDescent="0.25">
      <c r="A220" t="s">
        <v>97</v>
      </c>
      <c r="D220">
        <v>2030</v>
      </c>
      <c r="E220" t="s">
        <v>34</v>
      </c>
      <c r="I220" t="s">
        <v>70</v>
      </c>
      <c r="K220" t="s">
        <v>99</v>
      </c>
      <c r="M220" t="s">
        <v>84</v>
      </c>
      <c r="N220">
        <v>20</v>
      </c>
    </row>
    <row r="221" spans="1:14" x14ac:dyDescent="0.25">
      <c r="A221" t="s">
        <v>97</v>
      </c>
      <c r="D221">
        <v>2030</v>
      </c>
      <c r="E221" t="s">
        <v>34</v>
      </c>
      <c r="I221" t="s">
        <v>66</v>
      </c>
      <c r="K221" t="s">
        <v>100</v>
      </c>
      <c r="M221" t="s">
        <v>92</v>
      </c>
      <c r="N221">
        <v>2</v>
      </c>
    </row>
    <row r="222" spans="1:14" x14ac:dyDescent="0.25">
      <c r="A222" t="s">
        <v>97</v>
      </c>
      <c r="D222">
        <v>2030</v>
      </c>
      <c r="E222" t="s">
        <v>34</v>
      </c>
      <c r="I222" t="s">
        <v>66</v>
      </c>
      <c r="K222" t="s">
        <v>100</v>
      </c>
      <c r="M222" t="s">
        <v>84</v>
      </c>
      <c r="N222">
        <v>22</v>
      </c>
    </row>
    <row r="223" spans="1:14" x14ac:dyDescent="0.25">
      <c r="A223" t="s">
        <v>97</v>
      </c>
      <c r="D223">
        <v>2030</v>
      </c>
      <c r="E223" t="s">
        <v>34</v>
      </c>
      <c r="I223" t="s">
        <v>70</v>
      </c>
      <c r="K223" t="s">
        <v>100</v>
      </c>
      <c r="M223" t="s">
        <v>92</v>
      </c>
      <c r="N223">
        <v>21</v>
      </c>
    </row>
    <row r="224" spans="1:14" x14ac:dyDescent="0.25">
      <c r="A224" t="s">
        <v>97</v>
      </c>
      <c r="D224">
        <v>2030</v>
      </c>
      <c r="E224" t="s">
        <v>34</v>
      </c>
      <c r="I224" t="s">
        <v>70</v>
      </c>
      <c r="K224" t="s">
        <v>100</v>
      </c>
      <c r="M224" t="s">
        <v>84</v>
      </c>
      <c r="N224">
        <v>24</v>
      </c>
    </row>
    <row r="225" spans="1:14" x14ac:dyDescent="0.25">
      <c r="A225" t="s">
        <v>97</v>
      </c>
      <c r="D225">
        <v>2050</v>
      </c>
      <c r="E225" t="s">
        <v>34</v>
      </c>
      <c r="I225" t="s">
        <v>70</v>
      </c>
      <c r="K225" t="s">
        <v>98</v>
      </c>
      <c r="M225" t="s">
        <v>92</v>
      </c>
      <c r="N225">
        <v>11</v>
      </c>
    </row>
    <row r="226" spans="1:14" x14ac:dyDescent="0.25">
      <c r="A226" t="s">
        <v>97</v>
      </c>
      <c r="D226">
        <v>2050</v>
      </c>
      <c r="E226" t="s">
        <v>34</v>
      </c>
      <c r="I226" t="s">
        <v>70</v>
      </c>
      <c r="K226" t="s">
        <v>98</v>
      </c>
      <c r="M226" t="s">
        <v>84</v>
      </c>
      <c r="N226">
        <v>26</v>
      </c>
    </row>
    <row r="227" spans="1:14" x14ac:dyDescent="0.25">
      <c r="A227" t="s">
        <v>97</v>
      </c>
      <c r="D227">
        <v>2050</v>
      </c>
      <c r="E227" t="s">
        <v>34</v>
      </c>
      <c r="I227" t="s">
        <v>70</v>
      </c>
      <c r="K227" t="s">
        <v>99</v>
      </c>
      <c r="M227" t="s">
        <v>92</v>
      </c>
      <c r="N227">
        <v>55</v>
      </c>
    </row>
    <row r="228" spans="1:14" x14ac:dyDescent="0.25">
      <c r="A228" t="s">
        <v>97</v>
      </c>
      <c r="D228">
        <v>2050</v>
      </c>
      <c r="E228" t="s">
        <v>34</v>
      </c>
      <c r="I228" t="s">
        <v>70</v>
      </c>
      <c r="K228" t="s">
        <v>99</v>
      </c>
      <c r="M228" t="s">
        <v>84</v>
      </c>
      <c r="N228">
        <v>28</v>
      </c>
    </row>
    <row r="229" spans="1:14" x14ac:dyDescent="0.25">
      <c r="A229" t="s">
        <v>97</v>
      </c>
      <c r="D229">
        <v>2050</v>
      </c>
      <c r="E229" t="s">
        <v>34</v>
      </c>
      <c r="I229" t="s">
        <v>66</v>
      </c>
      <c r="K229" t="s">
        <v>100</v>
      </c>
      <c r="M229" t="s">
        <v>92</v>
      </c>
      <c r="N229">
        <v>14</v>
      </c>
    </row>
    <row r="230" spans="1:14" x14ac:dyDescent="0.25">
      <c r="A230" t="s">
        <v>97</v>
      </c>
      <c r="D230">
        <v>2050</v>
      </c>
      <c r="E230" t="s">
        <v>34</v>
      </c>
      <c r="I230" t="s">
        <v>66</v>
      </c>
      <c r="K230" t="s">
        <v>100</v>
      </c>
      <c r="M230" t="s">
        <v>84</v>
      </c>
      <c r="N230">
        <v>30</v>
      </c>
    </row>
    <row r="231" spans="1:14" x14ac:dyDescent="0.25">
      <c r="A231" t="s">
        <v>97</v>
      </c>
      <c r="D231">
        <v>2050</v>
      </c>
      <c r="E231" t="s">
        <v>34</v>
      </c>
      <c r="I231" t="s">
        <v>70</v>
      </c>
      <c r="K231" t="s">
        <v>100</v>
      </c>
      <c r="M231" t="s">
        <v>92</v>
      </c>
      <c r="N231">
        <v>15</v>
      </c>
    </row>
    <row r="232" spans="1:14" x14ac:dyDescent="0.25">
      <c r="A232" t="s">
        <v>97</v>
      </c>
      <c r="D232">
        <v>2050</v>
      </c>
      <c r="E232" t="s">
        <v>34</v>
      </c>
      <c r="I232" t="s">
        <v>70</v>
      </c>
      <c r="K232" t="s">
        <v>100</v>
      </c>
      <c r="M232" t="s">
        <v>84</v>
      </c>
      <c r="N232">
        <v>32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J137"/>
  <sheetViews>
    <sheetView showGridLines="0" zoomScale="80" zoomScaleNormal="80" workbookViewId="0">
      <selection activeCell="J11" sqref="J11:J38"/>
    </sheetView>
  </sheetViews>
  <sheetFormatPr defaultRowHeight="15" x14ac:dyDescent="0.25"/>
  <cols>
    <col min="1" max="1" width="39.85546875" bestFit="1" customWidth="1"/>
    <col min="2" max="2" width="11.85546875" bestFit="1" customWidth="1"/>
    <col min="3" max="3" width="11.5703125" bestFit="1" customWidth="1"/>
    <col min="4" max="4" width="30.5703125" bestFit="1" customWidth="1"/>
    <col min="5" max="5" width="11" bestFit="1" customWidth="1"/>
    <col min="6" max="6" width="17.42578125" bestFit="1" customWidth="1"/>
    <col min="7" max="7" width="28.42578125" bestFit="1" customWidth="1"/>
    <col min="8" max="8" width="17.5703125" bestFit="1" customWidth="1"/>
    <col min="9" max="9" width="22.7109375" bestFit="1" customWidth="1"/>
    <col min="10" max="10" width="31.42578125" customWidth="1"/>
  </cols>
  <sheetData>
    <row r="1" spans="1:10" x14ac:dyDescent="0.25">
      <c r="A1" s="1" t="s">
        <v>0</v>
      </c>
      <c r="B1" s="1" t="s">
        <v>5</v>
      </c>
      <c r="C1" s="1" t="s">
        <v>1</v>
      </c>
      <c r="D1" s="1" t="s">
        <v>2</v>
      </c>
      <c r="E1" s="1" t="s">
        <v>7</v>
      </c>
      <c r="F1" s="1" t="s">
        <v>4</v>
      </c>
      <c r="G1" s="1" t="s">
        <v>104</v>
      </c>
      <c r="H1" s="1" t="s">
        <v>6</v>
      </c>
      <c r="I1" s="1" t="s">
        <v>101</v>
      </c>
      <c r="J1" t="s">
        <v>102</v>
      </c>
    </row>
    <row r="2" spans="1:10" x14ac:dyDescent="0.25">
      <c r="A2" t="s">
        <v>105</v>
      </c>
      <c r="B2" t="s">
        <v>35</v>
      </c>
      <c r="C2" t="s">
        <v>11</v>
      </c>
      <c r="I2" t="s">
        <v>106</v>
      </c>
      <c r="J2">
        <v>3971846.68</v>
      </c>
    </row>
    <row r="3" spans="1:10" x14ac:dyDescent="0.25">
      <c r="A3" t="s">
        <v>105</v>
      </c>
      <c r="B3" t="s">
        <v>35</v>
      </c>
      <c r="C3" t="s">
        <v>11</v>
      </c>
      <c r="I3" t="s">
        <v>107</v>
      </c>
      <c r="J3">
        <v>397184.66800000006</v>
      </c>
    </row>
    <row r="4" spans="1:10" x14ac:dyDescent="0.25">
      <c r="A4" t="s">
        <v>105</v>
      </c>
      <c r="B4" t="s">
        <v>35</v>
      </c>
      <c r="C4" t="s">
        <v>13</v>
      </c>
      <c r="I4" t="s">
        <v>106</v>
      </c>
      <c r="J4">
        <v>2785357.2850000001</v>
      </c>
    </row>
    <row r="5" spans="1:10" x14ac:dyDescent="0.25">
      <c r="A5" t="s">
        <v>105</v>
      </c>
      <c r="B5" t="s">
        <v>35</v>
      </c>
      <c r="C5" t="s">
        <v>13</v>
      </c>
      <c r="I5" t="s">
        <v>107</v>
      </c>
      <c r="J5">
        <v>278535.72850000003</v>
      </c>
    </row>
    <row r="6" spans="1:10" x14ac:dyDescent="0.25">
      <c r="A6" t="s">
        <v>105</v>
      </c>
      <c r="B6" t="s">
        <v>38</v>
      </c>
      <c r="C6" t="s">
        <v>11</v>
      </c>
      <c r="I6" t="s">
        <v>106</v>
      </c>
      <c r="J6">
        <v>3275809.4</v>
      </c>
    </row>
    <row r="7" spans="1:10" x14ac:dyDescent="0.25">
      <c r="A7" t="s">
        <v>105</v>
      </c>
      <c r="B7" t="s">
        <v>38</v>
      </c>
      <c r="C7" t="s">
        <v>11</v>
      </c>
      <c r="I7" t="s">
        <v>107</v>
      </c>
      <c r="J7">
        <v>327580.94</v>
      </c>
    </row>
    <row r="8" spans="1:10" x14ac:dyDescent="0.25">
      <c r="A8" t="s">
        <v>105</v>
      </c>
      <c r="B8" t="s">
        <v>38</v>
      </c>
      <c r="C8" t="s">
        <v>13</v>
      </c>
      <c r="I8" t="s">
        <v>106</v>
      </c>
      <c r="J8">
        <v>1629814.7250000001</v>
      </c>
    </row>
    <row r="9" spans="1:10" x14ac:dyDescent="0.25">
      <c r="A9" t="s">
        <v>105</v>
      </c>
      <c r="B9" t="s">
        <v>38</v>
      </c>
      <c r="C9" t="s">
        <v>13</v>
      </c>
      <c r="I9" t="s">
        <v>107</v>
      </c>
      <c r="J9">
        <v>162981.47250000003</v>
      </c>
    </row>
    <row r="10" spans="1:10" x14ac:dyDescent="0.25">
      <c r="A10" t="s">
        <v>105</v>
      </c>
      <c r="B10" t="s">
        <v>35</v>
      </c>
      <c r="C10" t="s">
        <v>11</v>
      </c>
      <c r="I10" t="s">
        <v>106</v>
      </c>
      <c r="J10">
        <v>3971846.68</v>
      </c>
    </row>
    <row r="11" spans="1:10" x14ac:dyDescent="0.25">
      <c r="A11" t="s">
        <v>105</v>
      </c>
      <c r="B11" t="s">
        <v>35</v>
      </c>
      <c r="C11" t="s">
        <v>11</v>
      </c>
      <c r="I11" t="s">
        <v>107</v>
      </c>
      <c r="J11">
        <v>397184.66800000006</v>
      </c>
    </row>
    <row r="12" spans="1:10" x14ac:dyDescent="0.25">
      <c r="A12" t="s">
        <v>105</v>
      </c>
      <c r="B12" t="s">
        <v>35</v>
      </c>
      <c r="C12" t="s">
        <v>13</v>
      </c>
      <c r="I12" t="s">
        <v>106</v>
      </c>
      <c r="J12">
        <v>2785357.2850000001</v>
      </c>
    </row>
    <row r="13" spans="1:10" x14ac:dyDescent="0.25">
      <c r="A13" t="s">
        <v>105</v>
      </c>
      <c r="B13" t="s">
        <v>35</v>
      </c>
      <c r="C13" t="s">
        <v>13</v>
      </c>
      <c r="I13" t="s">
        <v>107</v>
      </c>
      <c r="J13">
        <v>278535.72850000003</v>
      </c>
    </row>
    <row r="14" spans="1:10" x14ac:dyDescent="0.25">
      <c r="A14" t="s">
        <v>105</v>
      </c>
      <c r="B14" t="s">
        <v>38</v>
      </c>
      <c r="C14" t="s">
        <v>11</v>
      </c>
      <c r="I14" t="s">
        <v>106</v>
      </c>
      <c r="J14">
        <v>3275809.4</v>
      </c>
    </row>
    <row r="15" spans="1:10" x14ac:dyDescent="0.25">
      <c r="A15" t="s">
        <v>105</v>
      </c>
      <c r="B15" t="s">
        <v>38</v>
      </c>
      <c r="C15" t="s">
        <v>11</v>
      </c>
      <c r="I15" t="s">
        <v>107</v>
      </c>
      <c r="J15">
        <v>327580.94</v>
      </c>
    </row>
    <row r="16" spans="1:10" x14ac:dyDescent="0.25">
      <c r="A16" t="s">
        <v>105</v>
      </c>
      <c r="B16" t="s">
        <v>38</v>
      </c>
      <c r="C16" t="s">
        <v>13</v>
      </c>
      <c r="I16" t="s">
        <v>106</v>
      </c>
      <c r="J16">
        <v>1629814.7250000001</v>
      </c>
    </row>
    <row r="17" spans="1:10" x14ac:dyDescent="0.25">
      <c r="A17" t="s">
        <v>105</v>
      </c>
      <c r="B17" t="s">
        <v>38</v>
      </c>
      <c r="C17" t="s">
        <v>13</v>
      </c>
      <c r="I17" t="s">
        <v>107</v>
      </c>
      <c r="J17">
        <v>162981.47250000003</v>
      </c>
    </row>
    <row r="18" spans="1:10" x14ac:dyDescent="0.25">
      <c r="A18" t="s">
        <v>82</v>
      </c>
      <c r="D18" t="s">
        <v>15</v>
      </c>
      <c r="I18" t="s">
        <v>108</v>
      </c>
      <c r="J18">
        <v>938</v>
      </c>
    </row>
    <row r="19" spans="1:10" x14ac:dyDescent="0.25">
      <c r="A19" t="s">
        <v>82</v>
      </c>
      <c r="D19" t="s">
        <v>15</v>
      </c>
      <c r="I19" t="s">
        <v>109</v>
      </c>
      <c r="J19">
        <v>3090</v>
      </c>
    </row>
    <row r="20" spans="1:10" x14ac:dyDescent="0.25">
      <c r="A20" t="s">
        <v>82</v>
      </c>
      <c r="D20" t="s">
        <v>110</v>
      </c>
      <c r="I20" t="s">
        <v>108</v>
      </c>
      <c r="J20">
        <v>28401</v>
      </c>
    </row>
    <row r="21" spans="1:10" x14ac:dyDescent="0.25">
      <c r="A21" t="s">
        <v>82</v>
      </c>
      <c r="D21" t="s">
        <v>110</v>
      </c>
      <c r="I21" t="s">
        <v>109</v>
      </c>
      <c r="J21">
        <v>26964</v>
      </c>
    </row>
    <row r="22" spans="1:10" x14ac:dyDescent="0.25">
      <c r="A22" t="s">
        <v>82</v>
      </c>
      <c r="D22" t="s">
        <v>111</v>
      </c>
      <c r="I22" t="s">
        <v>108</v>
      </c>
      <c r="J22">
        <v>75000</v>
      </c>
    </row>
    <row r="23" spans="1:10" x14ac:dyDescent="0.25">
      <c r="A23" t="s">
        <v>82</v>
      </c>
      <c r="D23" t="s">
        <v>111</v>
      </c>
      <c r="I23" t="s">
        <v>109</v>
      </c>
      <c r="J23">
        <v>28312</v>
      </c>
    </row>
    <row r="24" spans="1:10" x14ac:dyDescent="0.25">
      <c r="A24" t="s">
        <v>82</v>
      </c>
      <c r="D24" t="s">
        <v>19</v>
      </c>
      <c r="I24" t="s">
        <v>108</v>
      </c>
      <c r="J24">
        <v>28401</v>
      </c>
    </row>
    <row r="25" spans="1:10" x14ac:dyDescent="0.25">
      <c r="A25" t="s">
        <v>82</v>
      </c>
      <c r="D25" t="s">
        <v>19</v>
      </c>
      <c r="I25" t="s">
        <v>109</v>
      </c>
      <c r="J25">
        <v>26964</v>
      </c>
    </row>
    <row r="26" spans="1:10" x14ac:dyDescent="0.25">
      <c r="A26" t="s">
        <v>82</v>
      </c>
      <c r="D26" t="s">
        <v>20</v>
      </c>
      <c r="I26" t="s">
        <v>108</v>
      </c>
      <c r="J26">
        <v>140000</v>
      </c>
    </row>
    <row r="27" spans="1:10" x14ac:dyDescent="0.25">
      <c r="A27" t="s">
        <v>82</v>
      </c>
      <c r="D27" t="s">
        <v>20</v>
      </c>
      <c r="I27" t="s">
        <v>109</v>
      </c>
      <c r="J27">
        <v>39097</v>
      </c>
    </row>
    <row r="28" spans="1:10" x14ac:dyDescent="0.25">
      <c r="A28" t="s">
        <v>82</v>
      </c>
      <c r="D28" t="s">
        <v>112</v>
      </c>
      <c r="I28" t="s">
        <v>108</v>
      </c>
      <c r="J28">
        <v>50000</v>
      </c>
    </row>
    <row r="29" spans="1:10" x14ac:dyDescent="0.25">
      <c r="A29" t="s">
        <v>82</v>
      </c>
      <c r="D29" t="s">
        <v>112</v>
      </c>
      <c r="I29" t="s">
        <v>109</v>
      </c>
      <c r="J29">
        <v>39097</v>
      </c>
    </row>
    <row r="30" spans="1:10" x14ac:dyDescent="0.25">
      <c r="A30" t="s">
        <v>82</v>
      </c>
      <c r="D30" t="s">
        <v>113</v>
      </c>
      <c r="I30" t="s">
        <v>108</v>
      </c>
      <c r="J30">
        <v>28401</v>
      </c>
    </row>
    <row r="31" spans="1:10" x14ac:dyDescent="0.25">
      <c r="A31" t="s">
        <v>82</v>
      </c>
      <c r="D31" t="s">
        <v>113</v>
      </c>
      <c r="I31" t="s">
        <v>109</v>
      </c>
      <c r="J31">
        <v>26964</v>
      </c>
    </row>
    <row r="32" spans="1:10" x14ac:dyDescent="0.25">
      <c r="A32" t="s">
        <v>23</v>
      </c>
      <c r="E32" t="s">
        <v>71</v>
      </c>
      <c r="F32" t="s">
        <v>24</v>
      </c>
      <c r="I32" t="s">
        <v>114</v>
      </c>
      <c r="J32">
        <v>42100</v>
      </c>
    </row>
    <row r="33" spans="1:10" x14ac:dyDescent="0.25">
      <c r="A33" t="s">
        <v>23</v>
      </c>
      <c r="E33" t="s">
        <v>71</v>
      </c>
      <c r="F33" t="s">
        <v>26</v>
      </c>
      <c r="I33" t="s">
        <v>114</v>
      </c>
      <c r="J33">
        <v>49000</v>
      </c>
    </row>
    <row r="34" spans="1:10" x14ac:dyDescent="0.25">
      <c r="A34" t="s">
        <v>23</v>
      </c>
      <c r="E34" t="s">
        <v>66</v>
      </c>
      <c r="F34" t="s">
        <v>26</v>
      </c>
      <c r="I34" t="s">
        <v>114</v>
      </c>
      <c r="J34">
        <v>49000</v>
      </c>
    </row>
    <row r="35" spans="1:10" x14ac:dyDescent="0.25">
      <c r="A35" t="s">
        <v>23</v>
      </c>
      <c r="E35" t="s">
        <v>66</v>
      </c>
      <c r="F35" t="s">
        <v>27</v>
      </c>
      <c r="I35" t="s">
        <v>114</v>
      </c>
      <c r="J35">
        <v>175000</v>
      </c>
    </row>
    <row r="36" spans="1:10" x14ac:dyDescent="0.25">
      <c r="A36" t="s">
        <v>23</v>
      </c>
      <c r="E36" t="s">
        <v>66</v>
      </c>
      <c r="F36" t="s">
        <v>28</v>
      </c>
      <c r="I36" t="s">
        <v>114</v>
      </c>
      <c r="J36">
        <v>100000</v>
      </c>
    </row>
    <row r="37" spans="1:10" x14ac:dyDescent="0.25">
      <c r="A37" t="s">
        <v>23</v>
      </c>
      <c r="E37" t="s">
        <v>70</v>
      </c>
      <c r="F37" t="s">
        <v>24</v>
      </c>
      <c r="I37" t="s">
        <v>114</v>
      </c>
      <c r="J37">
        <v>67000</v>
      </c>
    </row>
    <row r="38" spans="1:10" x14ac:dyDescent="0.25">
      <c r="A38" t="s">
        <v>23</v>
      </c>
      <c r="E38" t="s">
        <v>70</v>
      </c>
      <c r="F38" t="s">
        <v>26</v>
      </c>
      <c r="I38" t="s">
        <v>114</v>
      </c>
      <c r="J38">
        <v>45000</v>
      </c>
    </row>
    <row r="39" spans="1:10" x14ac:dyDescent="0.25">
      <c r="A39" t="s">
        <v>23</v>
      </c>
      <c r="E39" t="s">
        <v>70</v>
      </c>
      <c r="F39" t="s">
        <v>27</v>
      </c>
      <c r="I39" t="s">
        <v>114</v>
      </c>
      <c r="J39">
        <v>316000</v>
      </c>
    </row>
    <row r="40" spans="1:10" x14ac:dyDescent="0.25">
      <c r="A40" t="s">
        <v>23</v>
      </c>
      <c r="E40" t="s">
        <v>70</v>
      </c>
      <c r="F40" t="s">
        <v>28</v>
      </c>
      <c r="I40" t="s">
        <v>114</v>
      </c>
      <c r="J40">
        <v>240000</v>
      </c>
    </row>
    <row r="41" spans="1:10" x14ac:dyDescent="0.25">
      <c r="A41" t="s">
        <v>115</v>
      </c>
      <c r="B41" t="s">
        <v>38</v>
      </c>
      <c r="C41" t="s">
        <v>11</v>
      </c>
      <c r="G41" t="s">
        <v>116</v>
      </c>
      <c r="I41" t="s">
        <v>117</v>
      </c>
      <c r="J41">
        <v>3000</v>
      </c>
    </row>
    <row r="42" spans="1:10" x14ac:dyDescent="0.25">
      <c r="A42" t="s">
        <v>115</v>
      </c>
      <c r="B42" t="s">
        <v>38</v>
      </c>
      <c r="C42" t="s">
        <v>13</v>
      </c>
      <c r="G42" t="s">
        <v>116</v>
      </c>
      <c r="I42" t="s">
        <v>117</v>
      </c>
      <c r="J42">
        <v>3000</v>
      </c>
    </row>
    <row r="43" spans="1:10" x14ac:dyDescent="0.25">
      <c r="A43" t="s">
        <v>115</v>
      </c>
      <c r="B43" t="s">
        <v>38</v>
      </c>
      <c r="C43" t="s">
        <v>11</v>
      </c>
      <c r="G43" t="s">
        <v>118</v>
      </c>
      <c r="I43" t="s">
        <v>117</v>
      </c>
      <c r="J43">
        <v>375000</v>
      </c>
    </row>
    <row r="44" spans="1:10" x14ac:dyDescent="0.25">
      <c r="A44" t="s">
        <v>115</v>
      </c>
      <c r="B44" t="s">
        <v>38</v>
      </c>
      <c r="C44" t="s">
        <v>13</v>
      </c>
      <c r="G44" t="s">
        <v>119</v>
      </c>
      <c r="I44" t="s">
        <v>117</v>
      </c>
      <c r="J44">
        <v>375000</v>
      </c>
    </row>
    <row r="45" spans="1:10" x14ac:dyDescent="0.25">
      <c r="A45" t="s">
        <v>50</v>
      </c>
      <c r="C45" t="s">
        <v>11</v>
      </c>
      <c r="E45" t="s">
        <v>66</v>
      </c>
      <c r="H45" t="s">
        <v>57</v>
      </c>
      <c r="I45" t="s">
        <v>114</v>
      </c>
      <c r="J45">
        <v>507824.03333333333</v>
      </c>
    </row>
    <row r="46" spans="1:10" x14ac:dyDescent="0.25">
      <c r="A46" t="s">
        <v>50</v>
      </c>
      <c r="C46" t="s">
        <v>11</v>
      </c>
      <c r="E46" t="s">
        <v>66</v>
      </c>
      <c r="H46" t="s">
        <v>57</v>
      </c>
      <c r="I46" t="s">
        <v>120</v>
      </c>
      <c r="J46">
        <v>0.70316123608534298</v>
      </c>
    </row>
    <row r="47" spans="1:10" x14ac:dyDescent="0.25">
      <c r="A47" t="s">
        <v>50</v>
      </c>
      <c r="C47" t="s">
        <v>11</v>
      </c>
      <c r="E47" t="s">
        <v>66</v>
      </c>
      <c r="H47" t="s">
        <v>57</v>
      </c>
      <c r="I47" t="s">
        <v>121</v>
      </c>
      <c r="J47">
        <v>7.814468991711423</v>
      </c>
    </row>
    <row r="48" spans="1:10" x14ac:dyDescent="0.25">
      <c r="A48" t="s">
        <v>50</v>
      </c>
      <c r="C48" t="s">
        <v>13</v>
      </c>
      <c r="E48" t="s">
        <v>66</v>
      </c>
      <c r="H48" t="s">
        <v>57</v>
      </c>
      <c r="I48" t="s">
        <v>114</v>
      </c>
      <c r="J48">
        <v>507824.03333333333</v>
      </c>
    </row>
    <row r="49" spans="1:10" x14ac:dyDescent="0.25">
      <c r="A49" t="s">
        <v>50</v>
      </c>
      <c r="C49" t="s">
        <v>13</v>
      </c>
      <c r="E49" t="s">
        <v>66</v>
      </c>
      <c r="H49" t="s">
        <v>57</v>
      </c>
      <c r="I49" t="s">
        <v>120</v>
      </c>
      <c r="J49">
        <v>0.70316123608534298</v>
      </c>
    </row>
    <row r="50" spans="1:10" x14ac:dyDescent="0.25">
      <c r="A50" t="s">
        <v>50</v>
      </c>
      <c r="C50" t="s">
        <v>13</v>
      </c>
      <c r="E50" t="s">
        <v>66</v>
      </c>
      <c r="H50" t="s">
        <v>57</v>
      </c>
      <c r="I50" t="s">
        <v>121</v>
      </c>
      <c r="J50">
        <v>7.814468991711423</v>
      </c>
    </row>
    <row r="51" spans="1:10" x14ac:dyDescent="0.25">
      <c r="A51" t="s">
        <v>50</v>
      </c>
      <c r="C51" t="s">
        <v>11</v>
      </c>
      <c r="E51" t="s">
        <v>69</v>
      </c>
      <c r="H51" t="s">
        <v>57</v>
      </c>
      <c r="I51" t="s">
        <v>114</v>
      </c>
      <c r="J51">
        <v>557247.875</v>
      </c>
    </row>
    <row r="52" spans="1:10" x14ac:dyDescent="0.25">
      <c r="A52" t="s">
        <v>50</v>
      </c>
      <c r="C52" t="s">
        <v>11</v>
      </c>
      <c r="E52" t="s">
        <v>69</v>
      </c>
      <c r="H52" t="s">
        <v>57</v>
      </c>
      <c r="I52" t="s">
        <v>120</v>
      </c>
      <c r="J52">
        <v>0.57269119769119758</v>
      </c>
    </row>
    <row r="53" spans="1:10" x14ac:dyDescent="0.25">
      <c r="A53" t="s">
        <v>50</v>
      </c>
      <c r="C53" t="s">
        <v>11</v>
      </c>
      <c r="E53" t="s">
        <v>69</v>
      </c>
      <c r="H53" t="s">
        <v>57</v>
      </c>
      <c r="I53" t="s">
        <v>121</v>
      </c>
      <c r="J53">
        <v>7.814468991711423</v>
      </c>
    </row>
    <row r="54" spans="1:10" x14ac:dyDescent="0.25">
      <c r="A54" t="s">
        <v>50</v>
      </c>
      <c r="C54" t="s">
        <v>13</v>
      </c>
      <c r="E54" t="s">
        <v>69</v>
      </c>
      <c r="H54" t="s">
        <v>57</v>
      </c>
      <c r="I54" t="s">
        <v>114</v>
      </c>
      <c r="J54">
        <v>557247.875</v>
      </c>
    </row>
    <row r="55" spans="1:10" x14ac:dyDescent="0.25">
      <c r="A55" t="s">
        <v>50</v>
      </c>
      <c r="C55" t="s">
        <v>13</v>
      </c>
      <c r="E55" t="s">
        <v>69</v>
      </c>
      <c r="H55" t="s">
        <v>57</v>
      </c>
      <c r="I55" t="s">
        <v>120</v>
      </c>
      <c r="J55">
        <v>0.57269119769119758</v>
      </c>
    </row>
    <row r="56" spans="1:10" x14ac:dyDescent="0.25">
      <c r="A56" t="s">
        <v>50</v>
      </c>
      <c r="C56" t="s">
        <v>13</v>
      </c>
      <c r="E56" t="s">
        <v>69</v>
      </c>
      <c r="H56" t="s">
        <v>57</v>
      </c>
      <c r="I56" t="s">
        <v>121</v>
      </c>
      <c r="J56">
        <v>7.814468991711423</v>
      </c>
    </row>
    <row r="57" spans="1:10" x14ac:dyDescent="0.25">
      <c r="A57" t="s">
        <v>50</v>
      </c>
      <c r="C57" t="s">
        <v>11</v>
      </c>
      <c r="E57" t="s">
        <v>70</v>
      </c>
      <c r="H57" t="s">
        <v>57</v>
      </c>
      <c r="I57" t="s">
        <v>114</v>
      </c>
      <c r="J57">
        <v>887500.21428571432</v>
      </c>
    </row>
    <row r="58" spans="1:10" x14ac:dyDescent="0.25">
      <c r="A58" t="s">
        <v>50</v>
      </c>
      <c r="C58" t="s">
        <v>11</v>
      </c>
      <c r="E58" t="s">
        <v>70</v>
      </c>
      <c r="H58" t="s">
        <v>57</v>
      </c>
      <c r="I58" t="s">
        <v>120</v>
      </c>
      <c r="J58">
        <v>0.22944967090526897</v>
      </c>
    </row>
    <row r="59" spans="1:10" x14ac:dyDescent="0.25">
      <c r="A59" t="s">
        <v>50</v>
      </c>
      <c r="C59" t="s">
        <v>11</v>
      </c>
      <c r="E59" t="s">
        <v>70</v>
      </c>
      <c r="H59" t="s">
        <v>57</v>
      </c>
      <c r="I59" t="s">
        <v>121</v>
      </c>
      <c r="J59">
        <v>5.9389964337006811</v>
      </c>
    </row>
    <row r="60" spans="1:10" x14ac:dyDescent="0.25">
      <c r="A60" t="s">
        <v>50</v>
      </c>
      <c r="C60" t="s">
        <v>13</v>
      </c>
      <c r="E60" t="s">
        <v>70</v>
      </c>
      <c r="H60" t="s">
        <v>57</v>
      </c>
      <c r="I60" t="s">
        <v>114</v>
      </c>
      <c r="J60">
        <v>887500.21428571432</v>
      </c>
    </row>
    <row r="61" spans="1:10" x14ac:dyDescent="0.25">
      <c r="A61" t="s">
        <v>50</v>
      </c>
      <c r="C61" t="s">
        <v>13</v>
      </c>
      <c r="E61" t="s">
        <v>70</v>
      </c>
      <c r="H61" t="s">
        <v>57</v>
      </c>
      <c r="I61" t="s">
        <v>120</v>
      </c>
      <c r="J61">
        <v>0.22944967090526897</v>
      </c>
    </row>
    <row r="62" spans="1:10" x14ac:dyDescent="0.25">
      <c r="A62" t="s">
        <v>50</v>
      </c>
      <c r="C62" t="s">
        <v>13</v>
      </c>
      <c r="E62" t="s">
        <v>70</v>
      </c>
      <c r="H62" t="s">
        <v>57</v>
      </c>
      <c r="I62" t="s">
        <v>121</v>
      </c>
      <c r="J62">
        <v>5.9389964337006811</v>
      </c>
    </row>
    <row r="63" spans="1:10" x14ac:dyDescent="0.25">
      <c r="A63" t="s">
        <v>50</v>
      </c>
      <c r="E63" t="s">
        <v>66</v>
      </c>
      <c r="H63" t="s">
        <v>61</v>
      </c>
      <c r="I63" t="s">
        <v>114</v>
      </c>
      <c r="J63">
        <v>507824.03333333333</v>
      </c>
    </row>
    <row r="64" spans="1:10" x14ac:dyDescent="0.25">
      <c r="A64" t="s">
        <v>50</v>
      </c>
      <c r="E64" t="s">
        <v>66</v>
      </c>
      <c r="H64" t="s">
        <v>61</v>
      </c>
      <c r="I64" t="s">
        <v>120</v>
      </c>
      <c r="J64">
        <v>0.70316123608534298</v>
      </c>
    </row>
    <row r="65" spans="1:10" x14ac:dyDescent="0.25">
      <c r="A65" t="s">
        <v>50</v>
      </c>
      <c r="E65" t="s">
        <v>66</v>
      </c>
      <c r="H65" t="s">
        <v>61</v>
      </c>
      <c r="I65" t="s">
        <v>121</v>
      </c>
      <c r="J65">
        <v>7.814468991711423</v>
      </c>
    </row>
    <row r="66" spans="1:10" x14ac:dyDescent="0.25">
      <c r="A66" t="s">
        <v>50</v>
      </c>
      <c r="C66" t="s">
        <v>11</v>
      </c>
      <c r="E66" t="s">
        <v>71</v>
      </c>
      <c r="H66" t="s">
        <v>60</v>
      </c>
      <c r="I66" t="s">
        <v>114</v>
      </c>
      <c r="J66">
        <v>72634.162790697679</v>
      </c>
    </row>
    <row r="67" spans="1:10" x14ac:dyDescent="0.25">
      <c r="A67" t="s">
        <v>50</v>
      </c>
      <c r="C67" t="s">
        <v>11</v>
      </c>
      <c r="E67" t="s">
        <v>71</v>
      </c>
      <c r="H67" t="s">
        <v>60</v>
      </c>
      <c r="I67" t="s">
        <v>120</v>
      </c>
      <c r="J67">
        <v>0.44197515446533014</v>
      </c>
    </row>
    <row r="68" spans="1:10" x14ac:dyDescent="0.25">
      <c r="A68" t="s">
        <v>50</v>
      </c>
      <c r="C68" t="s">
        <v>11</v>
      </c>
      <c r="E68" t="s">
        <v>71</v>
      </c>
      <c r="H68" t="s">
        <v>60</v>
      </c>
      <c r="I68" t="s">
        <v>121</v>
      </c>
      <c r="J68">
        <v>3.613784727969656</v>
      </c>
    </row>
    <row r="69" spans="1:10" x14ac:dyDescent="0.25">
      <c r="A69" t="s">
        <v>50</v>
      </c>
      <c r="C69" t="s">
        <v>13</v>
      </c>
      <c r="E69" t="s">
        <v>71</v>
      </c>
      <c r="H69" t="s">
        <v>60</v>
      </c>
      <c r="I69" t="s">
        <v>114</v>
      </c>
      <c r="J69">
        <v>72634.162790697679</v>
      </c>
    </row>
    <row r="70" spans="1:10" x14ac:dyDescent="0.25">
      <c r="A70" t="s">
        <v>50</v>
      </c>
      <c r="C70" t="s">
        <v>13</v>
      </c>
      <c r="E70" t="s">
        <v>71</v>
      </c>
      <c r="H70" t="s">
        <v>60</v>
      </c>
      <c r="I70" t="s">
        <v>120</v>
      </c>
      <c r="J70">
        <v>0.44197515446533014</v>
      </c>
    </row>
    <row r="71" spans="1:10" x14ac:dyDescent="0.25">
      <c r="A71" t="s">
        <v>50</v>
      </c>
      <c r="C71" t="s">
        <v>13</v>
      </c>
      <c r="E71" t="s">
        <v>71</v>
      </c>
      <c r="H71" t="s">
        <v>60</v>
      </c>
      <c r="I71" t="s">
        <v>121</v>
      </c>
      <c r="J71">
        <v>3.613784727969656</v>
      </c>
    </row>
    <row r="72" spans="1:10" x14ac:dyDescent="0.25">
      <c r="A72" t="s">
        <v>50</v>
      </c>
      <c r="C72" t="s">
        <v>11</v>
      </c>
      <c r="E72" t="s">
        <v>69</v>
      </c>
      <c r="H72" t="s">
        <v>60</v>
      </c>
      <c r="I72" t="s">
        <v>114</v>
      </c>
      <c r="J72">
        <v>127961.88571428572</v>
      </c>
    </row>
    <row r="73" spans="1:10" x14ac:dyDescent="0.25">
      <c r="A73" t="s">
        <v>50</v>
      </c>
      <c r="C73" t="s">
        <v>11</v>
      </c>
      <c r="E73" t="s">
        <v>69</v>
      </c>
      <c r="H73" t="s">
        <v>60</v>
      </c>
      <c r="I73" t="s">
        <v>120</v>
      </c>
      <c r="J73">
        <v>0.3599861767971585</v>
      </c>
    </row>
    <row r="74" spans="1:10" x14ac:dyDescent="0.25">
      <c r="A74" t="s">
        <v>50</v>
      </c>
      <c r="C74" t="s">
        <v>11</v>
      </c>
      <c r="E74" t="s">
        <v>69</v>
      </c>
      <c r="H74" t="s">
        <v>60</v>
      </c>
      <c r="I74" t="s">
        <v>121</v>
      </c>
      <c r="J74">
        <v>3.613784727969656</v>
      </c>
    </row>
    <row r="75" spans="1:10" x14ac:dyDescent="0.25">
      <c r="A75" t="s">
        <v>50</v>
      </c>
      <c r="C75" t="s">
        <v>13</v>
      </c>
      <c r="E75" t="s">
        <v>69</v>
      </c>
      <c r="H75" t="s">
        <v>60</v>
      </c>
      <c r="I75" t="s">
        <v>114</v>
      </c>
      <c r="J75">
        <v>127961.88571428572</v>
      </c>
    </row>
    <row r="76" spans="1:10" x14ac:dyDescent="0.25">
      <c r="A76" t="s">
        <v>50</v>
      </c>
      <c r="C76" t="s">
        <v>13</v>
      </c>
      <c r="E76" t="s">
        <v>69</v>
      </c>
      <c r="H76" t="s">
        <v>60</v>
      </c>
      <c r="I76" t="s">
        <v>120</v>
      </c>
      <c r="J76">
        <v>0.3599861767971585</v>
      </c>
    </row>
    <row r="77" spans="1:10" x14ac:dyDescent="0.25">
      <c r="A77" t="s">
        <v>50</v>
      </c>
      <c r="C77" t="s">
        <v>13</v>
      </c>
      <c r="E77" t="s">
        <v>69</v>
      </c>
      <c r="H77" t="s">
        <v>60</v>
      </c>
      <c r="I77" t="s">
        <v>121</v>
      </c>
      <c r="J77">
        <v>3.613784727969656</v>
      </c>
    </row>
    <row r="78" spans="1:10" x14ac:dyDescent="0.25">
      <c r="A78" t="s">
        <v>50</v>
      </c>
      <c r="C78" t="s">
        <v>11</v>
      </c>
      <c r="E78" t="s">
        <v>70</v>
      </c>
      <c r="H78" t="s">
        <v>60</v>
      </c>
      <c r="I78" t="s">
        <v>114</v>
      </c>
      <c r="J78">
        <v>126939.31521530519</v>
      </c>
    </row>
    <row r="79" spans="1:10" x14ac:dyDescent="0.25">
      <c r="A79" t="s">
        <v>50</v>
      </c>
      <c r="C79" t="s">
        <v>11</v>
      </c>
      <c r="E79" t="s">
        <v>70</v>
      </c>
      <c r="H79" t="s">
        <v>60</v>
      </c>
      <c r="I79" t="s">
        <v>120</v>
      </c>
      <c r="J79">
        <v>0.1300214801796524</v>
      </c>
    </row>
    <row r="80" spans="1:10" x14ac:dyDescent="0.25">
      <c r="A80" t="s">
        <v>50</v>
      </c>
      <c r="C80" t="s">
        <v>11</v>
      </c>
      <c r="E80" t="s">
        <v>70</v>
      </c>
      <c r="H80" t="s">
        <v>60</v>
      </c>
      <c r="I80" t="s">
        <v>121</v>
      </c>
      <c r="J80">
        <v>2.7464763932569385</v>
      </c>
    </row>
    <row r="81" spans="1:10" x14ac:dyDescent="0.25">
      <c r="A81" t="s">
        <v>50</v>
      </c>
      <c r="C81" t="s">
        <v>13</v>
      </c>
      <c r="E81" t="s">
        <v>70</v>
      </c>
      <c r="H81" t="s">
        <v>60</v>
      </c>
      <c r="I81" t="s">
        <v>114</v>
      </c>
      <c r="J81">
        <v>126939.31521530519</v>
      </c>
    </row>
    <row r="82" spans="1:10" x14ac:dyDescent="0.25">
      <c r="A82" t="s">
        <v>50</v>
      </c>
      <c r="C82" t="s">
        <v>13</v>
      </c>
      <c r="E82" t="s">
        <v>70</v>
      </c>
      <c r="H82" t="s">
        <v>60</v>
      </c>
      <c r="I82" t="s">
        <v>120</v>
      </c>
      <c r="J82">
        <v>0.1300214801796524</v>
      </c>
    </row>
    <row r="83" spans="1:10" x14ac:dyDescent="0.25">
      <c r="A83" t="s">
        <v>50</v>
      </c>
      <c r="C83" t="s">
        <v>13</v>
      </c>
      <c r="E83" t="s">
        <v>70</v>
      </c>
      <c r="H83" t="s">
        <v>60</v>
      </c>
      <c r="I83" t="s">
        <v>121</v>
      </c>
      <c r="J83">
        <v>2.7464763932569385</v>
      </c>
    </row>
    <row r="84" spans="1:10" x14ac:dyDescent="0.25">
      <c r="A84" t="s">
        <v>50</v>
      </c>
      <c r="E84" t="s">
        <v>70</v>
      </c>
      <c r="H84" t="s">
        <v>98</v>
      </c>
      <c r="I84" t="s">
        <v>114</v>
      </c>
      <c r="J84">
        <v>2200000</v>
      </c>
    </row>
    <row r="85" spans="1:10" x14ac:dyDescent="0.25">
      <c r="A85" t="s">
        <v>50</v>
      </c>
      <c r="E85" t="s">
        <v>70</v>
      </c>
      <c r="H85" t="s">
        <v>98</v>
      </c>
      <c r="I85" t="s">
        <v>120</v>
      </c>
      <c r="J85">
        <v>1.7782540748068197E-2</v>
      </c>
    </row>
    <row r="86" spans="1:10" x14ac:dyDescent="0.25">
      <c r="A86" t="s">
        <v>50</v>
      </c>
      <c r="E86" t="s">
        <v>70</v>
      </c>
      <c r="H86" t="s">
        <v>98</v>
      </c>
      <c r="I86" t="s">
        <v>121</v>
      </c>
      <c r="J86">
        <v>9.0474209917833246</v>
      </c>
    </row>
    <row r="87" spans="1:10" x14ac:dyDescent="0.25">
      <c r="A87" t="s">
        <v>50</v>
      </c>
      <c r="E87" t="s">
        <v>70</v>
      </c>
      <c r="H87" t="s">
        <v>99</v>
      </c>
      <c r="I87" t="s">
        <v>114</v>
      </c>
      <c r="J87">
        <v>2200000</v>
      </c>
    </row>
    <row r="88" spans="1:10" x14ac:dyDescent="0.25">
      <c r="A88" t="s">
        <v>50</v>
      </c>
      <c r="E88" t="s">
        <v>70</v>
      </c>
      <c r="H88" t="s">
        <v>99</v>
      </c>
      <c r="I88" t="s">
        <v>120</v>
      </c>
      <c r="J88">
        <v>3.2571058992039076E-2</v>
      </c>
    </row>
    <row r="89" spans="1:10" x14ac:dyDescent="0.25">
      <c r="A89" t="s">
        <v>50</v>
      </c>
      <c r="E89" t="s">
        <v>70</v>
      </c>
      <c r="H89" t="s">
        <v>99</v>
      </c>
      <c r="I89" t="s">
        <v>121</v>
      </c>
      <c r="J89">
        <v>8.3307280899871667</v>
      </c>
    </row>
    <row r="90" spans="1:10" x14ac:dyDescent="0.25">
      <c r="A90" t="s">
        <v>50</v>
      </c>
      <c r="E90" t="s">
        <v>66</v>
      </c>
      <c r="H90" t="s">
        <v>100</v>
      </c>
      <c r="I90" t="s">
        <v>114</v>
      </c>
      <c r="J90">
        <v>2200000</v>
      </c>
    </row>
    <row r="91" spans="1:10" x14ac:dyDescent="0.25">
      <c r="A91" t="s">
        <v>50</v>
      </c>
      <c r="E91" t="s">
        <v>66</v>
      </c>
      <c r="H91" t="s">
        <v>100</v>
      </c>
      <c r="I91" t="s">
        <v>120</v>
      </c>
      <c r="J91">
        <v>1.1884709668099125</v>
      </c>
    </row>
    <row r="92" spans="1:10" x14ac:dyDescent="0.25">
      <c r="A92" t="s">
        <v>50</v>
      </c>
      <c r="E92" t="s">
        <v>66</v>
      </c>
      <c r="H92" t="s">
        <v>100</v>
      </c>
      <c r="I92" t="s">
        <v>121</v>
      </c>
      <c r="J92">
        <v>15.951632821457332</v>
      </c>
    </row>
    <row r="93" spans="1:10" x14ac:dyDescent="0.25">
      <c r="A93" t="s">
        <v>50</v>
      </c>
      <c r="E93" t="s">
        <v>70</v>
      </c>
      <c r="H93" t="s">
        <v>100</v>
      </c>
      <c r="I93" t="s">
        <v>114</v>
      </c>
      <c r="J93">
        <v>2200000</v>
      </c>
    </row>
    <row r="94" spans="1:10" x14ac:dyDescent="0.25">
      <c r="A94" t="s">
        <v>50</v>
      </c>
      <c r="E94" t="s">
        <v>70</v>
      </c>
      <c r="H94" t="s">
        <v>100</v>
      </c>
      <c r="I94" t="s">
        <v>120</v>
      </c>
      <c r="J94">
        <v>1.1884709668099125</v>
      </c>
    </row>
    <row r="95" spans="1:10" x14ac:dyDescent="0.25">
      <c r="A95" t="s">
        <v>50</v>
      </c>
      <c r="E95" t="s">
        <v>70</v>
      </c>
      <c r="H95" t="s">
        <v>100</v>
      </c>
      <c r="I95" t="s">
        <v>121</v>
      </c>
      <c r="J95">
        <v>15.951632821457332</v>
      </c>
    </row>
    <row r="96" spans="1:10" x14ac:dyDescent="0.25">
      <c r="A96" t="s">
        <v>8</v>
      </c>
      <c r="C96" t="s">
        <v>74</v>
      </c>
      <c r="G96" t="s">
        <v>75</v>
      </c>
      <c r="I96" t="s">
        <v>122</v>
      </c>
      <c r="J96">
        <v>430000</v>
      </c>
    </row>
    <row r="97" spans="1:10" x14ac:dyDescent="0.25">
      <c r="A97" t="s">
        <v>8</v>
      </c>
      <c r="C97" t="s">
        <v>74</v>
      </c>
      <c r="G97" t="s">
        <v>75</v>
      </c>
      <c r="I97" t="s">
        <v>123</v>
      </c>
      <c r="J97">
        <v>43000</v>
      </c>
    </row>
    <row r="98" spans="1:10" x14ac:dyDescent="0.25">
      <c r="A98" t="s">
        <v>8</v>
      </c>
      <c r="C98" t="s">
        <v>11</v>
      </c>
      <c r="G98" t="s">
        <v>75</v>
      </c>
      <c r="I98" t="s">
        <v>122</v>
      </c>
      <c r="J98">
        <v>430000</v>
      </c>
    </row>
    <row r="99" spans="1:10" x14ac:dyDescent="0.25">
      <c r="A99" t="s">
        <v>8</v>
      </c>
      <c r="C99" t="s">
        <v>11</v>
      </c>
      <c r="G99" t="s">
        <v>75</v>
      </c>
      <c r="I99" t="s">
        <v>123</v>
      </c>
      <c r="J99">
        <v>43000</v>
      </c>
    </row>
    <row r="100" spans="1:10" x14ac:dyDescent="0.25">
      <c r="A100" t="s">
        <v>8</v>
      </c>
      <c r="C100" t="s">
        <v>12</v>
      </c>
      <c r="G100" t="s">
        <v>75</v>
      </c>
      <c r="I100" t="s">
        <v>122</v>
      </c>
      <c r="J100">
        <v>430000</v>
      </c>
    </row>
    <row r="101" spans="1:10" x14ac:dyDescent="0.25">
      <c r="A101" t="s">
        <v>8</v>
      </c>
      <c r="C101" t="s">
        <v>12</v>
      </c>
      <c r="G101" t="s">
        <v>75</v>
      </c>
      <c r="I101" t="s">
        <v>123</v>
      </c>
      <c r="J101">
        <v>43000</v>
      </c>
    </row>
    <row r="102" spans="1:10" x14ac:dyDescent="0.25">
      <c r="A102" t="s">
        <v>8</v>
      </c>
      <c r="C102" t="s">
        <v>13</v>
      </c>
      <c r="G102" t="s">
        <v>75</v>
      </c>
      <c r="I102" t="s">
        <v>122</v>
      </c>
      <c r="J102">
        <v>430000</v>
      </c>
    </row>
    <row r="103" spans="1:10" x14ac:dyDescent="0.25">
      <c r="A103" t="s">
        <v>8</v>
      </c>
      <c r="C103" t="s">
        <v>13</v>
      </c>
      <c r="G103" t="s">
        <v>75</v>
      </c>
      <c r="I103" t="s">
        <v>123</v>
      </c>
      <c r="J103">
        <v>43000</v>
      </c>
    </row>
    <row r="104" spans="1:10" x14ac:dyDescent="0.25">
      <c r="A104" t="s">
        <v>8</v>
      </c>
      <c r="C104" t="s">
        <v>74</v>
      </c>
      <c r="G104" t="s">
        <v>77</v>
      </c>
      <c r="I104" t="s">
        <v>122</v>
      </c>
      <c r="J104">
        <v>27500</v>
      </c>
    </row>
    <row r="105" spans="1:10" x14ac:dyDescent="0.25">
      <c r="A105" t="s">
        <v>8</v>
      </c>
      <c r="C105" t="s">
        <v>74</v>
      </c>
      <c r="G105" t="s">
        <v>77</v>
      </c>
      <c r="I105" t="s">
        <v>123</v>
      </c>
      <c r="J105">
        <v>2750</v>
      </c>
    </row>
    <row r="106" spans="1:10" x14ac:dyDescent="0.25">
      <c r="A106" t="s">
        <v>8</v>
      </c>
      <c r="C106" t="s">
        <v>11</v>
      </c>
      <c r="G106" t="s">
        <v>77</v>
      </c>
      <c r="I106" t="s">
        <v>122</v>
      </c>
      <c r="J106">
        <v>27500</v>
      </c>
    </row>
    <row r="107" spans="1:10" x14ac:dyDescent="0.25">
      <c r="A107" t="s">
        <v>8</v>
      </c>
      <c r="C107" t="s">
        <v>11</v>
      </c>
      <c r="G107" t="s">
        <v>77</v>
      </c>
      <c r="I107" t="s">
        <v>123</v>
      </c>
      <c r="J107">
        <v>2750</v>
      </c>
    </row>
    <row r="108" spans="1:10" x14ac:dyDescent="0.25">
      <c r="A108" t="s">
        <v>8</v>
      </c>
      <c r="C108" t="s">
        <v>12</v>
      </c>
      <c r="G108" t="s">
        <v>77</v>
      </c>
      <c r="I108" t="s">
        <v>122</v>
      </c>
      <c r="J108">
        <v>27500</v>
      </c>
    </row>
    <row r="109" spans="1:10" x14ac:dyDescent="0.25">
      <c r="A109" t="s">
        <v>8</v>
      </c>
      <c r="C109" t="s">
        <v>12</v>
      </c>
      <c r="G109" t="s">
        <v>77</v>
      </c>
      <c r="I109" t="s">
        <v>123</v>
      </c>
      <c r="J109">
        <v>2750</v>
      </c>
    </row>
    <row r="110" spans="1:10" x14ac:dyDescent="0.25">
      <c r="A110" t="s">
        <v>8</v>
      </c>
      <c r="C110" t="s">
        <v>13</v>
      </c>
      <c r="G110" t="s">
        <v>77</v>
      </c>
      <c r="I110" t="s">
        <v>122</v>
      </c>
      <c r="J110">
        <v>27500</v>
      </c>
    </row>
    <row r="111" spans="1:10" x14ac:dyDescent="0.25">
      <c r="A111" t="s">
        <v>8</v>
      </c>
      <c r="C111" t="s">
        <v>13</v>
      </c>
      <c r="G111" t="s">
        <v>77</v>
      </c>
      <c r="I111" t="s">
        <v>123</v>
      </c>
      <c r="J111">
        <v>2750</v>
      </c>
    </row>
    <row r="112" spans="1:10" x14ac:dyDescent="0.25">
      <c r="A112" t="s">
        <v>8</v>
      </c>
      <c r="C112" t="s">
        <v>74</v>
      </c>
      <c r="G112" t="s">
        <v>78</v>
      </c>
      <c r="I112" t="s">
        <v>122</v>
      </c>
      <c r="J112">
        <v>125000</v>
      </c>
    </row>
    <row r="113" spans="1:10" x14ac:dyDescent="0.25">
      <c r="A113" t="s">
        <v>8</v>
      </c>
      <c r="C113" t="s">
        <v>74</v>
      </c>
      <c r="G113" t="s">
        <v>78</v>
      </c>
      <c r="I113" t="s">
        <v>123</v>
      </c>
      <c r="J113">
        <v>12500</v>
      </c>
    </row>
    <row r="114" spans="1:10" x14ac:dyDescent="0.25">
      <c r="A114" t="s">
        <v>8</v>
      </c>
      <c r="C114" t="s">
        <v>11</v>
      </c>
      <c r="G114" t="s">
        <v>78</v>
      </c>
      <c r="I114" t="s">
        <v>122</v>
      </c>
      <c r="J114">
        <v>125000</v>
      </c>
    </row>
    <row r="115" spans="1:10" x14ac:dyDescent="0.25">
      <c r="A115" t="s">
        <v>8</v>
      </c>
      <c r="C115" t="s">
        <v>11</v>
      </c>
      <c r="G115" t="s">
        <v>78</v>
      </c>
      <c r="I115" t="s">
        <v>123</v>
      </c>
      <c r="J115">
        <v>12500</v>
      </c>
    </row>
    <row r="116" spans="1:10" x14ac:dyDescent="0.25">
      <c r="A116" t="s">
        <v>8</v>
      </c>
      <c r="C116" t="s">
        <v>12</v>
      </c>
      <c r="G116" t="s">
        <v>78</v>
      </c>
      <c r="I116" t="s">
        <v>122</v>
      </c>
      <c r="J116">
        <v>125000</v>
      </c>
    </row>
    <row r="117" spans="1:10" x14ac:dyDescent="0.25">
      <c r="A117" t="s">
        <v>8</v>
      </c>
      <c r="C117" t="s">
        <v>12</v>
      </c>
      <c r="G117" t="s">
        <v>78</v>
      </c>
      <c r="I117" t="s">
        <v>123</v>
      </c>
      <c r="J117">
        <v>12500</v>
      </c>
    </row>
    <row r="118" spans="1:10" x14ac:dyDescent="0.25">
      <c r="A118" t="s">
        <v>8</v>
      </c>
      <c r="C118" t="s">
        <v>13</v>
      </c>
      <c r="G118" t="s">
        <v>78</v>
      </c>
      <c r="I118" t="s">
        <v>122</v>
      </c>
      <c r="J118">
        <v>125000</v>
      </c>
    </row>
    <row r="119" spans="1:10" x14ac:dyDescent="0.25">
      <c r="A119" t="s">
        <v>8</v>
      </c>
      <c r="C119" t="s">
        <v>13</v>
      </c>
      <c r="G119" t="s">
        <v>78</v>
      </c>
      <c r="I119" t="s">
        <v>123</v>
      </c>
      <c r="J119">
        <v>12500</v>
      </c>
    </row>
    <row r="120" spans="1:10" x14ac:dyDescent="0.25">
      <c r="A120" t="s">
        <v>8</v>
      </c>
      <c r="C120" t="s">
        <v>74</v>
      </c>
      <c r="G120" t="s">
        <v>79</v>
      </c>
      <c r="I120" t="s">
        <v>122</v>
      </c>
      <c r="J120">
        <v>337920</v>
      </c>
    </row>
    <row r="121" spans="1:10" x14ac:dyDescent="0.25">
      <c r="A121" t="s">
        <v>8</v>
      </c>
      <c r="C121" t="s">
        <v>74</v>
      </c>
      <c r="G121" t="s">
        <v>79</v>
      </c>
      <c r="I121" t="s">
        <v>123</v>
      </c>
      <c r="J121">
        <v>33792</v>
      </c>
    </row>
    <row r="122" spans="1:10" x14ac:dyDescent="0.25">
      <c r="A122" t="s">
        <v>8</v>
      </c>
      <c r="C122" t="s">
        <v>11</v>
      </c>
      <c r="G122" t="s">
        <v>79</v>
      </c>
      <c r="I122" t="s">
        <v>122</v>
      </c>
      <c r="J122">
        <v>337920</v>
      </c>
    </row>
    <row r="123" spans="1:10" x14ac:dyDescent="0.25">
      <c r="A123" t="s">
        <v>8</v>
      </c>
      <c r="C123" t="s">
        <v>11</v>
      </c>
      <c r="G123" t="s">
        <v>79</v>
      </c>
      <c r="I123" t="s">
        <v>123</v>
      </c>
      <c r="J123">
        <v>33792</v>
      </c>
    </row>
    <row r="124" spans="1:10" x14ac:dyDescent="0.25">
      <c r="A124" t="s">
        <v>8</v>
      </c>
      <c r="C124" t="s">
        <v>12</v>
      </c>
      <c r="G124" t="s">
        <v>79</v>
      </c>
      <c r="I124" t="s">
        <v>122</v>
      </c>
      <c r="J124">
        <v>337920</v>
      </c>
    </row>
    <row r="125" spans="1:10" x14ac:dyDescent="0.25">
      <c r="A125" t="s">
        <v>8</v>
      </c>
      <c r="C125" t="s">
        <v>12</v>
      </c>
      <c r="G125" t="s">
        <v>79</v>
      </c>
      <c r="I125" t="s">
        <v>123</v>
      </c>
      <c r="J125">
        <v>33792</v>
      </c>
    </row>
    <row r="126" spans="1:10" x14ac:dyDescent="0.25">
      <c r="A126" t="s">
        <v>8</v>
      </c>
      <c r="C126" t="s">
        <v>13</v>
      </c>
      <c r="G126" t="s">
        <v>79</v>
      </c>
      <c r="I126" t="s">
        <v>122</v>
      </c>
      <c r="J126">
        <v>337920</v>
      </c>
    </row>
    <row r="127" spans="1:10" x14ac:dyDescent="0.25">
      <c r="A127" t="s">
        <v>8</v>
      </c>
      <c r="C127" t="s">
        <v>13</v>
      </c>
      <c r="G127" t="s">
        <v>79</v>
      </c>
      <c r="I127" t="s">
        <v>123</v>
      </c>
      <c r="J127">
        <v>33792</v>
      </c>
    </row>
    <row r="128" spans="1:10" x14ac:dyDescent="0.25">
      <c r="A128" t="s">
        <v>8</v>
      </c>
      <c r="C128" t="s">
        <v>74</v>
      </c>
      <c r="G128" t="s">
        <v>80</v>
      </c>
      <c r="I128" t="s">
        <v>122</v>
      </c>
      <c r="J128">
        <v>900000</v>
      </c>
    </row>
    <row r="129" spans="1:10" x14ac:dyDescent="0.25">
      <c r="A129" t="s">
        <v>8</v>
      </c>
      <c r="C129" t="s">
        <v>74</v>
      </c>
      <c r="G129" t="s">
        <v>80</v>
      </c>
      <c r="I129" t="s">
        <v>123</v>
      </c>
      <c r="J129">
        <v>90000</v>
      </c>
    </row>
    <row r="130" spans="1:10" x14ac:dyDescent="0.25">
      <c r="A130" t="s">
        <v>8</v>
      </c>
      <c r="C130" t="s">
        <v>11</v>
      </c>
      <c r="G130" t="s">
        <v>80</v>
      </c>
      <c r="I130" t="s">
        <v>122</v>
      </c>
      <c r="J130">
        <v>850000</v>
      </c>
    </row>
    <row r="131" spans="1:10" x14ac:dyDescent="0.25">
      <c r="A131" t="s">
        <v>8</v>
      </c>
      <c r="C131" t="s">
        <v>11</v>
      </c>
      <c r="G131" t="s">
        <v>80</v>
      </c>
      <c r="I131" t="s">
        <v>123</v>
      </c>
      <c r="J131">
        <v>85000</v>
      </c>
    </row>
    <row r="132" spans="1:10" x14ac:dyDescent="0.25">
      <c r="A132" t="s">
        <v>8</v>
      </c>
      <c r="C132" t="s">
        <v>12</v>
      </c>
      <c r="G132" t="s">
        <v>80</v>
      </c>
      <c r="I132" t="s">
        <v>122</v>
      </c>
      <c r="J132">
        <v>750000</v>
      </c>
    </row>
    <row r="133" spans="1:10" x14ac:dyDescent="0.25">
      <c r="A133" t="s">
        <v>8</v>
      </c>
      <c r="C133" t="s">
        <v>12</v>
      </c>
      <c r="G133" t="s">
        <v>80</v>
      </c>
      <c r="I133" t="s">
        <v>123</v>
      </c>
      <c r="J133">
        <v>75000</v>
      </c>
    </row>
    <row r="134" spans="1:10" x14ac:dyDescent="0.25">
      <c r="A134" t="s">
        <v>8</v>
      </c>
      <c r="C134" t="s">
        <v>12</v>
      </c>
      <c r="G134" t="s">
        <v>81</v>
      </c>
      <c r="I134" t="s">
        <v>122</v>
      </c>
      <c r="J134">
        <v>117427.2</v>
      </c>
    </row>
    <row r="135" spans="1:10" x14ac:dyDescent="0.25">
      <c r="A135" t="s">
        <v>8</v>
      </c>
      <c r="C135" t="s">
        <v>12</v>
      </c>
      <c r="G135" t="s">
        <v>81</v>
      </c>
      <c r="I135" t="s">
        <v>123</v>
      </c>
      <c r="J135">
        <v>11742.720000000001</v>
      </c>
    </row>
    <row r="136" spans="1:10" x14ac:dyDescent="0.25">
      <c r="A136" t="s">
        <v>8</v>
      </c>
      <c r="C136" t="s">
        <v>13</v>
      </c>
      <c r="G136" t="s">
        <v>81</v>
      </c>
      <c r="I136" t="s">
        <v>122</v>
      </c>
      <c r="J136">
        <v>117427.2</v>
      </c>
    </row>
    <row r="137" spans="1:10" x14ac:dyDescent="0.25">
      <c r="A137" t="s">
        <v>8</v>
      </c>
      <c r="C137" t="s">
        <v>13</v>
      </c>
      <c r="G137" t="s">
        <v>81</v>
      </c>
      <c r="I137" t="s">
        <v>123</v>
      </c>
      <c r="J137">
        <v>11742.720000000001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DA0EE-4FCC-480C-BD92-BC5F7D9465CA}">
  <sheetPr>
    <tabColor theme="5"/>
  </sheetPr>
  <dimension ref="A1:E9"/>
  <sheetViews>
    <sheetView showGridLines="0" workbookViewId="0">
      <selection activeCell="D12" sqref="D12"/>
    </sheetView>
  </sheetViews>
  <sheetFormatPr defaultRowHeight="15" x14ac:dyDescent="0.25"/>
  <cols>
    <col min="1" max="1" width="21.5703125" bestFit="1" customWidth="1"/>
    <col min="2" max="2" width="17.42578125" bestFit="1" customWidth="1"/>
    <col min="3" max="3" width="11" bestFit="1" customWidth="1"/>
    <col min="4" max="4" width="20.7109375" bestFit="1" customWidth="1"/>
  </cols>
  <sheetData>
    <row r="1" spans="1:5" x14ac:dyDescent="0.25">
      <c r="A1" s="1" t="s">
        <v>0</v>
      </c>
      <c r="B1" s="1" t="s">
        <v>4</v>
      </c>
      <c r="C1" s="1" t="s">
        <v>7</v>
      </c>
      <c r="D1" s="1" t="s">
        <v>101</v>
      </c>
      <c r="E1" t="s">
        <v>102</v>
      </c>
    </row>
    <row r="2" spans="1:5" x14ac:dyDescent="0.25">
      <c r="A2" t="s">
        <v>124</v>
      </c>
      <c r="B2" t="s">
        <v>125</v>
      </c>
      <c r="D2" t="s">
        <v>126</v>
      </c>
      <c r="E2">
        <v>0.54</v>
      </c>
    </row>
    <row r="3" spans="1:5" x14ac:dyDescent="0.25">
      <c r="A3" t="s">
        <v>124</v>
      </c>
      <c r="B3" t="s">
        <v>24</v>
      </c>
      <c r="D3" t="s">
        <v>126</v>
      </c>
      <c r="E3">
        <v>0.54</v>
      </c>
    </row>
    <row r="4" spans="1:5" x14ac:dyDescent="0.25">
      <c r="A4" t="s">
        <v>124</v>
      </c>
      <c r="B4" t="s">
        <v>26</v>
      </c>
      <c r="D4" t="s">
        <v>126</v>
      </c>
      <c r="E4">
        <v>0.1</v>
      </c>
    </row>
    <row r="5" spans="1:5" x14ac:dyDescent="0.25">
      <c r="A5" t="s">
        <v>124</v>
      </c>
      <c r="B5" t="s">
        <v>27</v>
      </c>
      <c r="D5" t="s">
        <v>126</v>
      </c>
      <c r="E5">
        <v>0.1</v>
      </c>
    </row>
    <row r="6" spans="1:5" x14ac:dyDescent="0.25">
      <c r="A6" t="s">
        <v>127</v>
      </c>
      <c r="B6" t="s">
        <v>128</v>
      </c>
      <c r="C6" t="s">
        <v>66</v>
      </c>
      <c r="D6" t="s">
        <v>129</v>
      </c>
      <c r="E6">
        <v>198.354755374798</v>
      </c>
    </row>
    <row r="7" spans="1:5" x14ac:dyDescent="0.25">
      <c r="A7" t="s">
        <v>130</v>
      </c>
      <c r="D7" t="s">
        <v>131</v>
      </c>
      <c r="E7">
        <v>2050</v>
      </c>
    </row>
    <row r="8" spans="1:5" x14ac:dyDescent="0.25">
      <c r="A8" t="s">
        <v>132</v>
      </c>
      <c r="D8" t="s">
        <v>133</v>
      </c>
      <c r="E8">
        <v>7.0000000000000001E-3</v>
      </c>
    </row>
    <row r="9" spans="1:5" x14ac:dyDescent="0.25">
      <c r="A9" t="s">
        <v>132</v>
      </c>
      <c r="D9" t="s">
        <v>134</v>
      </c>
      <c r="E9">
        <v>297.57986556812102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References</vt:lpstr>
      <vt:lpstr>Key_Inputs</vt:lpstr>
      <vt:lpstr>Assumptions</vt:lpstr>
      <vt:lpstr>Capital_Project_Inputs</vt:lpstr>
      <vt:lpstr>Cost_Parameters</vt:lpstr>
      <vt:lpstr>Baseline_Parameters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2023-12-16T01:32:36Z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